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 From C\move download C\CV. REDJEKI\PBJT Resto &amp; Bar\2026\"/>
    </mc:Choice>
  </mc:AlternateContent>
  <xr:revisionPtr revIDLastSave="0" documentId="13_ncr:1_{56EB40C7-55BA-4C99-99D8-67D0B9DB06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poran" sheetId="1" r:id="rId1"/>
    <sheet name="Input" sheetId="2" r:id="rId2"/>
    <sheet name="DATABASE F&amp;B" sheetId="3" r:id="rId3"/>
    <sheet name="DATABASE Room" sheetId="5" r:id="rId4"/>
  </sheets>
  <externalReferences>
    <externalReference r:id="rId5"/>
  </externalReferences>
  <definedNames>
    <definedName name="_xlnm._FilterDatabase" localSheetId="1" hidden="1">Input!$A$2:$CD$531</definedName>
    <definedName name="_xlnm.Print_Area" localSheetId="0">Laporan!$B$1:$J$39</definedName>
  </definedNames>
  <calcPr calcId="191029"/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CC531" i="2"/>
  <c r="CD531" i="2" s="1"/>
  <c r="CA531" i="2"/>
  <c r="BX531" i="2"/>
  <c r="BY531" i="2" s="1"/>
  <c r="BV531" i="2"/>
  <c r="BS531" i="2"/>
  <c r="BT531" i="2" s="1"/>
  <c r="BQ531" i="2"/>
  <c r="BN531" i="2"/>
  <c r="BO531" i="2" s="1"/>
  <c r="BL531" i="2"/>
  <c r="BI531" i="2"/>
  <c r="BJ531" i="2" s="1"/>
  <c r="BG531" i="2"/>
  <c r="BD531" i="2"/>
  <c r="BE531" i="2" s="1"/>
  <c r="BB531" i="2"/>
  <c r="AY531" i="2"/>
  <c r="AZ531" i="2" s="1"/>
  <c r="AW531" i="2"/>
  <c r="AT531" i="2"/>
  <c r="AU531" i="2" s="1"/>
  <c r="AR531" i="2"/>
  <c r="AO531" i="2"/>
  <c r="AP531" i="2" s="1"/>
  <c r="AM531" i="2"/>
  <c r="AJ531" i="2"/>
  <c r="AK531" i="2" s="1"/>
  <c r="AH531" i="2"/>
  <c r="AE531" i="2"/>
  <c r="AF531" i="2" s="1"/>
  <c r="AC531" i="2"/>
  <c r="Z531" i="2"/>
  <c r="AA531" i="2" s="1"/>
  <c r="X531" i="2"/>
  <c r="S531" i="2"/>
  <c r="M531" i="2"/>
  <c r="I531" i="2"/>
  <c r="A531" i="2"/>
  <c r="CC530" i="2"/>
  <c r="CD530" i="2" s="1"/>
  <c r="CA530" i="2"/>
  <c r="BX530" i="2"/>
  <c r="BY530" i="2" s="1"/>
  <c r="BV530" i="2"/>
  <c r="BS530" i="2"/>
  <c r="BT530" i="2" s="1"/>
  <c r="BQ530" i="2"/>
  <c r="BN530" i="2"/>
  <c r="BO530" i="2" s="1"/>
  <c r="BL530" i="2"/>
  <c r="BI530" i="2"/>
  <c r="BJ530" i="2" s="1"/>
  <c r="BG530" i="2"/>
  <c r="BD530" i="2"/>
  <c r="BE530" i="2" s="1"/>
  <c r="BB530" i="2"/>
  <c r="AY530" i="2"/>
  <c r="AZ530" i="2" s="1"/>
  <c r="AW530" i="2"/>
  <c r="AT530" i="2"/>
  <c r="AU530" i="2" s="1"/>
  <c r="AR530" i="2"/>
  <c r="AO530" i="2"/>
  <c r="AP530" i="2" s="1"/>
  <c r="AM530" i="2"/>
  <c r="AJ530" i="2"/>
  <c r="AK530" i="2" s="1"/>
  <c r="AH530" i="2"/>
  <c r="AE530" i="2"/>
  <c r="AF530" i="2" s="1"/>
  <c r="AC530" i="2"/>
  <c r="Z530" i="2"/>
  <c r="AA530" i="2" s="1"/>
  <c r="X530" i="2"/>
  <c r="S530" i="2"/>
  <c r="M530" i="2"/>
  <c r="I530" i="2"/>
  <c r="A530" i="2"/>
  <c r="CC529" i="2"/>
  <c r="CD529" i="2" s="1"/>
  <c r="CA529" i="2"/>
  <c r="BX529" i="2"/>
  <c r="BY529" i="2" s="1"/>
  <c r="BV529" i="2"/>
  <c r="BS529" i="2"/>
  <c r="BT529" i="2" s="1"/>
  <c r="BQ529" i="2"/>
  <c r="BN529" i="2"/>
  <c r="BO529" i="2" s="1"/>
  <c r="BL529" i="2"/>
  <c r="BI529" i="2"/>
  <c r="BJ529" i="2" s="1"/>
  <c r="BG529" i="2"/>
  <c r="BD529" i="2"/>
  <c r="BE529" i="2" s="1"/>
  <c r="BB529" i="2"/>
  <c r="AY529" i="2"/>
  <c r="AZ529" i="2" s="1"/>
  <c r="AW529" i="2"/>
  <c r="AT529" i="2"/>
  <c r="AU529" i="2" s="1"/>
  <c r="AR529" i="2"/>
  <c r="AO529" i="2"/>
  <c r="AP529" i="2" s="1"/>
  <c r="AM529" i="2"/>
  <c r="AJ529" i="2"/>
  <c r="AK529" i="2" s="1"/>
  <c r="AH529" i="2"/>
  <c r="AE529" i="2"/>
  <c r="AF529" i="2" s="1"/>
  <c r="AC529" i="2"/>
  <c r="Z529" i="2"/>
  <c r="AA529" i="2" s="1"/>
  <c r="X529" i="2"/>
  <c r="S529" i="2"/>
  <c r="M529" i="2"/>
  <c r="I529" i="2"/>
  <c r="A529" i="2"/>
  <c r="CC528" i="2"/>
  <c r="CD528" i="2" s="1"/>
  <c r="CA528" i="2"/>
  <c r="BX528" i="2"/>
  <c r="BY528" i="2" s="1"/>
  <c r="BV528" i="2"/>
  <c r="BS528" i="2"/>
  <c r="BT528" i="2" s="1"/>
  <c r="BQ528" i="2"/>
  <c r="BN528" i="2"/>
  <c r="BO528" i="2" s="1"/>
  <c r="BL528" i="2"/>
  <c r="BI528" i="2"/>
  <c r="BJ528" i="2" s="1"/>
  <c r="BG528" i="2"/>
  <c r="BD528" i="2"/>
  <c r="BE528" i="2" s="1"/>
  <c r="BB528" i="2"/>
  <c r="AY528" i="2"/>
  <c r="AZ528" i="2" s="1"/>
  <c r="AW528" i="2"/>
  <c r="AT528" i="2"/>
  <c r="AU528" i="2" s="1"/>
  <c r="AR528" i="2"/>
  <c r="AO528" i="2"/>
  <c r="AP528" i="2" s="1"/>
  <c r="AM528" i="2"/>
  <c r="AJ528" i="2"/>
  <c r="AK528" i="2" s="1"/>
  <c r="AH528" i="2"/>
  <c r="AE528" i="2"/>
  <c r="AF528" i="2" s="1"/>
  <c r="AC528" i="2"/>
  <c r="Z528" i="2"/>
  <c r="AA528" i="2" s="1"/>
  <c r="X528" i="2"/>
  <c r="S528" i="2"/>
  <c r="M528" i="2"/>
  <c r="I528" i="2"/>
  <c r="A528" i="2"/>
  <c r="CC527" i="2"/>
  <c r="CD527" i="2" s="1"/>
  <c r="CA527" i="2"/>
  <c r="BX527" i="2"/>
  <c r="BY527" i="2" s="1"/>
  <c r="BV527" i="2"/>
  <c r="BS527" i="2"/>
  <c r="BT527" i="2" s="1"/>
  <c r="BQ527" i="2"/>
  <c r="BN527" i="2"/>
  <c r="BO527" i="2" s="1"/>
  <c r="BL527" i="2"/>
  <c r="BI527" i="2"/>
  <c r="BJ527" i="2" s="1"/>
  <c r="BG527" i="2"/>
  <c r="BD527" i="2"/>
  <c r="BE527" i="2" s="1"/>
  <c r="BB527" i="2"/>
  <c r="AY527" i="2"/>
  <c r="AZ527" i="2" s="1"/>
  <c r="AW527" i="2"/>
  <c r="AT527" i="2"/>
  <c r="AU527" i="2" s="1"/>
  <c r="AR527" i="2"/>
  <c r="AO527" i="2"/>
  <c r="AP527" i="2" s="1"/>
  <c r="AM527" i="2"/>
  <c r="AJ527" i="2"/>
  <c r="AK527" i="2" s="1"/>
  <c r="AH527" i="2"/>
  <c r="AE527" i="2"/>
  <c r="AF527" i="2" s="1"/>
  <c r="AC527" i="2"/>
  <c r="Z527" i="2"/>
  <c r="AA527" i="2" s="1"/>
  <c r="X527" i="2"/>
  <c r="S527" i="2"/>
  <c r="M527" i="2"/>
  <c r="I527" i="2"/>
  <c r="A527" i="2"/>
  <c r="CC526" i="2"/>
  <c r="CD526" i="2" s="1"/>
  <c r="CA526" i="2"/>
  <c r="BX526" i="2"/>
  <c r="BY526" i="2" s="1"/>
  <c r="BV526" i="2"/>
  <c r="BS526" i="2"/>
  <c r="BT526" i="2" s="1"/>
  <c r="BQ526" i="2"/>
  <c r="BN526" i="2"/>
  <c r="BO526" i="2" s="1"/>
  <c r="BL526" i="2"/>
  <c r="BI526" i="2"/>
  <c r="BJ526" i="2" s="1"/>
  <c r="BG526" i="2"/>
  <c r="BD526" i="2"/>
  <c r="BE526" i="2" s="1"/>
  <c r="BB526" i="2"/>
  <c r="AY526" i="2"/>
  <c r="AZ526" i="2" s="1"/>
  <c r="AW526" i="2"/>
  <c r="AT526" i="2"/>
  <c r="AU526" i="2" s="1"/>
  <c r="AR526" i="2"/>
  <c r="AO526" i="2"/>
  <c r="AP526" i="2" s="1"/>
  <c r="AM526" i="2"/>
  <c r="AJ526" i="2"/>
  <c r="AK526" i="2" s="1"/>
  <c r="AH526" i="2"/>
  <c r="AE526" i="2"/>
  <c r="AF526" i="2" s="1"/>
  <c r="AC526" i="2"/>
  <c r="Z526" i="2"/>
  <c r="AA526" i="2" s="1"/>
  <c r="X526" i="2"/>
  <c r="S526" i="2"/>
  <c r="M526" i="2"/>
  <c r="I526" i="2"/>
  <c r="A526" i="2"/>
  <c r="CC525" i="2"/>
  <c r="CD525" i="2" s="1"/>
  <c r="CA525" i="2"/>
  <c r="BX525" i="2"/>
  <c r="BY525" i="2" s="1"/>
  <c r="BV525" i="2"/>
  <c r="BS525" i="2"/>
  <c r="BT525" i="2" s="1"/>
  <c r="BQ525" i="2"/>
  <c r="BN525" i="2"/>
  <c r="BO525" i="2" s="1"/>
  <c r="BL525" i="2"/>
  <c r="BI525" i="2"/>
  <c r="BJ525" i="2" s="1"/>
  <c r="BG525" i="2"/>
  <c r="BD525" i="2"/>
  <c r="BE525" i="2" s="1"/>
  <c r="BB525" i="2"/>
  <c r="AY525" i="2"/>
  <c r="AZ525" i="2" s="1"/>
  <c r="AW525" i="2"/>
  <c r="AT525" i="2"/>
  <c r="AU525" i="2" s="1"/>
  <c r="AR525" i="2"/>
  <c r="AO525" i="2"/>
  <c r="AP525" i="2" s="1"/>
  <c r="AM525" i="2"/>
  <c r="AJ525" i="2"/>
  <c r="AK525" i="2" s="1"/>
  <c r="AH525" i="2"/>
  <c r="AE525" i="2"/>
  <c r="AF525" i="2" s="1"/>
  <c r="AC525" i="2"/>
  <c r="Z525" i="2"/>
  <c r="AA525" i="2" s="1"/>
  <c r="X525" i="2"/>
  <c r="S525" i="2"/>
  <c r="M525" i="2"/>
  <c r="I525" i="2"/>
  <c r="A525" i="2"/>
  <c r="CC524" i="2"/>
  <c r="CD524" i="2" s="1"/>
  <c r="CA524" i="2"/>
  <c r="BX524" i="2"/>
  <c r="BY524" i="2" s="1"/>
  <c r="BV524" i="2"/>
  <c r="BS524" i="2"/>
  <c r="BT524" i="2" s="1"/>
  <c r="BQ524" i="2"/>
  <c r="BN524" i="2"/>
  <c r="BO524" i="2" s="1"/>
  <c r="BL524" i="2"/>
  <c r="BI524" i="2"/>
  <c r="BJ524" i="2" s="1"/>
  <c r="BG524" i="2"/>
  <c r="BD524" i="2"/>
  <c r="BE524" i="2" s="1"/>
  <c r="BB524" i="2"/>
  <c r="AY524" i="2"/>
  <c r="AZ524" i="2" s="1"/>
  <c r="AW524" i="2"/>
  <c r="AT524" i="2"/>
  <c r="AU524" i="2" s="1"/>
  <c r="AR524" i="2"/>
  <c r="AO524" i="2"/>
  <c r="AP524" i="2" s="1"/>
  <c r="AM524" i="2"/>
  <c r="AJ524" i="2"/>
  <c r="AK524" i="2" s="1"/>
  <c r="AH524" i="2"/>
  <c r="AE524" i="2"/>
  <c r="AF524" i="2" s="1"/>
  <c r="AC524" i="2"/>
  <c r="Z524" i="2"/>
  <c r="AA524" i="2" s="1"/>
  <c r="X524" i="2"/>
  <c r="S524" i="2"/>
  <c r="M524" i="2"/>
  <c r="I524" i="2"/>
  <c r="A524" i="2"/>
  <c r="CC523" i="2"/>
  <c r="CD523" i="2" s="1"/>
  <c r="CA523" i="2"/>
  <c r="BX523" i="2"/>
  <c r="BY523" i="2" s="1"/>
  <c r="BV523" i="2"/>
  <c r="BS523" i="2"/>
  <c r="BT523" i="2" s="1"/>
  <c r="BQ523" i="2"/>
  <c r="BN523" i="2"/>
  <c r="BO523" i="2" s="1"/>
  <c r="BL523" i="2"/>
  <c r="BI523" i="2"/>
  <c r="BJ523" i="2" s="1"/>
  <c r="BG523" i="2"/>
  <c r="BD523" i="2"/>
  <c r="BE523" i="2" s="1"/>
  <c r="BB523" i="2"/>
  <c r="AY523" i="2"/>
  <c r="AZ523" i="2" s="1"/>
  <c r="AW523" i="2"/>
  <c r="AT523" i="2"/>
  <c r="AU523" i="2" s="1"/>
  <c r="AR523" i="2"/>
  <c r="AO523" i="2"/>
  <c r="AP523" i="2" s="1"/>
  <c r="AM523" i="2"/>
  <c r="AJ523" i="2"/>
  <c r="AK523" i="2" s="1"/>
  <c r="AH523" i="2"/>
  <c r="AE523" i="2"/>
  <c r="AF523" i="2" s="1"/>
  <c r="AC523" i="2"/>
  <c r="Z523" i="2"/>
  <c r="AA523" i="2" s="1"/>
  <c r="X523" i="2"/>
  <c r="S523" i="2"/>
  <c r="M523" i="2"/>
  <c r="I523" i="2"/>
  <c r="A523" i="2"/>
  <c r="CC522" i="2"/>
  <c r="CD522" i="2" s="1"/>
  <c r="CA522" i="2"/>
  <c r="BX522" i="2"/>
  <c r="BY522" i="2" s="1"/>
  <c r="BV522" i="2"/>
  <c r="BS522" i="2"/>
  <c r="BT522" i="2" s="1"/>
  <c r="BQ522" i="2"/>
  <c r="BN522" i="2"/>
  <c r="BO522" i="2" s="1"/>
  <c r="BL522" i="2"/>
  <c r="BI522" i="2"/>
  <c r="BJ522" i="2" s="1"/>
  <c r="BG522" i="2"/>
  <c r="BD522" i="2"/>
  <c r="BE522" i="2" s="1"/>
  <c r="BB522" i="2"/>
  <c r="AY522" i="2"/>
  <c r="AZ522" i="2" s="1"/>
  <c r="AW522" i="2"/>
  <c r="AT522" i="2"/>
  <c r="AU522" i="2" s="1"/>
  <c r="AR522" i="2"/>
  <c r="AO522" i="2"/>
  <c r="AP522" i="2" s="1"/>
  <c r="AM522" i="2"/>
  <c r="AJ522" i="2"/>
  <c r="AK522" i="2" s="1"/>
  <c r="AH522" i="2"/>
  <c r="AE522" i="2"/>
  <c r="AF522" i="2" s="1"/>
  <c r="AC522" i="2"/>
  <c r="Z522" i="2"/>
  <c r="AA522" i="2" s="1"/>
  <c r="X522" i="2"/>
  <c r="S522" i="2"/>
  <c r="M522" i="2"/>
  <c r="I522" i="2"/>
  <c r="A522" i="2"/>
  <c r="CC521" i="2"/>
  <c r="CD521" i="2" s="1"/>
  <c r="CA521" i="2"/>
  <c r="BX521" i="2"/>
  <c r="BY521" i="2" s="1"/>
  <c r="BV521" i="2"/>
  <c r="BS521" i="2"/>
  <c r="BT521" i="2" s="1"/>
  <c r="BQ521" i="2"/>
  <c r="BN521" i="2"/>
  <c r="BO521" i="2" s="1"/>
  <c r="BL521" i="2"/>
  <c r="BI521" i="2"/>
  <c r="BJ521" i="2" s="1"/>
  <c r="BG521" i="2"/>
  <c r="BD521" i="2"/>
  <c r="BE521" i="2" s="1"/>
  <c r="BB521" i="2"/>
  <c r="AY521" i="2"/>
  <c r="AZ521" i="2" s="1"/>
  <c r="AW521" i="2"/>
  <c r="AT521" i="2"/>
  <c r="AU521" i="2" s="1"/>
  <c r="AR521" i="2"/>
  <c r="AO521" i="2"/>
  <c r="AP521" i="2" s="1"/>
  <c r="AM521" i="2"/>
  <c r="AJ521" i="2"/>
  <c r="AK521" i="2" s="1"/>
  <c r="AH521" i="2"/>
  <c r="AE521" i="2"/>
  <c r="AF521" i="2" s="1"/>
  <c r="AC521" i="2"/>
  <c r="Z521" i="2"/>
  <c r="AA521" i="2" s="1"/>
  <c r="X521" i="2"/>
  <c r="S521" i="2"/>
  <c r="M521" i="2"/>
  <c r="I521" i="2"/>
  <c r="A521" i="2"/>
  <c r="CC520" i="2"/>
  <c r="CD520" i="2" s="1"/>
  <c r="CA520" i="2"/>
  <c r="BX520" i="2"/>
  <c r="BY520" i="2" s="1"/>
  <c r="BV520" i="2"/>
  <c r="BS520" i="2"/>
  <c r="BT520" i="2" s="1"/>
  <c r="BQ520" i="2"/>
  <c r="BN520" i="2"/>
  <c r="BO520" i="2" s="1"/>
  <c r="BL520" i="2"/>
  <c r="BI520" i="2"/>
  <c r="BJ520" i="2" s="1"/>
  <c r="BG520" i="2"/>
  <c r="BD520" i="2"/>
  <c r="BE520" i="2" s="1"/>
  <c r="BB520" i="2"/>
  <c r="AY520" i="2"/>
  <c r="AZ520" i="2" s="1"/>
  <c r="AW520" i="2"/>
  <c r="AT520" i="2"/>
  <c r="AU520" i="2" s="1"/>
  <c r="AR520" i="2"/>
  <c r="AO520" i="2"/>
  <c r="AP520" i="2" s="1"/>
  <c r="AM520" i="2"/>
  <c r="AJ520" i="2"/>
  <c r="AK520" i="2" s="1"/>
  <c r="AH520" i="2"/>
  <c r="AE520" i="2"/>
  <c r="AF520" i="2" s="1"/>
  <c r="AC520" i="2"/>
  <c r="Z520" i="2"/>
  <c r="AA520" i="2" s="1"/>
  <c r="X520" i="2"/>
  <c r="S520" i="2"/>
  <c r="M520" i="2"/>
  <c r="I520" i="2"/>
  <c r="A520" i="2"/>
  <c r="CC519" i="2"/>
  <c r="CD519" i="2" s="1"/>
  <c r="CA519" i="2"/>
  <c r="BX519" i="2"/>
  <c r="BY519" i="2" s="1"/>
  <c r="BV519" i="2"/>
  <c r="BS519" i="2"/>
  <c r="BT519" i="2" s="1"/>
  <c r="BQ519" i="2"/>
  <c r="BN519" i="2"/>
  <c r="BO519" i="2" s="1"/>
  <c r="BL519" i="2"/>
  <c r="BI519" i="2"/>
  <c r="BJ519" i="2" s="1"/>
  <c r="BG519" i="2"/>
  <c r="BD519" i="2"/>
  <c r="BE519" i="2" s="1"/>
  <c r="BB519" i="2"/>
  <c r="AY519" i="2"/>
  <c r="AZ519" i="2" s="1"/>
  <c r="AW519" i="2"/>
  <c r="AT519" i="2"/>
  <c r="AU519" i="2" s="1"/>
  <c r="AR519" i="2"/>
  <c r="AO519" i="2"/>
  <c r="AP519" i="2" s="1"/>
  <c r="AM519" i="2"/>
  <c r="AJ519" i="2"/>
  <c r="AK519" i="2" s="1"/>
  <c r="AH519" i="2"/>
  <c r="AE519" i="2"/>
  <c r="AF519" i="2" s="1"/>
  <c r="AC519" i="2"/>
  <c r="Z519" i="2"/>
  <c r="AA519" i="2" s="1"/>
  <c r="X519" i="2"/>
  <c r="S519" i="2"/>
  <c r="M519" i="2"/>
  <c r="I519" i="2"/>
  <c r="A519" i="2"/>
  <c r="CC518" i="2"/>
  <c r="CD518" i="2" s="1"/>
  <c r="CA518" i="2"/>
  <c r="BX518" i="2"/>
  <c r="BY518" i="2" s="1"/>
  <c r="BV518" i="2"/>
  <c r="BS518" i="2"/>
  <c r="BT518" i="2" s="1"/>
  <c r="BQ518" i="2"/>
  <c r="BN518" i="2"/>
  <c r="BO518" i="2" s="1"/>
  <c r="BL518" i="2"/>
  <c r="BI518" i="2"/>
  <c r="BJ518" i="2" s="1"/>
  <c r="BG518" i="2"/>
  <c r="BD518" i="2"/>
  <c r="BE518" i="2" s="1"/>
  <c r="BB518" i="2"/>
  <c r="AY518" i="2"/>
  <c r="AZ518" i="2" s="1"/>
  <c r="AW518" i="2"/>
  <c r="AT518" i="2"/>
  <c r="AU518" i="2" s="1"/>
  <c r="AR518" i="2"/>
  <c r="AO518" i="2"/>
  <c r="AP518" i="2" s="1"/>
  <c r="AM518" i="2"/>
  <c r="AJ518" i="2"/>
  <c r="AK518" i="2" s="1"/>
  <c r="AH518" i="2"/>
  <c r="AE518" i="2"/>
  <c r="AF518" i="2" s="1"/>
  <c r="AC518" i="2"/>
  <c r="Z518" i="2"/>
  <c r="AA518" i="2" s="1"/>
  <c r="X518" i="2"/>
  <c r="S518" i="2"/>
  <c r="M518" i="2"/>
  <c r="I518" i="2"/>
  <c r="A518" i="2"/>
  <c r="CC517" i="2"/>
  <c r="CD517" i="2" s="1"/>
  <c r="CA517" i="2"/>
  <c r="BX517" i="2"/>
  <c r="BY517" i="2" s="1"/>
  <c r="BV517" i="2"/>
  <c r="BS517" i="2"/>
  <c r="BT517" i="2" s="1"/>
  <c r="BQ517" i="2"/>
  <c r="BN517" i="2"/>
  <c r="BO517" i="2" s="1"/>
  <c r="BL517" i="2"/>
  <c r="BI517" i="2"/>
  <c r="BJ517" i="2" s="1"/>
  <c r="BG517" i="2"/>
  <c r="BD517" i="2"/>
  <c r="BE517" i="2" s="1"/>
  <c r="BB517" i="2"/>
  <c r="AY517" i="2"/>
  <c r="AZ517" i="2" s="1"/>
  <c r="AW517" i="2"/>
  <c r="AT517" i="2"/>
  <c r="AU517" i="2" s="1"/>
  <c r="AR517" i="2"/>
  <c r="AO517" i="2"/>
  <c r="AP517" i="2" s="1"/>
  <c r="AM517" i="2"/>
  <c r="AJ517" i="2"/>
  <c r="AK517" i="2" s="1"/>
  <c r="AH517" i="2"/>
  <c r="AE517" i="2"/>
  <c r="AF517" i="2" s="1"/>
  <c r="AC517" i="2"/>
  <c r="Z517" i="2"/>
  <c r="AA517" i="2" s="1"/>
  <c r="X517" i="2"/>
  <c r="S517" i="2"/>
  <c r="M517" i="2"/>
  <c r="I517" i="2"/>
  <c r="A517" i="2"/>
  <c r="CC516" i="2"/>
  <c r="CD516" i="2" s="1"/>
  <c r="CA516" i="2"/>
  <c r="BX516" i="2"/>
  <c r="BY516" i="2" s="1"/>
  <c r="BV516" i="2"/>
  <c r="BS516" i="2"/>
  <c r="BT516" i="2" s="1"/>
  <c r="BQ516" i="2"/>
  <c r="BN516" i="2"/>
  <c r="BO516" i="2" s="1"/>
  <c r="BL516" i="2"/>
  <c r="BI516" i="2"/>
  <c r="BJ516" i="2" s="1"/>
  <c r="BG516" i="2"/>
  <c r="BD516" i="2"/>
  <c r="BE516" i="2" s="1"/>
  <c r="BB516" i="2"/>
  <c r="AY516" i="2"/>
  <c r="AZ516" i="2" s="1"/>
  <c r="AW516" i="2"/>
  <c r="AT516" i="2"/>
  <c r="AU516" i="2" s="1"/>
  <c r="AR516" i="2"/>
  <c r="AO516" i="2"/>
  <c r="AP516" i="2" s="1"/>
  <c r="AM516" i="2"/>
  <c r="AJ516" i="2"/>
  <c r="AK516" i="2" s="1"/>
  <c r="AH516" i="2"/>
  <c r="AE516" i="2"/>
  <c r="AF516" i="2" s="1"/>
  <c r="AC516" i="2"/>
  <c r="Z516" i="2"/>
  <c r="AA516" i="2" s="1"/>
  <c r="X516" i="2"/>
  <c r="S516" i="2"/>
  <c r="M516" i="2"/>
  <c r="I516" i="2"/>
  <c r="A516" i="2"/>
  <c r="CC515" i="2"/>
  <c r="CD515" i="2" s="1"/>
  <c r="CA515" i="2"/>
  <c r="BX515" i="2"/>
  <c r="BY515" i="2" s="1"/>
  <c r="BV515" i="2"/>
  <c r="BS515" i="2"/>
  <c r="BT515" i="2" s="1"/>
  <c r="BQ515" i="2"/>
  <c r="BN515" i="2"/>
  <c r="BO515" i="2" s="1"/>
  <c r="BL515" i="2"/>
  <c r="BI515" i="2"/>
  <c r="BJ515" i="2" s="1"/>
  <c r="BG515" i="2"/>
  <c r="BD515" i="2"/>
  <c r="BE515" i="2" s="1"/>
  <c r="BB515" i="2"/>
  <c r="AY515" i="2"/>
  <c r="AZ515" i="2" s="1"/>
  <c r="AW515" i="2"/>
  <c r="AT515" i="2"/>
  <c r="AU515" i="2" s="1"/>
  <c r="AR515" i="2"/>
  <c r="AO515" i="2"/>
  <c r="AP515" i="2" s="1"/>
  <c r="AM515" i="2"/>
  <c r="AJ515" i="2"/>
  <c r="AK515" i="2" s="1"/>
  <c r="AH515" i="2"/>
  <c r="AE515" i="2"/>
  <c r="AF515" i="2" s="1"/>
  <c r="AC515" i="2"/>
  <c r="Z515" i="2"/>
  <c r="AA515" i="2" s="1"/>
  <c r="X515" i="2"/>
  <c r="S515" i="2"/>
  <c r="M515" i="2"/>
  <c r="I515" i="2"/>
  <c r="A515" i="2"/>
  <c r="CC514" i="2"/>
  <c r="CD514" i="2" s="1"/>
  <c r="CA514" i="2"/>
  <c r="BX514" i="2"/>
  <c r="BY514" i="2" s="1"/>
  <c r="BV514" i="2"/>
  <c r="BS514" i="2"/>
  <c r="BT514" i="2" s="1"/>
  <c r="BQ514" i="2"/>
  <c r="BN514" i="2"/>
  <c r="BO514" i="2" s="1"/>
  <c r="BL514" i="2"/>
  <c r="BI514" i="2"/>
  <c r="BJ514" i="2" s="1"/>
  <c r="BG514" i="2"/>
  <c r="BD514" i="2"/>
  <c r="BE514" i="2" s="1"/>
  <c r="BB514" i="2"/>
  <c r="AY514" i="2"/>
  <c r="AZ514" i="2" s="1"/>
  <c r="AW514" i="2"/>
  <c r="AT514" i="2"/>
  <c r="AU514" i="2" s="1"/>
  <c r="AR514" i="2"/>
  <c r="AO514" i="2"/>
  <c r="AP514" i="2" s="1"/>
  <c r="AM514" i="2"/>
  <c r="AJ514" i="2"/>
  <c r="AK514" i="2" s="1"/>
  <c r="AH514" i="2"/>
  <c r="AE514" i="2"/>
  <c r="AF514" i="2" s="1"/>
  <c r="AC514" i="2"/>
  <c r="Z514" i="2"/>
  <c r="AA514" i="2" s="1"/>
  <c r="X514" i="2"/>
  <c r="S514" i="2"/>
  <c r="M514" i="2"/>
  <c r="I514" i="2"/>
  <c r="A514" i="2"/>
  <c r="CC513" i="2"/>
  <c r="CD513" i="2" s="1"/>
  <c r="CA513" i="2"/>
  <c r="BX513" i="2"/>
  <c r="BY513" i="2" s="1"/>
  <c r="BV513" i="2"/>
  <c r="BS513" i="2"/>
  <c r="BT513" i="2" s="1"/>
  <c r="BQ513" i="2"/>
  <c r="BN513" i="2"/>
  <c r="BO513" i="2" s="1"/>
  <c r="BL513" i="2"/>
  <c r="BI513" i="2"/>
  <c r="BJ513" i="2" s="1"/>
  <c r="BG513" i="2"/>
  <c r="BD513" i="2"/>
  <c r="BE513" i="2" s="1"/>
  <c r="BB513" i="2"/>
  <c r="AY513" i="2"/>
  <c r="AZ513" i="2" s="1"/>
  <c r="AW513" i="2"/>
  <c r="AT513" i="2"/>
  <c r="AU513" i="2" s="1"/>
  <c r="AR513" i="2"/>
  <c r="AO513" i="2"/>
  <c r="AP513" i="2" s="1"/>
  <c r="AM513" i="2"/>
  <c r="AJ513" i="2"/>
  <c r="AK513" i="2" s="1"/>
  <c r="AH513" i="2"/>
  <c r="AE513" i="2"/>
  <c r="AF513" i="2" s="1"/>
  <c r="AC513" i="2"/>
  <c r="Z513" i="2"/>
  <c r="AA513" i="2" s="1"/>
  <c r="X513" i="2"/>
  <c r="S513" i="2"/>
  <c r="M513" i="2"/>
  <c r="I513" i="2"/>
  <c r="A513" i="2"/>
  <c r="CC512" i="2"/>
  <c r="CD512" i="2" s="1"/>
  <c r="CA512" i="2"/>
  <c r="BX512" i="2"/>
  <c r="BY512" i="2" s="1"/>
  <c r="BV512" i="2"/>
  <c r="BS512" i="2"/>
  <c r="BT512" i="2" s="1"/>
  <c r="BQ512" i="2"/>
  <c r="BN512" i="2"/>
  <c r="BO512" i="2" s="1"/>
  <c r="BL512" i="2"/>
  <c r="BI512" i="2"/>
  <c r="BJ512" i="2" s="1"/>
  <c r="BG512" i="2"/>
  <c r="BD512" i="2"/>
  <c r="BE512" i="2" s="1"/>
  <c r="BB512" i="2"/>
  <c r="AY512" i="2"/>
  <c r="AZ512" i="2" s="1"/>
  <c r="AW512" i="2"/>
  <c r="AT512" i="2"/>
  <c r="AU512" i="2" s="1"/>
  <c r="AR512" i="2"/>
  <c r="AO512" i="2"/>
  <c r="AP512" i="2" s="1"/>
  <c r="AM512" i="2"/>
  <c r="AJ512" i="2"/>
  <c r="AK512" i="2" s="1"/>
  <c r="AH512" i="2"/>
  <c r="AE512" i="2"/>
  <c r="AF512" i="2" s="1"/>
  <c r="AC512" i="2"/>
  <c r="Z512" i="2"/>
  <c r="AA512" i="2" s="1"/>
  <c r="X512" i="2"/>
  <c r="S512" i="2"/>
  <c r="M512" i="2"/>
  <c r="I512" i="2"/>
  <c r="A512" i="2"/>
  <c r="CC511" i="2"/>
  <c r="CD511" i="2" s="1"/>
  <c r="CA511" i="2"/>
  <c r="BX511" i="2"/>
  <c r="BY511" i="2" s="1"/>
  <c r="BV511" i="2"/>
  <c r="BS511" i="2"/>
  <c r="BT511" i="2" s="1"/>
  <c r="BQ511" i="2"/>
  <c r="BN511" i="2"/>
  <c r="BO511" i="2" s="1"/>
  <c r="BL511" i="2"/>
  <c r="BI511" i="2"/>
  <c r="BJ511" i="2" s="1"/>
  <c r="BG511" i="2"/>
  <c r="BD511" i="2"/>
  <c r="BE511" i="2" s="1"/>
  <c r="BB511" i="2"/>
  <c r="AY511" i="2"/>
  <c r="AZ511" i="2" s="1"/>
  <c r="AW511" i="2"/>
  <c r="AT511" i="2"/>
  <c r="AU511" i="2" s="1"/>
  <c r="AR511" i="2"/>
  <c r="AO511" i="2"/>
  <c r="AP511" i="2" s="1"/>
  <c r="AM511" i="2"/>
  <c r="AJ511" i="2"/>
  <c r="AK511" i="2" s="1"/>
  <c r="AH511" i="2"/>
  <c r="AE511" i="2"/>
  <c r="AF511" i="2" s="1"/>
  <c r="AC511" i="2"/>
  <c r="Z511" i="2"/>
  <c r="AA511" i="2" s="1"/>
  <c r="X511" i="2"/>
  <c r="S511" i="2"/>
  <c r="M511" i="2"/>
  <c r="O511" i="2" s="1"/>
  <c r="I511" i="2"/>
  <c r="A511" i="2"/>
  <c r="CC510" i="2"/>
  <c r="CD510" i="2" s="1"/>
  <c r="CA510" i="2"/>
  <c r="BX510" i="2"/>
  <c r="BY510" i="2" s="1"/>
  <c r="BV510" i="2"/>
  <c r="BS510" i="2"/>
  <c r="BT510" i="2" s="1"/>
  <c r="BQ510" i="2"/>
  <c r="BN510" i="2"/>
  <c r="BO510" i="2" s="1"/>
  <c r="BL510" i="2"/>
  <c r="BI510" i="2"/>
  <c r="BJ510" i="2" s="1"/>
  <c r="BG510" i="2"/>
  <c r="BD510" i="2"/>
  <c r="BE510" i="2" s="1"/>
  <c r="BB510" i="2"/>
  <c r="AY510" i="2"/>
  <c r="AZ510" i="2" s="1"/>
  <c r="AW510" i="2"/>
  <c r="AT510" i="2"/>
  <c r="AU510" i="2" s="1"/>
  <c r="AR510" i="2"/>
  <c r="AO510" i="2"/>
  <c r="AP510" i="2" s="1"/>
  <c r="AM510" i="2"/>
  <c r="AJ510" i="2"/>
  <c r="AK510" i="2" s="1"/>
  <c r="AH510" i="2"/>
  <c r="AE510" i="2"/>
  <c r="AF510" i="2" s="1"/>
  <c r="AC510" i="2"/>
  <c r="Z510" i="2"/>
  <c r="AA510" i="2" s="1"/>
  <c r="T510" i="2" s="1"/>
  <c r="X510" i="2"/>
  <c r="S510" i="2"/>
  <c r="M510" i="2"/>
  <c r="I510" i="2"/>
  <c r="A510" i="2"/>
  <c r="CC509" i="2"/>
  <c r="CD509" i="2" s="1"/>
  <c r="CA509" i="2"/>
  <c r="BX509" i="2"/>
  <c r="BY509" i="2" s="1"/>
  <c r="BV509" i="2"/>
  <c r="BS509" i="2"/>
  <c r="BT509" i="2" s="1"/>
  <c r="BQ509" i="2"/>
  <c r="BN509" i="2"/>
  <c r="BO509" i="2" s="1"/>
  <c r="BL509" i="2"/>
  <c r="BI509" i="2"/>
  <c r="BJ509" i="2" s="1"/>
  <c r="BG509" i="2"/>
  <c r="BD509" i="2"/>
  <c r="BE509" i="2" s="1"/>
  <c r="BB509" i="2"/>
  <c r="AY509" i="2"/>
  <c r="AZ509" i="2" s="1"/>
  <c r="AW509" i="2"/>
  <c r="AT509" i="2"/>
  <c r="AU509" i="2" s="1"/>
  <c r="AR509" i="2"/>
  <c r="AO509" i="2"/>
  <c r="AP509" i="2" s="1"/>
  <c r="AM509" i="2"/>
  <c r="AJ509" i="2"/>
  <c r="AK509" i="2" s="1"/>
  <c r="AH509" i="2"/>
  <c r="AE509" i="2"/>
  <c r="AF509" i="2" s="1"/>
  <c r="AC509" i="2"/>
  <c r="Z509" i="2"/>
  <c r="AA509" i="2" s="1"/>
  <c r="X509" i="2"/>
  <c r="S509" i="2"/>
  <c r="M509" i="2"/>
  <c r="I509" i="2"/>
  <c r="A509" i="2"/>
  <c r="CC508" i="2"/>
  <c r="CD508" i="2" s="1"/>
  <c r="CA508" i="2"/>
  <c r="BX508" i="2"/>
  <c r="BY508" i="2" s="1"/>
  <c r="BV508" i="2"/>
  <c r="BS508" i="2"/>
  <c r="BT508" i="2" s="1"/>
  <c r="BQ508" i="2"/>
  <c r="BN508" i="2"/>
  <c r="BO508" i="2" s="1"/>
  <c r="BL508" i="2"/>
  <c r="BI508" i="2"/>
  <c r="BJ508" i="2" s="1"/>
  <c r="BG508" i="2"/>
  <c r="BD508" i="2"/>
  <c r="BE508" i="2" s="1"/>
  <c r="BB508" i="2"/>
  <c r="AY508" i="2"/>
  <c r="AZ508" i="2" s="1"/>
  <c r="AW508" i="2"/>
  <c r="AT508" i="2"/>
  <c r="AU508" i="2" s="1"/>
  <c r="AR508" i="2"/>
  <c r="AO508" i="2"/>
  <c r="AP508" i="2" s="1"/>
  <c r="AM508" i="2"/>
  <c r="AJ508" i="2"/>
  <c r="AK508" i="2" s="1"/>
  <c r="AH508" i="2"/>
  <c r="AE508" i="2"/>
  <c r="AF508" i="2" s="1"/>
  <c r="AC508" i="2"/>
  <c r="Z508" i="2"/>
  <c r="AA508" i="2" s="1"/>
  <c r="X508" i="2"/>
  <c r="S508" i="2"/>
  <c r="M508" i="2"/>
  <c r="I508" i="2"/>
  <c r="A508" i="2"/>
  <c r="CC507" i="2"/>
  <c r="CD507" i="2" s="1"/>
  <c r="CA507" i="2"/>
  <c r="BX507" i="2"/>
  <c r="BY507" i="2" s="1"/>
  <c r="BV507" i="2"/>
  <c r="BS507" i="2"/>
  <c r="BT507" i="2" s="1"/>
  <c r="BQ507" i="2"/>
  <c r="BN507" i="2"/>
  <c r="BO507" i="2" s="1"/>
  <c r="BL507" i="2"/>
  <c r="BI507" i="2"/>
  <c r="BJ507" i="2" s="1"/>
  <c r="BG507" i="2"/>
  <c r="BD507" i="2"/>
  <c r="BE507" i="2" s="1"/>
  <c r="BB507" i="2"/>
  <c r="AY507" i="2"/>
  <c r="AZ507" i="2" s="1"/>
  <c r="AW507" i="2"/>
  <c r="AT507" i="2"/>
  <c r="AU507" i="2" s="1"/>
  <c r="AR507" i="2"/>
  <c r="AO507" i="2"/>
  <c r="AP507" i="2" s="1"/>
  <c r="AM507" i="2"/>
  <c r="AJ507" i="2"/>
  <c r="AK507" i="2" s="1"/>
  <c r="AH507" i="2"/>
  <c r="AE507" i="2"/>
  <c r="AF507" i="2" s="1"/>
  <c r="AC507" i="2"/>
  <c r="Z507" i="2"/>
  <c r="AA507" i="2" s="1"/>
  <c r="X507" i="2"/>
  <c r="S507" i="2"/>
  <c r="M507" i="2"/>
  <c r="O507" i="2" s="1"/>
  <c r="I507" i="2"/>
  <c r="A507" i="2"/>
  <c r="CC506" i="2"/>
  <c r="CD506" i="2" s="1"/>
  <c r="CA506" i="2"/>
  <c r="BX506" i="2"/>
  <c r="BY506" i="2" s="1"/>
  <c r="BV506" i="2"/>
  <c r="BS506" i="2"/>
  <c r="BT506" i="2" s="1"/>
  <c r="BQ506" i="2"/>
  <c r="BN506" i="2"/>
  <c r="BO506" i="2" s="1"/>
  <c r="BL506" i="2"/>
  <c r="BI506" i="2"/>
  <c r="BJ506" i="2" s="1"/>
  <c r="BG506" i="2"/>
  <c r="BD506" i="2"/>
  <c r="BE506" i="2" s="1"/>
  <c r="BB506" i="2"/>
  <c r="AY506" i="2"/>
  <c r="AZ506" i="2" s="1"/>
  <c r="AW506" i="2"/>
  <c r="AT506" i="2"/>
  <c r="AU506" i="2" s="1"/>
  <c r="AR506" i="2"/>
  <c r="AO506" i="2"/>
  <c r="AP506" i="2" s="1"/>
  <c r="AM506" i="2"/>
  <c r="AJ506" i="2"/>
  <c r="AK506" i="2" s="1"/>
  <c r="AH506" i="2"/>
  <c r="AE506" i="2"/>
  <c r="AF506" i="2" s="1"/>
  <c r="AC506" i="2"/>
  <c r="Z506" i="2"/>
  <c r="AA506" i="2" s="1"/>
  <c r="X506" i="2"/>
  <c r="S506" i="2"/>
  <c r="M506" i="2"/>
  <c r="I506" i="2"/>
  <c r="A506" i="2"/>
  <c r="CC505" i="2"/>
  <c r="CD505" i="2" s="1"/>
  <c r="CA505" i="2"/>
  <c r="BX505" i="2"/>
  <c r="BY505" i="2" s="1"/>
  <c r="BV505" i="2"/>
  <c r="BS505" i="2"/>
  <c r="BT505" i="2" s="1"/>
  <c r="BQ505" i="2"/>
  <c r="BN505" i="2"/>
  <c r="BO505" i="2" s="1"/>
  <c r="BL505" i="2"/>
  <c r="BI505" i="2"/>
  <c r="BJ505" i="2" s="1"/>
  <c r="BG505" i="2"/>
  <c r="BD505" i="2"/>
  <c r="BE505" i="2" s="1"/>
  <c r="BB505" i="2"/>
  <c r="AY505" i="2"/>
  <c r="AZ505" i="2" s="1"/>
  <c r="AW505" i="2"/>
  <c r="AT505" i="2"/>
  <c r="AU505" i="2" s="1"/>
  <c r="AR505" i="2"/>
  <c r="AO505" i="2"/>
  <c r="AP505" i="2" s="1"/>
  <c r="AM505" i="2"/>
  <c r="AJ505" i="2"/>
  <c r="AK505" i="2" s="1"/>
  <c r="AH505" i="2"/>
  <c r="AE505" i="2"/>
  <c r="AF505" i="2" s="1"/>
  <c r="AC505" i="2"/>
  <c r="Z505" i="2"/>
  <c r="AA505" i="2" s="1"/>
  <c r="T505" i="2" s="1"/>
  <c r="X505" i="2"/>
  <c r="S505" i="2"/>
  <c r="M505" i="2"/>
  <c r="I505" i="2"/>
  <c r="A505" i="2"/>
  <c r="CC504" i="2"/>
  <c r="CD504" i="2" s="1"/>
  <c r="CA504" i="2"/>
  <c r="BX504" i="2"/>
  <c r="BY504" i="2" s="1"/>
  <c r="BV504" i="2"/>
  <c r="BS504" i="2"/>
  <c r="BT504" i="2" s="1"/>
  <c r="BQ504" i="2"/>
  <c r="BN504" i="2"/>
  <c r="BO504" i="2" s="1"/>
  <c r="BL504" i="2"/>
  <c r="BI504" i="2"/>
  <c r="BJ504" i="2" s="1"/>
  <c r="BG504" i="2"/>
  <c r="BD504" i="2"/>
  <c r="BE504" i="2" s="1"/>
  <c r="BB504" i="2"/>
  <c r="AY504" i="2"/>
  <c r="AZ504" i="2" s="1"/>
  <c r="AW504" i="2"/>
  <c r="AT504" i="2"/>
  <c r="AU504" i="2" s="1"/>
  <c r="AR504" i="2"/>
  <c r="AO504" i="2"/>
  <c r="AP504" i="2" s="1"/>
  <c r="AM504" i="2"/>
  <c r="AJ504" i="2"/>
  <c r="AK504" i="2" s="1"/>
  <c r="AH504" i="2"/>
  <c r="AE504" i="2"/>
  <c r="AF504" i="2" s="1"/>
  <c r="AC504" i="2"/>
  <c r="Z504" i="2"/>
  <c r="AA504" i="2" s="1"/>
  <c r="X504" i="2"/>
  <c r="T504" i="2"/>
  <c r="S504" i="2"/>
  <c r="M504" i="2"/>
  <c r="Q504" i="2" s="1"/>
  <c r="I504" i="2"/>
  <c r="A504" i="2"/>
  <c r="CC503" i="2"/>
  <c r="CD503" i="2" s="1"/>
  <c r="CA503" i="2"/>
  <c r="BX503" i="2"/>
  <c r="BY503" i="2" s="1"/>
  <c r="BV503" i="2"/>
  <c r="BS503" i="2"/>
  <c r="BT503" i="2" s="1"/>
  <c r="BQ503" i="2"/>
  <c r="BN503" i="2"/>
  <c r="BO503" i="2" s="1"/>
  <c r="BL503" i="2"/>
  <c r="BI503" i="2"/>
  <c r="BJ503" i="2" s="1"/>
  <c r="BG503" i="2"/>
  <c r="BD503" i="2"/>
  <c r="BE503" i="2" s="1"/>
  <c r="BB503" i="2"/>
  <c r="AY503" i="2"/>
  <c r="AZ503" i="2" s="1"/>
  <c r="AW503" i="2"/>
  <c r="AT503" i="2"/>
  <c r="AU503" i="2" s="1"/>
  <c r="AR503" i="2"/>
  <c r="AO503" i="2"/>
  <c r="AP503" i="2" s="1"/>
  <c r="AM503" i="2"/>
  <c r="AJ503" i="2"/>
  <c r="AK503" i="2" s="1"/>
  <c r="AH503" i="2"/>
  <c r="AE503" i="2"/>
  <c r="AF503" i="2" s="1"/>
  <c r="AC503" i="2"/>
  <c r="Z503" i="2"/>
  <c r="AA503" i="2" s="1"/>
  <c r="X503" i="2"/>
  <c r="S503" i="2"/>
  <c r="M503" i="2"/>
  <c r="I503" i="2"/>
  <c r="A503" i="2"/>
  <c r="CC502" i="2"/>
  <c r="CD502" i="2" s="1"/>
  <c r="CA502" i="2"/>
  <c r="BX502" i="2"/>
  <c r="BY502" i="2" s="1"/>
  <c r="BV502" i="2"/>
  <c r="BS502" i="2"/>
  <c r="BT502" i="2" s="1"/>
  <c r="BQ502" i="2"/>
  <c r="BN502" i="2"/>
  <c r="BO502" i="2" s="1"/>
  <c r="BL502" i="2"/>
  <c r="BI502" i="2"/>
  <c r="BJ502" i="2" s="1"/>
  <c r="BG502" i="2"/>
  <c r="BD502" i="2"/>
  <c r="BE502" i="2" s="1"/>
  <c r="BB502" i="2"/>
  <c r="AY502" i="2"/>
  <c r="AZ502" i="2" s="1"/>
  <c r="AW502" i="2"/>
  <c r="AT502" i="2"/>
  <c r="AU502" i="2" s="1"/>
  <c r="AR502" i="2"/>
  <c r="AO502" i="2"/>
  <c r="AP502" i="2" s="1"/>
  <c r="AM502" i="2"/>
  <c r="AJ502" i="2"/>
  <c r="AK502" i="2" s="1"/>
  <c r="AH502" i="2"/>
  <c r="AE502" i="2"/>
  <c r="AF502" i="2" s="1"/>
  <c r="AC502" i="2"/>
  <c r="Z502" i="2"/>
  <c r="AA502" i="2" s="1"/>
  <c r="T502" i="2" s="1"/>
  <c r="X502" i="2"/>
  <c r="S502" i="2"/>
  <c r="M502" i="2"/>
  <c r="I502" i="2"/>
  <c r="A502" i="2"/>
  <c r="CC501" i="2"/>
  <c r="CD501" i="2" s="1"/>
  <c r="CA501" i="2"/>
  <c r="BX501" i="2"/>
  <c r="BY501" i="2" s="1"/>
  <c r="BV501" i="2"/>
  <c r="BS501" i="2"/>
  <c r="BT501" i="2" s="1"/>
  <c r="BQ501" i="2"/>
  <c r="BN501" i="2"/>
  <c r="BO501" i="2" s="1"/>
  <c r="BL501" i="2"/>
  <c r="BI501" i="2"/>
  <c r="BJ501" i="2" s="1"/>
  <c r="BG501" i="2"/>
  <c r="BD501" i="2"/>
  <c r="BE501" i="2" s="1"/>
  <c r="BB501" i="2"/>
  <c r="AY501" i="2"/>
  <c r="AZ501" i="2" s="1"/>
  <c r="AW501" i="2"/>
  <c r="AT501" i="2"/>
  <c r="AU501" i="2" s="1"/>
  <c r="AR501" i="2"/>
  <c r="AO501" i="2"/>
  <c r="AP501" i="2" s="1"/>
  <c r="AM501" i="2"/>
  <c r="AJ501" i="2"/>
  <c r="AK501" i="2" s="1"/>
  <c r="AH501" i="2"/>
  <c r="AE501" i="2"/>
  <c r="AF501" i="2" s="1"/>
  <c r="AC501" i="2"/>
  <c r="Z501" i="2"/>
  <c r="AA501" i="2" s="1"/>
  <c r="X501" i="2"/>
  <c r="S501" i="2"/>
  <c r="M501" i="2"/>
  <c r="I501" i="2"/>
  <c r="A501" i="2"/>
  <c r="CC500" i="2"/>
  <c r="CD500" i="2" s="1"/>
  <c r="CA500" i="2"/>
  <c r="BX500" i="2"/>
  <c r="BY500" i="2" s="1"/>
  <c r="BV500" i="2"/>
  <c r="BS500" i="2"/>
  <c r="BT500" i="2" s="1"/>
  <c r="BQ500" i="2"/>
  <c r="BN500" i="2"/>
  <c r="BO500" i="2" s="1"/>
  <c r="BL500" i="2"/>
  <c r="BI500" i="2"/>
  <c r="BJ500" i="2" s="1"/>
  <c r="BG500" i="2"/>
  <c r="BD500" i="2"/>
  <c r="BE500" i="2" s="1"/>
  <c r="BB500" i="2"/>
  <c r="AY500" i="2"/>
  <c r="AZ500" i="2" s="1"/>
  <c r="AW500" i="2"/>
  <c r="AT500" i="2"/>
  <c r="AU500" i="2" s="1"/>
  <c r="AR500" i="2"/>
  <c r="AO500" i="2"/>
  <c r="AP500" i="2" s="1"/>
  <c r="AM500" i="2"/>
  <c r="AJ500" i="2"/>
  <c r="AK500" i="2" s="1"/>
  <c r="AH500" i="2"/>
  <c r="AE500" i="2"/>
  <c r="AF500" i="2" s="1"/>
  <c r="AC500" i="2"/>
  <c r="Z500" i="2"/>
  <c r="AA500" i="2" s="1"/>
  <c r="X500" i="2"/>
  <c r="S500" i="2"/>
  <c r="M500" i="2"/>
  <c r="O500" i="2" s="1"/>
  <c r="I500" i="2"/>
  <c r="A500" i="2"/>
  <c r="CC499" i="2"/>
  <c r="CD499" i="2" s="1"/>
  <c r="CA499" i="2"/>
  <c r="BX499" i="2"/>
  <c r="BY499" i="2" s="1"/>
  <c r="BV499" i="2"/>
  <c r="BS499" i="2"/>
  <c r="BT499" i="2" s="1"/>
  <c r="BQ499" i="2"/>
  <c r="BN499" i="2"/>
  <c r="BO499" i="2" s="1"/>
  <c r="BL499" i="2"/>
  <c r="BI499" i="2"/>
  <c r="BJ499" i="2" s="1"/>
  <c r="BG499" i="2"/>
  <c r="BD499" i="2"/>
  <c r="BE499" i="2" s="1"/>
  <c r="BB499" i="2"/>
  <c r="AY499" i="2"/>
  <c r="AZ499" i="2" s="1"/>
  <c r="AW499" i="2"/>
  <c r="AT499" i="2"/>
  <c r="AU499" i="2" s="1"/>
  <c r="AR499" i="2"/>
  <c r="AO499" i="2"/>
  <c r="AP499" i="2" s="1"/>
  <c r="AM499" i="2"/>
  <c r="AJ499" i="2"/>
  <c r="AK499" i="2" s="1"/>
  <c r="AH499" i="2"/>
  <c r="AE499" i="2"/>
  <c r="AF499" i="2" s="1"/>
  <c r="AC499" i="2"/>
  <c r="Z499" i="2"/>
  <c r="AA499" i="2" s="1"/>
  <c r="X499" i="2"/>
  <c r="S499" i="2"/>
  <c r="M499" i="2"/>
  <c r="I499" i="2"/>
  <c r="A499" i="2"/>
  <c r="CC498" i="2"/>
  <c r="CD498" i="2" s="1"/>
  <c r="CA498" i="2"/>
  <c r="BX498" i="2"/>
  <c r="BY498" i="2" s="1"/>
  <c r="BV498" i="2"/>
  <c r="BS498" i="2"/>
  <c r="BT498" i="2" s="1"/>
  <c r="BQ498" i="2"/>
  <c r="BN498" i="2"/>
  <c r="BO498" i="2" s="1"/>
  <c r="BL498" i="2"/>
  <c r="BI498" i="2"/>
  <c r="BJ498" i="2" s="1"/>
  <c r="BG498" i="2"/>
  <c r="BD498" i="2"/>
  <c r="BE498" i="2" s="1"/>
  <c r="BB498" i="2"/>
  <c r="AY498" i="2"/>
  <c r="AZ498" i="2" s="1"/>
  <c r="AW498" i="2"/>
  <c r="AT498" i="2"/>
  <c r="AU498" i="2" s="1"/>
  <c r="AR498" i="2"/>
  <c r="AO498" i="2"/>
  <c r="AP498" i="2" s="1"/>
  <c r="AM498" i="2"/>
  <c r="AJ498" i="2"/>
  <c r="AK498" i="2" s="1"/>
  <c r="AH498" i="2"/>
  <c r="AE498" i="2"/>
  <c r="AF498" i="2" s="1"/>
  <c r="AC498" i="2"/>
  <c r="Z498" i="2"/>
  <c r="AA498" i="2" s="1"/>
  <c r="X498" i="2"/>
  <c r="S498" i="2"/>
  <c r="M498" i="2"/>
  <c r="O498" i="2" s="1"/>
  <c r="I498" i="2"/>
  <c r="A498" i="2"/>
  <c r="CC497" i="2"/>
  <c r="CD497" i="2" s="1"/>
  <c r="CA497" i="2"/>
  <c r="BX497" i="2"/>
  <c r="BY497" i="2" s="1"/>
  <c r="BV497" i="2"/>
  <c r="BS497" i="2"/>
  <c r="BT497" i="2" s="1"/>
  <c r="BQ497" i="2"/>
  <c r="BN497" i="2"/>
  <c r="BO497" i="2" s="1"/>
  <c r="BL497" i="2"/>
  <c r="BI497" i="2"/>
  <c r="BJ497" i="2" s="1"/>
  <c r="BG497" i="2"/>
  <c r="BD497" i="2"/>
  <c r="BE497" i="2" s="1"/>
  <c r="BB497" i="2"/>
  <c r="AY497" i="2"/>
  <c r="AZ497" i="2" s="1"/>
  <c r="AW497" i="2"/>
  <c r="AT497" i="2"/>
  <c r="AU497" i="2" s="1"/>
  <c r="AR497" i="2"/>
  <c r="AO497" i="2"/>
  <c r="AP497" i="2" s="1"/>
  <c r="AM497" i="2"/>
  <c r="AJ497" i="2"/>
  <c r="AK497" i="2" s="1"/>
  <c r="AH497" i="2"/>
  <c r="AE497" i="2"/>
  <c r="AF497" i="2" s="1"/>
  <c r="AC497" i="2"/>
  <c r="Z497" i="2"/>
  <c r="AA497" i="2" s="1"/>
  <c r="X497" i="2"/>
  <c r="S497" i="2"/>
  <c r="M497" i="2"/>
  <c r="I497" i="2"/>
  <c r="A497" i="2"/>
  <c r="CC496" i="2"/>
  <c r="CD496" i="2" s="1"/>
  <c r="CA496" i="2"/>
  <c r="BX496" i="2"/>
  <c r="BY496" i="2" s="1"/>
  <c r="BV496" i="2"/>
  <c r="BS496" i="2"/>
  <c r="BT496" i="2" s="1"/>
  <c r="BQ496" i="2"/>
  <c r="BN496" i="2"/>
  <c r="BO496" i="2" s="1"/>
  <c r="BL496" i="2"/>
  <c r="BI496" i="2"/>
  <c r="BJ496" i="2" s="1"/>
  <c r="BG496" i="2"/>
  <c r="BD496" i="2"/>
  <c r="BE496" i="2" s="1"/>
  <c r="BB496" i="2"/>
  <c r="AY496" i="2"/>
  <c r="AZ496" i="2" s="1"/>
  <c r="AW496" i="2"/>
  <c r="AT496" i="2"/>
  <c r="AU496" i="2" s="1"/>
  <c r="AR496" i="2"/>
  <c r="AO496" i="2"/>
  <c r="AP496" i="2" s="1"/>
  <c r="AM496" i="2"/>
  <c r="AJ496" i="2"/>
  <c r="AK496" i="2" s="1"/>
  <c r="AH496" i="2"/>
  <c r="AE496" i="2"/>
  <c r="AF496" i="2" s="1"/>
  <c r="AC496" i="2"/>
  <c r="Z496" i="2"/>
  <c r="AA496" i="2" s="1"/>
  <c r="X496" i="2"/>
  <c r="S496" i="2"/>
  <c r="M496" i="2"/>
  <c r="O496" i="2" s="1"/>
  <c r="I496" i="2"/>
  <c r="A496" i="2"/>
  <c r="CC495" i="2"/>
  <c r="CD495" i="2" s="1"/>
  <c r="CA495" i="2"/>
  <c r="BX495" i="2"/>
  <c r="BY495" i="2" s="1"/>
  <c r="BV495" i="2"/>
  <c r="BS495" i="2"/>
  <c r="BT495" i="2" s="1"/>
  <c r="BQ495" i="2"/>
  <c r="BN495" i="2"/>
  <c r="BO495" i="2" s="1"/>
  <c r="BL495" i="2"/>
  <c r="BI495" i="2"/>
  <c r="BJ495" i="2" s="1"/>
  <c r="BG495" i="2"/>
  <c r="BD495" i="2"/>
  <c r="BE495" i="2" s="1"/>
  <c r="BB495" i="2"/>
  <c r="AY495" i="2"/>
  <c r="AZ495" i="2" s="1"/>
  <c r="AW495" i="2"/>
  <c r="AT495" i="2"/>
  <c r="AU495" i="2" s="1"/>
  <c r="AR495" i="2"/>
  <c r="AO495" i="2"/>
  <c r="AP495" i="2" s="1"/>
  <c r="AM495" i="2"/>
  <c r="AJ495" i="2"/>
  <c r="AK495" i="2" s="1"/>
  <c r="AH495" i="2"/>
  <c r="AE495" i="2"/>
  <c r="AF495" i="2" s="1"/>
  <c r="AC495" i="2"/>
  <c r="Z495" i="2"/>
  <c r="AA495" i="2" s="1"/>
  <c r="X495" i="2"/>
  <c r="S495" i="2"/>
  <c r="M495" i="2"/>
  <c r="I495" i="2"/>
  <c r="A495" i="2"/>
  <c r="CC494" i="2"/>
  <c r="CD494" i="2" s="1"/>
  <c r="CA494" i="2"/>
  <c r="BX494" i="2"/>
  <c r="BY494" i="2" s="1"/>
  <c r="BV494" i="2"/>
  <c r="BS494" i="2"/>
  <c r="BT494" i="2" s="1"/>
  <c r="BQ494" i="2"/>
  <c r="BN494" i="2"/>
  <c r="BO494" i="2" s="1"/>
  <c r="BL494" i="2"/>
  <c r="BI494" i="2"/>
  <c r="BJ494" i="2" s="1"/>
  <c r="BG494" i="2"/>
  <c r="BD494" i="2"/>
  <c r="BE494" i="2" s="1"/>
  <c r="BB494" i="2"/>
  <c r="AY494" i="2"/>
  <c r="AZ494" i="2" s="1"/>
  <c r="AW494" i="2"/>
  <c r="AT494" i="2"/>
  <c r="AU494" i="2" s="1"/>
  <c r="AR494" i="2"/>
  <c r="AO494" i="2"/>
  <c r="AP494" i="2" s="1"/>
  <c r="AM494" i="2"/>
  <c r="AJ494" i="2"/>
  <c r="AK494" i="2" s="1"/>
  <c r="AH494" i="2"/>
  <c r="AE494" i="2"/>
  <c r="AF494" i="2" s="1"/>
  <c r="AC494" i="2"/>
  <c r="Z494" i="2"/>
  <c r="AA494" i="2" s="1"/>
  <c r="X494" i="2"/>
  <c r="S494" i="2"/>
  <c r="M494" i="2"/>
  <c r="O494" i="2" s="1"/>
  <c r="I494" i="2"/>
  <c r="A494" i="2"/>
  <c r="CC493" i="2"/>
  <c r="CD493" i="2" s="1"/>
  <c r="CA493" i="2"/>
  <c r="BX493" i="2"/>
  <c r="BY493" i="2" s="1"/>
  <c r="BV493" i="2"/>
  <c r="BS493" i="2"/>
  <c r="BT493" i="2" s="1"/>
  <c r="BQ493" i="2"/>
  <c r="BN493" i="2"/>
  <c r="BO493" i="2" s="1"/>
  <c r="BL493" i="2"/>
  <c r="BI493" i="2"/>
  <c r="BJ493" i="2" s="1"/>
  <c r="BG493" i="2"/>
  <c r="BD493" i="2"/>
  <c r="BE493" i="2" s="1"/>
  <c r="BB493" i="2"/>
  <c r="AY493" i="2"/>
  <c r="AZ493" i="2" s="1"/>
  <c r="AW493" i="2"/>
  <c r="AT493" i="2"/>
  <c r="AU493" i="2" s="1"/>
  <c r="AR493" i="2"/>
  <c r="AO493" i="2"/>
  <c r="AP493" i="2" s="1"/>
  <c r="AM493" i="2"/>
  <c r="AJ493" i="2"/>
  <c r="AK493" i="2" s="1"/>
  <c r="AH493" i="2"/>
  <c r="AE493" i="2"/>
  <c r="AF493" i="2" s="1"/>
  <c r="AC493" i="2"/>
  <c r="Z493" i="2"/>
  <c r="AA493" i="2" s="1"/>
  <c r="X493" i="2"/>
  <c r="S493" i="2"/>
  <c r="M493" i="2"/>
  <c r="I493" i="2"/>
  <c r="A493" i="2"/>
  <c r="CC492" i="2"/>
  <c r="CD492" i="2" s="1"/>
  <c r="CA492" i="2"/>
  <c r="BX492" i="2"/>
  <c r="BY492" i="2" s="1"/>
  <c r="BV492" i="2"/>
  <c r="BS492" i="2"/>
  <c r="BT492" i="2" s="1"/>
  <c r="BQ492" i="2"/>
  <c r="BN492" i="2"/>
  <c r="BO492" i="2" s="1"/>
  <c r="BL492" i="2"/>
  <c r="BI492" i="2"/>
  <c r="BJ492" i="2" s="1"/>
  <c r="BG492" i="2"/>
  <c r="BD492" i="2"/>
  <c r="BE492" i="2" s="1"/>
  <c r="BB492" i="2"/>
  <c r="AY492" i="2"/>
  <c r="AZ492" i="2" s="1"/>
  <c r="AW492" i="2"/>
  <c r="AT492" i="2"/>
  <c r="AU492" i="2" s="1"/>
  <c r="AR492" i="2"/>
  <c r="AO492" i="2"/>
  <c r="AP492" i="2" s="1"/>
  <c r="AM492" i="2"/>
  <c r="AJ492" i="2"/>
  <c r="AK492" i="2" s="1"/>
  <c r="AH492" i="2"/>
  <c r="AE492" i="2"/>
  <c r="AF492" i="2" s="1"/>
  <c r="AC492" i="2"/>
  <c r="Z492" i="2"/>
  <c r="AA492" i="2" s="1"/>
  <c r="X492" i="2"/>
  <c r="S492" i="2"/>
  <c r="M492" i="2"/>
  <c r="O492" i="2" s="1"/>
  <c r="I492" i="2"/>
  <c r="A492" i="2"/>
  <c r="CC491" i="2"/>
  <c r="CD491" i="2" s="1"/>
  <c r="CA491" i="2"/>
  <c r="BX491" i="2"/>
  <c r="BY491" i="2" s="1"/>
  <c r="BV491" i="2"/>
  <c r="BS491" i="2"/>
  <c r="BT491" i="2" s="1"/>
  <c r="BQ491" i="2"/>
  <c r="BN491" i="2"/>
  <c r="BO491" i="2" s="1"/>
  <c r="BL491" i="2"/>
  <c r="BI491" i="2"/>
  <c r="BJ491" i="2" s="1"/>
  <c r="BG491" i="2"/>
  <c r="BD491" i="2"/>
  <c r="BE491" i="2" s="1"/>
  <c r="BB491" i="2"/>
  <c r="AY491" i="2"/>
  <c r="AZ491" i="2" s="1"/>
  <c r="AW491" i="2"/>
  <c r="AT491" i="2"/>
  <c r="AU491" i="2" s="1"/>
  <c r="AR491" i="2"/>
  <c r="AO491" i="2"/>
  <c r="AP491" i="2" s="1"/>
  <c r="AM491" i="2"/>
  <c r="AJ491" i="2"/>
  <c r="AK491" i="2" s="1"/>
  <c r="AH491" i="2"/>
  <c r="AE491" i="2"/>
  <c r="AF491" i="2" s="1"/>
  <c r="AC491" i="2"/>
  <c r="Z491" i="2"/>
  <c r="AA491" i="2" s="1"/>
  <c r="T491" i="2" s="1"/>
  <c r="X491" i="2"/>
  <c r="S491" i="2"/>
  <c r="M491" i="2"/>
  <c r="Q491" i="2" s="1"/>
  <c r="I491" i="2"/>
  <c r="A491" i="2"/>
  <c r="CC490" i="2"/>
  <c r="CD490" i="2" s="1"/>
  <c r="CA490" i="2"/>
  <c r="BX490" i="2"/>
  <c r="BY490" i="2" s="1"/>
  <c r="BV490" i="2"/>
  <c r="BS490" i="2"/>
  <c r="BT490" i="2" s="1"/>
  <c r="BQ490" i="2"/>
  <c r="BN490" i="2"/>
  <c r="BO490" i="2" s="1"/>
  <c r="BL490" i="2"/>
  <c r="BI490" i="2"/>
  <c r="BJ490" i="2" s="1"/>
  <c r="BG490" i="2"/>
  <c r="BD490" i="2"/>
  <c r="BE490" i="2" s="1"/>
  <c r="BB490" i="2"/>
  <c r="AY490" i="2"/>
  <c r="AZ490" i="2" s="1"/>
  <c r="AW490" i="2"/>
  <c r="AT490" i="2"/>
  <c r="AU490" i="2" s="1"/>
  <c r="AR490" i="2"/>
  <c r="AO490" i="2"/>
  <c r="AP490" i="2" s="1"/>
  <c r="AM490" i="2"/>
  <c r="AJ490" i="2"/>
  <c r="AK490" i="2" s="1"/>
  <c r="AH490" i="2"/>
  <c r="AE490" i="2"/>
  <c r="AF490" i="2" s="1"/>
  <c r="AC490" i="2"/>
  <c r="Z490" i="2"/>
  <c r="AA490" i="2" s="1"/>
  <c r="X490" i="2"/>
  <c r="S490" i="2"/>
  <c r="M490" i="2"/>
  <c r="O490" i="2" s="1"/>
  <c r="I490" i="2"/>
  <c r="A490" i="2"/>
  <c r="CC489" i="2"/>
  <c r="CD489" i="2" s="1"/>
  <c r="CA489" i="2"/>
  <c r="BX489" i="2"/>
  <c r="BY489" i="2" s="1"/>
  <c r="BV489" i="2"/>
  <c r="BS489" i="2"/>
  <c r="BT489" i="2" s="1"/>
  <c r="BQ489" i="2"/>
  <c r="BN489" i="2"/>
  <c r="BO489" i="2" s="1"/>
  <c r="BL489" i="2"/>
  <c r="BI489" i="2"/>
  <c r="BJ489" i="2" s="1"/>
  <c r="BG489" i="2"/>
  <c r="BD489" i="2"/>
  <c r="BE489" i="2" s="1"/>
  <c r="BB489" i="2"/>
  <c r="AY489" i="2"/>
  <c r="AZ489" i="2" s="1"/>
  <c r="AW489" i="2"/>
  <c r="AT489" i="2"/>
  <c r="AU489" i="2" s="1"/>
  <c r="AR489" i="2"/>
  <c r="AO489" i="2"/>
  <c r="AP489" i="2" s="1"/>
  <c r="AM489" i="2"/>
  <c r="AJ489" i="2"/>
  <c r="AK489" i="2" s="1"/>
  <c r="AH489" i="2"/>
  <c r="AE489" i="2"/>
  <c r="AF489" i="2" s="1"/>
  <c r="AC489" i="2"/>
  <c r="Z489" i="2"/>
  <c r="AA489" i="2" s="1"/>
  <c r="T489" i="2" s="1"/>
  <c r="X489" i="2"/>
  <c r="S489" i="2"/>
  <c r="M489" i="2"/>
  <c r="I489" i="2"/>
  <c r="A489" i="2"/>
  <c r="CC488" i="2"/>
  <c r="CD488" i="2" s="1"/>
  <c r="CA488" i="2"/>
  <c r="BX488" i="2"/>
  <c r="BY488" i="2" s="1"/>
  <c r="BV488" i="2"/>
  <c r="BS488" i="2"/>
  <c r="BT488" i="2" s="1"/>
  <c r="BQ488" i="2"/>
  <c r="BN488" i="2"/>
  <c r="BO488" i="2" s="1"/>
  <c r="BL488" i="2"/>
  <c r="BI488" i="2"/>
  <c r="BJ488" i="2" s="1"/>
  <c r="BG488" i="2"/>
  <c r="BD488" i="2"/>
  <c r="BE488" i="2" s="1"/>
  <c r="BB488" i="2"/>
  <c r="AY488" i="2"/>
  <c r="AZ488" i="2" s="1"/>
  <c r="AW488" i="2"/>
  <c r="AT488" i="2"/>
  <c r="AU488" i="2" s="1"/>
  <c r="AR488" i="2"/>
  <c r="AO488" i="2"/>
  <c r="AP488" i="2" s="1"/>
  <c r="AM488" i="2"/>
  <c r="AJ488" i="2"/>
  <c r="AK488" i="2" s="1"/>
  <c r="AH488" i="2"/>
  <c r="AE488" i="2"/>
  <c r="AF488" i="2" s="1"/>
  <c r="AC488" i="2"/>
  <c r="Z488" i="2"/>
  <c r="AA488" i="2" s="1"/>
  <c r="X488" i="2"/>
  <c r="S488" i="2"/>
  <c r="M488" i="2"/>
  <c r="O488" i="2" s="1"/>
  <c r="I488" i="2"/>
  <c r="A488" i="2"/>
  <c r="CC487" i="2"/>
  <c r="CD487" i="2" s="1"/>
  <c r="CA487" i="2"/>
  <c r="BX487" i="2"/>
  <c r="BY487" i="2" s="1"/>
  <c r="BV487" i="2"/>
  <c r="BS487" i="2"/>
  <c r="BT487" i="2" s="1"/>
  <c r="BQ487" i="2"/>
  <c r="BN487" i="2"/>
  <c r="BO487" i="2" s="1"/>
  <c r="BL487" i="2"/>
  <c r="BI487" i="2"/>
  <c r="BJ487" i="2" s="1"/>
  <c r="BG487" i="2"/>
  <c r="BD487" i="2"/>
  <c r="BE487" i="2" s="1"/>
  <c r="BB487" i="2"/>
  <c r="AY487" i="2"/>
  <c r="AZ487" i="2" s="1"/>
  <c r="AW487" i="2"/>
  <c r="AT487" i="2"/>
  <c r="AU487" i="2" s="1"/>
  <c r="AR487" i="2"/>
  <c r="AO487" i="2"/>
  <c r="AP487" i="2" s="1"/>
  <c r="AM487" i="2"/>
  <c r="AJ487" i="2"/>
  <c r="AK487" i="2" s="1"/>
  <c r="AH487" i="2"/>
  <c r="AE487" i="2"/>
  <c r="AF487" i="2" s="1"/>
  <c r="AC487" i="2"/>
  <c r="Z487" i="2"/>
  <c r="AA487" i="2" s="1"/>
  <c r="X487" i="2"/>
  <c r="S487" i="2"/>
  <c r="M487" i="2"/>
  <c r="I487" i="2"/>
  <c r="A487" i="2"/>
  <c r="CC486" i="2"/>
  <c r="CD486" i="2" s="1"/>
  <c r="CA486" i="2"/>
  <c r="BX486" i="2"/>
  <c r="BY486" i="2" s="1"/>
  <c r="BV486" i="2"/>
  <c r="BS486" i="2"/>
  <c r="BT486" i="2" s="1"/>
  <c r="BQ486" i="2"/>
  <c r="BN486" i="2"/>
  <c r="BO486" i="2" s="1"/>
  <c r="BL486" i="2"/>
  <c r="BI486" i="2"/>
  <c r="BJ486" i="2" s="1"/>
  <c r="BG486" i="2"/>
  <c r="BD486" i="2"/>
  <c r="BE486" i="2" s="1"/>
  <c r="BB486" i="2"/>
  <c r="AY486" i="2"/>
  <c r="AZ486" i="2" s="1"/>
  <c r="AW486" i="2"/>
  <c r="AT486" i="2"/>
  <c r="AU486" i="2" s="1"/>
  <c r="AR486" i="2"/>
  <c r="AO486" i="2"/>
  <c r="AP486" i="2" s="1"/>
  <c r="AM486" i="2"/>
  <c r="AJ486" i="2"/>
  <c r="AK486" i="2" s="1"/>
  <c r="AH486" i="2"/>
  <c r="AE486" i="2"/>
  <c r="AF486" i="2" s="1"/>
  <c r="AC486" i="2"/>
  <c r="Z486" i="2"/>
  <c r="AA486" i="2" s="1"/>
  <c r="X486" i="2"/>
  <c r="S486" i="2"/>
  <c r="M486" i="2"/>
  <c r="Q486" i="2" s="1"/>
  <c r="I486" i="2"/>
  <c r="A486" i="2"/>
  <c r="CC485" i="2"/>
  <c r="CD485" i="2" s="1"/>
  <c r="CA485" i="2"/>
  <c r="BX485" i="2"/>
  <c r="BY485" i="2" s="1"/>
  <c r="BV485" i="2"/>
  <c r="BS485" i="2"/>
  <c r="BT485" i="2" s="1"/>
  <c r="BQ485" i="2"/>
  <c r="BN485" i="2"/>
  <c r="BO485" i="2" s="1"/>
  <c r="BL485" i="2"/>
  <c r="BI485" i="2"/>
  <c r="BJ485" i="2" s="1"/>
  <c r="BG485" i="2"/>
  <c r="BD485" i="2"/>
  <c r="BE485" i="2" s="1"/>
  <c r="BB485" i="2"/>
  <c r="AY485" i="2"/>
  <c r="AZ485" i="2" s="1"/>
  <c r="AW485" i="2"/>
  <c r="AT485" i="2"/>
  <c r="AU485" i="2" s="1"/>
  <c r="AR485" i="2"/>
  <c r="AO485" i="2"/>
  <c r="AP485" i="2" s="1"/>
  <c r="AM485" i="2"/>
  <c r="AJ485" i="2"/>
  <c r="AK485" i="2" s="1"/>
  <c r="AH485" i="2"/>
  <c r="AE485" i="2"/>
  <c r="AF485" i="2" s="1"/>
  <c r="AC485" i="2"/>
  <c r="Z485" i="2"/>
  <c r="AA485" i="2" s="1"/>
  <c r="X485" i="2"/>
  <c r="S485" i="2"/>
  <c r="M485" i="2"/>
  <c r="I485" i="2"/>
  <c r="A485" i="2"/>
  <c r="CC484" i="2"/>
  <c r="CD484" i="2" s="1"/>
  <c r="CA484" i="2"/>
  <c r="BX484" i="2"/>
  <c r="BY484" i="2" s="1"/>
  <c r="BV484" i="2"/>
  <c r="BS484" i="2"/>
  <c r="BT484" i="2" s="1"/>
  <c r="BQ484" i="2"/>
  <c r="BN484" i="2"/>
  <c r="BO484" i="2" s="1"/>
  <c r="BL484" i="2"/>
  <c r="BI484" i="2"/>
  <c r="BJ484" i="2" s="1"/>
  <c r="BG484" i="2"/>
  <c r="BD484" i="2"/>
  <c r="BE484" i="2" s="1"/>
  <c r="BB484" i="2"/>
  <c r="AY484" i="2"/>
  <c r="AZ484" i="2" s="1"/>
  <c r="AW484" i="2"/>
  <c r="AT484" i="2"/>
  <c r="AU484" i="2" s="1"/>
  <c r="AR484" i="2"/>
  <c r="AO484" i="2"/>
  <c r="AP484" i="2" s="1"/>
  <c r="AM484" i="2"/>
  <c r="AJ484" i="2"/>
  <c r="AK484" i="2" s="1"/>
  <c r="AH484" i="2"/>
  <c r="AE484" i="2"/>
  <c r="AF484" i="2" s="1"/>
  <c r="AC484" i="2"/>
  <c r="Z484" i="2"/>
  <c r="AA484" i="2" s="1"/>
  <c r="X484" i="2"/>
  <c r="S484" i="2"/>
  <c r="M484" i="2"/>
  <c r="Q484" i="2" s="1"/>
  <c r="I484" i="2"/>
  <c r="A484" i="2"/>
  <c r="CC483" i="2"/>
  <c r="CD483" i="2" s="1"/>
  <c r="CA483" i="2"/>
  <c r="BX483" i="2"/>
  <c r="BY483" i="2" s="1"/>
  <c r="BV483" i="2"/>
  <c r="BS483" i="2"/>
  <c r="BT483" i="2" s="1"/>
  <c r="BQ483" i="2"/>
  <c r="BN483" i="2"/>
  <c r="BO483" i="2" s="1"/>
  <c r="BL483" i="2"/>
  <c r="BI483" i="2"/>
  <c r="BJ483" i="2" s="1"/>
  <c r="BG483" i="2"/>
  <c r="BD483" i="2"/>
  <c r="BE483" i="2" s="1"/>
  <c r="BB483" i="2"/>
  <c r="AY483" i="2"/>
  <c r="AZ483" i="2" s="1"/>
  <c r="AW483" i="2"/>
  <c r="AT483" i="2"/>
  <c r="AU483" i="2" s="1"/>
  <c r="AR483" i="2"/>
  <c r="AO483" i="2"/>
  <c r="AP483" i="2" s="1"/>
  <c r="AM483" i="2"/>
  <c r="AJ483" i="2"/>
  <c r="AK483" i="2" s="1"/>
  <c r="AH483" i="2"/>
  <c r="AE483" i="2"/>
  <c r="AF483" i="2" s="1"/>
  <c r="AC483" i="2"/>
  <c r="Z483" i="2"/>
  <c r="AA483" i="2" s="1"/>
  <c r="X483" i="2"/>
  <c r="S483" i="2"/>
  <c r="M483" i="2"/>
  <c r="I483" i="2"/>
  <c r="A483" i="2"/>
  <c r="CC482" i="2"/>
  <c r="CD482" i="2" s="1"/>
  <c r="CA482" i="2"/>
  <c r="BX482" i="2"/>
  <c r="BY482" i="2" s="1"/>
  <c r="BV482" i="2"/>
  <c r="BS482" i="2"/>
  <c r="BT482" i="2" s="1"/>
  <c r="BQ482" i="2"/>
  <c r="BN482" i="2"/>
  <c r="BO482" i="2" s="1"/>
  <c r="BL482" i="2"/>
  <c r="BI482" i="2"/>
  <c r="BJ482" i="2" s="1"/>
  <c r="BG482" i="2"/>
  <c r="BD482" i="2"/>
  <c r="BE482" i="2" s="1"/>
  <c r="BB482" i="2"/>
  <c r="AY482" i="2"/>
  <c r="AZ482" i="2" s="1"/>
  <c r="AW482" i="2"/>
  <c r="AT482" i="2"/>
  <c r="AU482" i="2" s="1"/>
  <c r="AR482" i="2"/>
  <c r="AO482" i="2"/>
  <c r="AP482" i="2" s="1"/>
  <c r="AM482" i="2"/>
  <c r="AJ482" i="2"/>
  <c r="AK482" i="2" s="1"/>
  <c r="AH482" i="2"/>
  <c r="AE482" i="2"/>
  <c r="AF482" i="2" s="1"/>
  <c r="AC482" i="2"/>
  <c r="Z482" i="2"/>
  <c r="AA482" i="2" s="1"/>
  <c r="X482" i="2"/>
  <c r="S482" i="2"/>
  <c r="M482" i="2"/>
  <c r="Q482" i="2" s="1"/>
  <c r="I482" i="2"/>
  <c r="A482" i="2"/>
  <c r="CC481" i="2"/>
  <c r="CD481" i="2" s="1"/>
  <c r="CA481" i="2"/>
  <c r="BX481" i="2"/>
  <c r="BY481" i="2" s="1"/>
  <c r="BV481" i="2"/>
  <c r="BS481" i="2"/>
  <c r="BT481" i="2" s="1"/>
  <c r="BQ481" i="2"/>
  <c r="BN481" i="2"/>
  <c r="BO481" i="2" s="1"/>
  <c r="BL481" i="2"/>
  <c r="BI481" i="2"/>
  <c r="BJ481" i="2" s="1"/>
  <c r="BG481" i="2"/>
  <c r="BD481" i="2"/>
  <c r="BE481" i="2" s="1"/>
  <c r="BB481" i="2"/>
  <c r="AY481" i="2"/>
  <c r="AZ481" i="2" s="1"/>
  <c r="AW481" i="2"/>
  <c r="AT481" i="2"/>
  <c r="AU481" i="2" s="1"/>
  <c r="AR481" i="2"/>
  <c r="AO481" i="2"/>
  <c r="AP481" i="2" s="1"/>
  <c r="AM481" i="2"/>
  <c r="AJ481" i="2"/>
  <c r="AK481" i="2" s="1"/>
  <c r="AH481" i="2"/>
  <c r="AE481" i="2"/>
  <c r="AF481" i="2" s="1"/>
  <c r="AC481" i="2"/>
  <c r="Z481" i="2"/>
  <c r="AA481" i="2" s="1"/>
  <c r="X481" i="2"/>
  <c r="S481" i="2"/>
  <c r="M481" i="2"/>
  <c r="I481" i="2"/>
  <c r="A481" i="2"/>
  <c r="CC480" i="2"/>
  <c r="CD480" i="2" s="1"/>
  <c r="CA480" i="2"/>
  <c r="BX480" i="2"/>
  <c r="BY480" i="2" s="1"/>
  <c r="BV480" i="2"/>
  <c r="BS480" i="2"/>
  <c r="BT480" i="2" s="1"/>
  <c r="BQ480" i="2"/>
  <c r="BN480" i="2"/>
  <c r="BO480" i="2" s="1"/>
  <c r="BL480" i="2"/>
  <c r="BI480" i="2"/>
  <c r="BJ480" i="2" s="1"/>
  <c r="BG480" i="2"/>
  <c r="BD480" i="2"/>
  <c r="BE480" i="2" s="1"/>
  <c r="BB480" i="2"/>
  <c r="AY480" i="2"/>
  <c r="AZ480" i="2" s="1"/>
  <c r="AW480" i="2"/>
  <c r="AT480" i="2"/>
  <c r="AU480" i="2" s="1"/>
  <c r="AR480" i="2"/>
  <c r="AO480" i="2"/>
  <c r="AP480" i="2" s="1"/>
  <c r="AM480" i="2"/>
  <c r="AJ480" i="2"/>
  <c r="AK480" i="2" s="1"/>
  <c r="AH480" i="2"/>
  <c r="AE480" i="2"/>
  <c r="AF480" i="2" s="1"/>
  <c r="AC480" i="2"/>
  <c r="Z480" i="2"/>
  <c r="AA480" i="2" s="1"/>
  <c r="X480" i="2"/>
  <c r="S480" i="2"/>
  <c r="M480" i="2"/>
  <c r="Q480" i="2" s="1"/>
  <c r="I480" i="2"/>
  <c r="A480" i="2"/>
  <c r="CC479" i="2"/>
  <c r="CD479" i="2" s="1"/>
  <c r="CA479" i="2"/>
  <c r="BX479" i="2"/>
  <c r="BY479" i="2" s="1"/>
  <c r="BV479" i="2"/>
  <c r="BS479" i="2"/>
  <c r="BT479" i="2" s="1"/>
  <c r="BQ479" i="2"/>
  <c r="BN479" i="2"/>
  <c r="BO479" i="2" s="1"/>
  <c r="BL479" i="2"/>
  <c r="BI479" i="2"/>
  <c r="BJ479" i="2" s="1"/>
  <c r="BG479" i="2"/>
  <c r="BD479" i="2"/>
  <c r="BE479" i="2" s="1"/>
  <c r="BB479" i="2"/>
  <c r="AY479" i="2"/>
  <c r="AZ479" i="2" s="1"/>
  <c r="AW479" i="2"/>
  <c r="AT479" i="2"/>
  <c r="AU479" i="2" s="1"/>
  <c r="AR479" i="2"/>
  <c r="AO479" i="2"/>
  <c r="AP479" i="2" s="1"/>
  <c r="AM479" i="2"/>
  <c r="AJ479" i="2"/>
  <c r="AK479" i="2" s="1"/>
  <c r="AH479" i="2"/>
  <c r="AE479" i="2"/>
  <c r="AF479" i="2" s="1"/>
  <c r="AC479" i="2"/>
  <c r="Z479" i="2"/>
  <c r="AA479" i="2" s="1"/>
  <c r="X479" i="2"/>
  <c r="S479" i="2"/>
  <c r="M479" i="2"/>
  <c r="Q479" i="2" s="1"/>
  <c r="I479" i="2"/>
  <c r="A479" i="2"/>
  <c r="CC478" i="2"/>
  <c r="CD478" i="2" s="1"/>
  <c r="CA478" i="2"/>
  <c r="BX478" i="2"/>
  <c r="BY478" i="2" s="1"/>
  <c r="BV478" i="2"/>
  <c r="BS478" i="2"/>
  <c r="BT478" i="2" s="1"/>
  <c r="BQ478" i="2"/>
  <c r="BN478" i="2"/>
  <c r="BO478" i="2" s="1"/>
  <c r="BL478" i="2"/>
  <c r="BI478" i="2"/>
  <c r="BJ478" i="2" s="1"/>
  <c r="BG478" i="2"/>
  <c r="BD478" i="2"/>
  <c r="BE478" i="2" s="1"/>
  <c r="BB478" i="2"/>
  <c r="AY478" i="2"/>
  <c r="AZ478" i="2" s="1"/>
  <c r="AW478" i="2"/>
  <c r="AT478" i="2"/>
  <c r="AU478" i="2" s="1"/>
  <c r="AR478" i="2"/>
  <c r="AO478" i="2"/>
  <c r="AP478" i="2" s="1"/>
  <c r="AM478" i="2"/>
  <c r="AJ478" i="2"/>
  <c r="AK478" i="2" s="1"/>
  <c r="AH478" i="2"/>
  <c r="AE478" i="2"/>
  <c r="AF478" i="2" s="1"/>
  <c r="AC478" i="2"/>
  <c r="Z478" i="2"/>
  <c r="AA478" i="2" s="1"/>
  <c r="X478" i="2"/>
  <c r="S478" i="2"/>
  <c r="M478" i="2"/>
  <c r="Q478" i="2" s="1"/>
  <c r="I478" i="2"/>
  <c r="A478" i="2"/>
  <c r="CC477" i="2"/>
  <c r="CD477" i="2" s="1"/>
  <c r="CA477" i="2"/>
  <c r="BX477" i="2"/>
  <c r="BY477" i="2" s="1"/>
  <c r="BV477" i="2"/>
  <c r="BS477" i="2"/>
  <c r="BT477" i="2" s="1"/>
  <c r="BQ477" i="2"/>
  <c r="BN477" i="2"/>
  <c r="BO477" i="2" s="1"/>
  <c r="BL477" i="2"/>
  <c r="BI477" i="2"/>
  <c r="BJ477" i="2" s="1"/>
  <c r="BG477" i="2"/>
  <c r="BD477" i="2"/>
  <c r="BE477" i="2" s="1"/>
  <c r="BB477" i="2"/>
  <c r="AY477" i="2"/>
  <c r="AZ477" i="2" s="1"/>
  <c r="AW477" i="2"/>
  <c r="AT477" i="2"/>
  <c r="AU477" i="2" s="1"/>
  <c r="AR477" i="2"/>
  <c r="AO477" i="2"/>
  <c r="AP477" i="2" s="1"/>
  <c r="AM477" i="2"/>
  <c r="AJ477" i="2"/>
  <c r="AK477" i="2" s="1"/>
  <c r="AH477" i="2"/>
  <c r="AE477" i="2"/>
  <c r="AF477" i="2" s="1"/>
  <c r="AC477" i="2"/>
  <c r="Z477" i="2"/>
  <c r="AA477" i="2" s="1"/>
  <c r="X477" i="2"/>
  <c r="S477" i="2"/>
  <c r="M477" i="2"/>
  <c r="I477" i="2"/>
  <c r="A477" i="2"/>
  <c r="CC476" i="2"/>
  <c r="CD476" i="2" s="1"/>
  <c r="CA476" i="2"/>
  <c r="BX476" i="2"/>
  <c r="BY476" i="2" s="1"/>
  <c r="BV476" i="2"/>
  <c r="BS476" i="2"/>
  <c r="BT476" i="2" s="1"/>
  <c r="BQ476" i="2"/>
  <c r="BN476" i="2"/>
  <c r="BO476" i="2" s="1"/>
  <c r="BL476" i="2"/>
  <c r="BI476" i="2"/>
  <c r="BJ476" i="2" s="1"/>
  <c r="BG476" i="2"/>
  <c r="BD476" i="2"/>
  <c r="BE476" i="2" s="1"/>
  <c r="BB476" i="2"/>
  <c r="AY476" i="2"/>
  <c r="AZ476" i="2" s="1"/>
  <c r="AW476" i="2"/>
  <c r="AT476" i="2"/>
  <c r="AU476" i="2" s="1"/>
  <c r="AR476" i="2"/>
  <c r="AO476" i="2"/>
  <c r="AP476" i="2" s="1"/>
  <c r="AM476" i="2"/>
  <c r="AJ476" i="2"/>
  <c r="AK476" i="2" s="1"/>
  <c r="AH476" i="2"/>
  <c r="AE476" i="2"/>
  <c r="AF476" i="2" s="1"/>
  <c r="AC476" i="2"/>
  <c r="Z476" i="2"/>
  <c r="AA476" i="2" s="1"/>
  <c r="X476" i="2"/>
  <c r="S476" i="2"/>
  <c r="M476" i="2"/>
  <c r="Q476" i="2" s="1"/>
  <c r="I476" i="2"/>
  <c r="A476" i="2"/>
  <c r="CC475" i="2"/>
  <c r="CD475" i="2" s="1"/>
  <c r="CA475" i="2"/>
  <c r="BX475" i="2"/>
  <c r="BY475" i="2" s="1"/>
  <c r="BV475" i="2"/>
  <c r="BS475" i="2"/>
  <c r="BT475" i="2" s="1"/>
  <c r="BQ475" i="2"/>
  <c r="BN475" i="2"/>
  <c r="BO475" i="2" s="1"/>
  <c r="BL475" i="2"/>
  <c r="BI475" i="2"/>
  <c r="BJ475" i="2" s="1"/>
  <c r="BG475" i="2"/>
  <c r="BD475" i="2"/>
  <c r="BE475" i="2" s="1"/>
  <c r="BB475" i="2"/>
  <c r="AY475" i="2"/>
  <c r="AZ475" i="2" s="1"/>
  <c r="AW475" i="2"/>
  <c r="AT475" i="2"/>
  <c r="AU475" i="2" s="1"/>
  <c r="AR475" i="2"/>
  <c r="AO475" i="2"/>
  <c r="AP475" i="2" s="1"/>
  <c r="AM475" i="2"/>
  <c r="AJ475" i="2"/>
  <c r="AK475" i="2" s="1"/>
  <c r="AH475" i="2"/>
  <c r="AE475" i="2"/>
  <c r="AF475" i="2" s="1"/>
  <c r="AC475" i="2"/>
  <c r="Z475" i="2"/>
  <c r="AA475" i="2" s="1"/>
  <c r="X475" i="2"/>
  <c r="S475" i="2"/>
  <c r="M475" i="2"/>
  <c r="Q475" i="2" s="1"/>
  <c r="I475" i="2"/>
  <c r="A475" i="2"/>
  <c r="CC474" i="2"/>
  <c r="CD474" i="2" s="1"/>
  <c r="CA474" i="2"/>
  <c r="BX474" i="2"/>
  <c r="BY474" i="2" s="1"/>
  <c r="BV474" i="2"/>
  <c r="BS474" i="2"/>
  <c r="BT474" i="2" s="1"/>
  <c r="BQ474" i="2"/>
  <c r="BN474" i="2"/>
  <c r="BO474" i="2" s="1"/>
  <c r="BL474" i="2"/>
  <c r="BI474" i="2"/>
  <c r="BJ474" i="2" s="1"/>
  <c r="BG474" i="2"/>
  <c r="BD474" i="2"/>
  <c r="BE474" i="2" s="1"/>
  <c r="BB474" i="2"/>
  <c r="AY474" i="2"/>
  <c r="AZ474" i="2" s="1"/>
  <c r="AW474" i="2"/>
  <c r="AT474" i="2"/>
  <c r="AU474" i="2" s="1"/>
  <c r="AR474" i="2"/>
  <c r="AO474" i="2"/>
  <c r="AP474" i="2" s="1"/>
  <c r="AM474" i="2"/>
  <c r="AJ474" i="2"/>
  <c r="AK474" i="2" s="1"/>
  <c r="AH474" i="2"/>
  <c r="AE474" i="2"/>
  <c r="AF474" i="2" s="1"/>
  <c r="AC474" i="2"/>
  <c r="Z474" i="2"/>
  <c r="AA474" i="2" s="1"/>
  <c r="X474" i="2"/>
  <c r="S474" i="2"/>
  <c r="M474" i="2"/>
  <c r="Q474" i="2" s="1"/>
  <c r="I474" i="2"/>
  <c r="A474" i="2"/>
  <c r="CC473" i="2"/>
  <c r="CD473" i="2" s="1"/>
  <c r="CA473" i="2"/>
  <c r="BX473" i="2"/>
  <c r="BY473" i="2" s="1"/>
  <c r="BV473" i="2"/>
  <c r="BS473" i="2"/>
  <c r="BT473" i="2" s="1"/>
  <c r="BQ473" i="2"/>
  <c r="BN473" i="2"/>
  <c r="BO473" i="2" s="1"/>
  <c r="BL473" i="2"/>
  <c r="BI473" i="2"/>
  <c r="BJ473" i="2" s="1"/>
  <c r="BG473" i="2"/>
  <c r="BD473" i="2"/>
  <c r="BE473" i="2" s="1"/>
  <c r="BB473" i="2"/>
  <c r="AY473" i="2"/>
  <c r="AZ473" i="2" s="1"/>
  <c r="AW473" i="2"/>
  <c r="AT473" i="2"/>
  <c r="AU473" i="2" s="1"/>
  <c r="AR473" i="2"/>
  <c r="AO473" i="2"/>
  <c r="AP473" i="2" s="1"/>
  <c r="AM473" i="2"/>
  <c r="AJ473" i="2"/>
  <c r="AK473" i="2" s="1"/>
  <c r="AH473" i="2"/>
  <c r="AE473" i="2"/>
  <c r="AF473" i="2" s="1"/>
  <c r="AC473" i="2"/>
  <c r="Z473" i="2"/>
  <c r="AA473" i="2" s="1"/>
  <c r="X473" i="2"/>
  <c r="S473" i="2"/>
  <c r="M473" i="2"/>
  <c r="I473" i="2"/>
  <c r="A473" i="2"/>
  <c r="CC472" i="2"/>
  <c r="CD472" i="2" s="1"/>
  <c r="CA472" i="2"/>
  <c r="BX472" i="2"/>
  <c r="BY472" i="2" s="1"/>
  <c r="BV472" i="2"/>
  <c r="BS472" i="2"/>
  <c r="BT472" i="2" s="1"/>
  <c r="BQ472" i="2"/>
  <c r="BN472" i="2"/>
  <c r="BO472" i="2" s="1"/>
  <c r="BL472" i="2"/>
  <c r="BI472" i="2"/>
  <c r="BJ472" i="2" s="1"/>
  <c r="BG472" i="2"/>
  <c r="BD472" i="2"/>
  <c r="BE472" i="2" s="1"/>
  <c r="BB472" i="2"/>
  <c r="AY472" i="2"/>
  <c r="AZ472" i="2" s="1"/>
  <c r="AW472" i="2"/>
  <c r="AT472" i="2"/>
  <c r="AU472" i="2" s="1"/>
  <c r="AR472" i="2"/>
  <c r="AO472" i="2"/>
  <c r="AP472" i="2" s="1"/>
  <c r="AM472" i="2"/>
  <c r="AJ472" i="2"/>
  <c r="AK472" i="2" s="1"/>
  <c r="AH472" i="2"/>
  <c r="AE472" i="2"/>
  <c r="AF472" i="2" s="1"/>
  <c r="AC472" i="2"/>
  <c r="Z472" i="2"/>
  <c r="AA472" i="2" s="1"/>
  <c r="X472" i="2"/>
  <c r="S472" i="2"/>
  <c r="M472" i="2"/>
  <c r="Q472" i="2" s="1"/>
  <c r="I472" i="2"/>
  <c r="A472" i="2"/>
  <c r="CC471" i="2"/>
  <c r="CD471" i="2" s="1"/>
  <c r="CA471" i="2"/>
  <c r="BX471" i="2"/>
  <c r="BY471" i="2" s="1"/>
  <c r="BV471" i="2"/>
  <c r="BS471" i="2"/>
  <c r="BT471" i="2" s="1"/>
  <c r="BQ471" i="2"/>
  <c r="BN471" i="2"/>
  <c r="BO471" i="2" s="1"/>
  <c r="BL471" i="2"/>
  <c r="BI471" i="2"/>
  <c r="BJ471" i="2" s="1"/>
  <c r="BG471" i="2"/>
  <c r="BD471" i="2"/>
  <c r="BE471" i="2" s="1"/>
  <c r="BB471" i="2"/>
  <c r="AY471" i="2"/>
  <c r="AZ471" i="2" s="1"/>
  <c r="AW471" i="2"/>
  <c r="AT471" i="2"/>
  <c r="AU471" i="2" s="1"/>
  <c r="AR471" i="2"/>
  <c r="AO471" i="2"/>
  <c r="AP471" i="2" s="1"/>
  <c r="AM471" i="2"/>
  <c r="AJ471" i="2"/>
  <c r="AK471" i="2" s="1"/>
  <c r="AH471" i="2"/>
  <c r="AE471" i="2"/>
  <c r="AF471" i="2" s="1"/>
  <c r="AC471" i="2"/>
  <c r="Z471" i="2"/>
  <c r="AA471" i="2" s="1"/>
  <c r="X471" i="2"/>
  <c r="S471" i="2"/>
  <c r="M471" i="2"/>
  <c r="Q471" i="2" s="1"/>
  <c r="I471" i="2"/>
  <c r="A471" i="2"/>
  <c r="CC470" i="2"/>
  <c r="CD470" i="2" s="1"/>
  <c r="CA470" i="2"/>
  <c r="BX470" i="2"/>
  <c r="BY470" i="2" s="1"/>
  <c r="BV470" i="2"/>
  <c r="BS470" i="2"/>
  <c r="BT470" i="2" s="1"/>
  <c r="BQ470" i="2"/>
  <c r="BN470" i="2"/>
  <c r="BO470" i="2" s="1"/>
  <c r="BL470" i="2"/>
  <c r="BI470" i="2"/>
  <c r="BJ470" i="2" s="1"/>
  <c r="BG470" i="2"/>
  <c r="BD470" i="2"/>
  <c r="BE470" i="2" s="1"/>
  <c r="BB470" i="2"/>
  <c r="AY470" i="2"/>
  <c r="AZ470" i="2" s="1"/>
  <c r="AW470" i="2"/>
  <c r="AT470" i="2"/>
  <c r="AU470" i="2" s="1"/>
  <c r="AR470" i="2"/>
  <c r="AO470" i="2"/>
  <c r="AP470" i="2" s="1"/>
  <c r="AM470" i="2"/>
  <c r="AJ470" i="2"/>
  <c r="AK470" i="2" s="1"/>
  <c r="AH470" i="2"/>
  <c r="AE470" i="2"/>
  <c r="AF470" i="2" s="1"/>
  <c r="AC470" i="2"/>
  <c r="Z470" i="2"/>
  <c r="AA470" i="2" s="1"/>
  <c r="X470" i="2"/>
  <c r="S470" i="2"/>
  <c r="M470" i="2"/>
  <c r="Q470" i="2" s="1"/>
  <c r="I470" i="2"/>
  <c r="A470" i="2"/>
  <c r="CC469" i="2"/>
  <c r="CD469" i="2" s="1"/>
  <c r="CA469" i="2"/>
  <c r="BX469" i="2"/>
  <c r="BY469" i="2" s="1"/>
  <c r="BV469" i="2"/>
  <c r="BS469" i="2"/>
  <c r="BT469" i="2" s="1"/>
  <c r="BQ469" i="2"/>
  <c r="BN469" i="2"/>
  <c r="BO469" i="2" s="1"/>
  <c r="BL469" i="2"/>
  <c r="BI469" i="2"/>
  <c r="BJ469" i="2" s="1"/>
  <c r="BG469" i="2"/>
  <c r="BD469" i="2"/>
  <c r="BE469" i="2" s="1"/>
  <c r="BB469" i="2"/>
  <c r="AY469" i="2"/>
  <c r="AZ469" i="2" s="1"/>
  <c r="AW469" i="2"/>
  <c r="AT469" i="2"/>
  <c r="AU469" i="2" s="1"/>
  <c r="AR469" i="2"/>
  <c r="AO469" i="2"/>
  <c r="AP469" i="2" s="1"/>
  <c r="AM469" i="2"/>
  <c r="AJ469" i="2"/>
  <c r="AK469" i="2" s="1"/>
  <c r="AH469" i="2"/>
  <c r="AE469" i="2"/>
  <c r="AF469" i="2" s="1"/>
  <c r="AC469" i="2"/>
  <c r="Z469" i="2"/>
  <c r="AA469" i="2" s="1"/>
  <c r="X469" i="2"/>
  <c r="S469" i="2"/>
  <c r="M469" i="2"/>
  <c r="I469" i="2"/>
  <c r="A469" i="2"/>
  <c r="CC468" i="2"/>
  <c r="CD468" i="2" s="1"/>
  <c r="CA468" i="2"/>
  <c r="BX468" i="2"/>
  <c r="BY468" i="2" s="1"/>
  <c r="BV468" i="2"/>
  <c r="BS468" i="2"/>
  <c r="BT468" i="2" s="1"/>
  <c r="BQ468" i="2"/>
  <c r="BN468" i="2"/>
  <c r="BO468" i="2" s="1"/>
  <c r="BL468" i="2"/>
  <c r="BI468" i="2"/>
  <c r="BJ468" i="2" s="1"/>
  <c r="BG468" i="2"/>
  <c r="BD468" i="2"/>
  <c r="BE468" i="2" s="1"/>
  <c r="BB468" i="2"/>
  <c r="AY468" i="2"/>
  <c r="AZ468" i="2" s="1"/>
  <c r="AW468" i="2"/>
  <c r="AT468" i="2"/>
  <c r="AU468" i="2" s="1"/>
  <c r="AR468" i="2"/>
  <c r="AO468" i="2"/>
  <c r="AP468" i="2" s="1"/>
  <c r="AM468" i="2"/>
  <c r="AJ468" i="2"/>
  <c r="AK468" i="2" s="1"/>
  <c r="AH468" i="2"/>
  <c r="AE468" i="2"/>
  <c r="AF468" i="2" s="1"/>
  <c r="AC468" i="2"/>
  <c r="Z468" i="2"/>
  <c r="AA468" i="2" s="1"/>
  <c r="X468" i="2"/>
  <c r="S468" i="2"/>
  <c r="M468" i="2"/>
  <c r="Q468" i="2" s="1"/>
  <c r="I468" i="2"/>
  <c r="A468" i="2"/>
  <c r="CC467" i="2"/>
  <c r="CD467" i="2" s="1"/>
  <c r="CA467" i="2"/>
  <c r="BX467" i="2"/>
  <c r="BY467" i="2" s="1"/>
  <c r="BV467" i="2"/>
  <c r="BS467" i="2"/>
  <c r="BT467" i="2" s="1"/>
  <c r="BQ467" i="2"/>
  <c r="BN467" i="2"/>
  <c r="BO467" i="2" s="1"/>
  <c r="BL467" i="2"/>
  <c r="BI467" i="2"/>
  <c r="BJ467" i="2" s="1"/>
  <c r="BG467" i="2"/>
  <c r="BD467" i="2"/>
  <c r="BE467" i="2" s="1"/>
  <c r="BB467" i="2"/>
  <c r="AY467" i="2"/>
  <c r="AZ467" i="2" s="1"/>
  <c r="AW467" i="2"/>
  <c r="AT467" i="2"/>
  <c r="AU467" i="2" s="1"/>
  <c r="AR467" i="2"/>
  <c r="AO467" i="2"/>
  <c r="AP467" i="2" s="1"/>
  <c r="AM467" i="2"/>
  <c r="AJ467" i="2"/>
  <c r="AK467" i="2" s="1"/>
  <c r="AH467" i="2"/>
  <c r="AE467" i="2"/>
  <c r="AF467" i="2" s="1"/>
  <c r="AC467" i="2"/>
  <c r="Z467" i="2"/>
  <c r="AA467" i="2" s="1"/>
  <c r="X467" i="2"/>
  <c r="S467" i="2"/>
  <c r="M467" i="2"/>
  <c r="I467" i="2"/>
  <c r="A467" i="2"/>
  <c r="CC466" i="2"/>
  <c r="CD466" i="2" s="1"/>
  <c r="CA466" i="2"/>
  <c r="BX466" i="2"/>
  <c r="BY466" i="2" s="1"/>
  <c r="BV466" i="2"/>
  <c r="BS466" i="2"/>
  <c r="BT466" i="2" s="1"/>
  <c r="BQ466" i="2"/>
  <c r="BN466" i="2"/>
  <c r="BO466" i="2" s="1"/>
  <c r="BL466" i="2"/>
  <c r="BI466" i="2"/>
  <c r="BJ466" i="2" s="1"/>
  <c r="BG466" i="2"/>
  <c r="BD466" i="2"/>
  <c r="BE466" i="2" s="1"/>
  <c r="BB466" i="2"/>
  <c r="AY466" i="2"/>
  <c r="AZ466" i="2" s="1"/>
  <c r="AW466" i="2"/>
  <c r="AT466" i="2"/>
  <c r="AU466" i="2" s="1"/>
  <c r="AR466" i="2"/>
  <c r="AO466" i="2"/>
  <c r="AP466" i="2" s="1"/>
  <c r="AM466" i="2"/>
  <c r="AJ466" i="2"/>
  <c r="AK466" i="2" s="1"/>
  <c r="AH466" i="2"/>
  <c r="S466" i="2"/>
  <c r="I466" i="2"/>
  <c r="A466" i="2"/>
  <c r="CC465" i="2"/>
  <c r="CD465" i="2" s="1"/>
  <c r="CA465" i="2"/>
  <c r="BX465" i="2"/>
  <c r="BY465" i="2" s="1"/>
  <c r="BV465" i="2"/>
  <c r="BS465" i="2"/>
  <c r="BT465" i="2" s="1"/>
  <c r="BQ465" i="2"/>
  <c r="BN465" i="2"/>
  <c r="BO465" i="2" s="1"/>
  <c r="BL465" i="2"/>
  <c r="BI465" i="2"/>
  <c r="BJ465" i="2" s="1"/>
  <c r="BG465" i="2"/>
  <c r="BD465" i="2"/>
  <c r="BE465" i="2" s="1"/>
  <c r="BB465" i="2"/>
  <c r="AY465" i="2"/>
  <c r="AZ465" i="2" s="1"/>
  <c r="AW465" i="2"/>
  <c r="AT465" i="2"/>
  <c r="AU465" i="2" s="1"/>
  <c r="AR465" i="2"/>
  <c r="AO465" i="2"/>
  <c r="AP465" i="2" s="1"/>
  <c r="AM465" i="2"/>
  <c r="AJ465" i="2"/>
  <c r="AK465" i="2" s="1"/>
  <c r="AH465" i="2"/>
  <c r="AE465" i="2"/>
  <c r="AF465" i="2" s="1"/>
  <c r="AC465" i="2"/>
  <c r="S465" i="2"/>
  <c r="I465" i="2"/>
  <c r="A465" i="2"/>
  <c r="CC464" i="2"/>
  <c r="CD464" i="2" s="1"/>
  <c r="CA464" i="2"/>
  <c r="BX464" i="2"/>
  <c r="BY464" i="2" s="1"/>
  <c r="BV464" i="2"/>
  <c r="BS464" i="2"/>
  <c r="BT464" i="2" s="1"/>
  <c r="BQ464" i="2"/>
  <c r="BN464" i="2"/>
  <c r="BO464" i="2" s="1"/>
  <c r="BL464" i="2"/>
  <c r="BI464" i="2"/>
  <c r="BJ464" i="2" s="1"/>
  <c r="BG464" i="2"/>
  <c r="BD464" i="2"/>
  <c r="BE464" i="2" s="1"/>
  <c r="BB464" i="2"/>
  <c r="AY464" i="2"/>
  <c r="AZ464" i="2" s="1"/>
  <c r="AW464" i="2"/>
  <c r="AT464" i="2"/>
  <c r="AU464" i="2" s="1"/>
  <c r="AR464" i="2"/>
  <c r="AO464" i="2"/>
  <c r="AP464" i="2" s="1"/>
  <c r="AM464" i="2"/>
  <c r="AJ464" i="2"/>
  <c r="AK464" i="2" s="1"/>
  <c r="AH464" i="2"/>
  <c r="S464" i="2"/>
  <c r="I464" i="2"/>
  <c r="A464" i="2"/>
  <c r="CC463" i="2"/>
  <c r="CD463" i="2" s="1"/>
  <c r="CA463" i="2"/>
  <c r="BX463" i="2"/>
  <c r="BY463" i="2" s="1"/>
  <c r="BV463" i="2"/>
  <c r="BS463" i="2"/>
  <c r="BT463" i="2" s="1"/>
  <c r="BQ463" i="2"/>
  <c r="BN463" i="2"/>
  <c r="BO463" i="2" s="1"/>
  <c r="BL463" i="2"/>
  <c r="BI463" i="2"/>
  <c r="BJ463" i="2" s="1"/>
  <c r="BG463" i="2"/>
  <c r="BD463" i="2"/>
  <c r="BE463" i="2" s="1"/>
  <c r="BB463" i="2"/>
  <c r="AY463" i="2"/>
  <c r="AZ463" i="2" s="1"/>
  <c r="AW463" i="2"/>
  <c r="AT463" i="2"/>
  <c r="AU463" i="2" s="1"/>
  <c r="AR463" i="2"/>
  <c r="AO463" i="2"/>
  <c r="AP463" i="2" s="1"/>
  <c r="AM463" i="2"/>
  <c r="AJ463" i="2"/>
  <c r="AK463" i="2" s="1"/>
  <c r="AH463" i="2"/>
  <c r="AE463" i="2"/>
  <c r="AF463" i="2" s="1"/>
  <c r="AC463" i="2"/>
  <c r="S463" i="2"/>
  <c r="I463" i="2"/>
  <c r="A463" i="2"/>
  <c r="CC462" i="2"/>
  <c r="CD462" i="2" s="1"/>
  <c r="CA462" i="2"/>
  <c r="BX462" i="2"/>
  <c r="BY462" i="2" s="1"/>
  <c r="BV462" i="2"/>
  <c r="BS462" i="2"/>
  <c r="BT462" i="2" s="1"/>
  <c r="BQ462" i="2"/>
  <c r="BN462" i="2"/>
  <c r="BO462" i="2" s="1"/>
  <c r="BL462" i="2"/>
  <c r="BI462" i="2"/>
  <c r="BJ462" i="2" s="1"/>
  <c r="BG462" i="2"/>
  <c r="BD462" i="2"/>
  <c r="BE462" i="2" s="1"/>
  <c r="BB462" i="2"/>
  <c r="AY462" i="2"/>
  <c r="AZ462" i="2" s="1"/>
  <c r="AW462" i="2"/>
  <c r="AT462" i="2"/>
  <c r="AU462" i="2" s="1"/>
  <c r="AR462" i="2"/>
  <c r="AO462" i="2"/>
  <c r="AP462" i="2" s="1"/>
  <c r="AM462" i="2"/>
  <c r="AJ462" i="2"/>
  <c r="AK462" i="2" s="1"/>
  <c r="AH462" i="2"/>
  <c r="S462" i="2"/>
  <c r="I462" i="2"/>
  <c r="A462" i="2"/>
  <c r="CC461" i="2"/>
  <c r="CD461" i="2" s="1"/>
  <c r="CA461" i="2"/>
  <c r="BX461" i="2"/>
  <c r="BY461" i="2" s="1"/>
  <c r="BV461" i="2"/>
  <c r="BS461" i="2"/>
  <c r="BT461" i="2" s="1"/>
  <c r="BQ461" i="2"/>
  <c r="BN461" i="2"/>
  <c r="BO461" i="2" s="1"/>
  <c r="BL461" i="2"/>
  <c r="BI461" i="2"/>
  <c r="BJ461" i="2" s="1"/>
  <c r="BG461" i="2"/>
  <c r="BD461" i="2"/>
  <c r="BE461" i="2" s="1"/>
  <c r="BB461" i="2"/>
  <c r="AY461" i="2"/>
  <c r="AZ461" i="2" s="1"/>
  <c r="AW461" i="2"/>
  <c r="AT461" i="2"/>
  <c r="AU461" i="2" s="1"/>
  <c r="AR461" i="2"/>
  <c r="AO461" i="2"/>
  <c r="AP461" i="2" s="1"/>
  <c r="AM461" i="2"/>
  <c r="AJ461" i="2"/>
  <c r="AK461" i="2" s="1"/>
  <c r="AH461" i="2"/>
  <c r="S461" i="2"/>
  <c r="I461" i="2"/>
  <c r="A461" i="2"/>
  <c r="CC460" i="2"/>
  <c r="CD460" i="2" s="1"/>
  <c r="CA460" i="2"/>
  <c r="BX460" i="2"/>
  <c r="BY460" i="2" s="1"/>
  <c r="BV460" i="2"/>
  <c r="BS460" i="2"/>
  <c r="BT460" i="2" s="1"/>
  <c r="BQ460" i="2"/>
  <c r="BN460" i="2"/>
  <c r="BO460" i="2" s="1"/>
  <c r="BL460" i="2"/>
  <c r="BI460" i="2"/>
  <c r="BJ460" i="2" s="1"/>
  <c r="BG460" i="2"/>
  <c r="BD460" i="2"/>
  <c r="BE460" i="2" s="1"/>
  <c r="BB460" i="2"/>
  <c r="AY460" i="2"/>
  <c r="AZ460" i="2" s="1"/>
  <c r="AW460" i="2"/>
  <c r="AT460" i="2"/>
  <c r="AU460" i="2" s="1"/>
  <c r="AR460" i="2"/>
  <c r="AO460" i="2"/>
  <c r="AP460" i="2" s="1"/>
  <c r="AM460" i="2"/>
  <c r="AJ460" i="2"/>
  <c r="AK460" i="2" s="1"/>
  <c r="AH460" i="2"/>
  <c r="AE460" i="2"/>
  <c r="AF460" i="2" s="1"/>
  <c r="AC460" i="2"/>
  <c r="S460" i="2"/>
  <c r="I460" i="2"/>
  <c r="A460" i="2"/>
  <c r="CC459" i="2"/>
  <c r="CD459" i="2" s="1"/>
  <c r="CA459" i="2"/>
  <c r="BX459" i="2"/>
  <c r="BY459" i="2" s="1"/>
  <c r="BV459" i="2"/>
  <c r="BS459" i="2"/>
  <c r="BT459" i="2" s="1"/>
  <c r="BQ459" i="2"/>
  <c r="BN459" i="2"/>
  <c r="BO459" i="2" s="1"/>
  <c r="BL459" i="2"/>
  <c r="BI459" i="2"/>
  <c r="BJ459" i="2" s="1"/>
  <c r="BG459" i="2"/>
  <c r="BD459" i="2"/>
  <c r="BE459" i="2" s="1"/>
  <c r="BB459" i="2"/>
  <c r="AY459" i="2"/>
  <c r="AZ459" i="2" s="1"/>
  <c r="AW459" i="2"/>
  <c r="AT459" i="2"/>
  <c r="AU459" i="2" s="1"/>
  <c r="AR459" i="2"/>
  <c r="AO459" i="2"/>
  <c r="AP459" i="2" s="1"/>
  <c r="AM459" i="2"/>
  <c r="AJ459" i="2"/>
  <c r="AK459" i="2" s="1"/>
  <c r="AH459" i="2"/>
  <c r="S459" i="2"/>
  <c r="I459" i="2"/>
  <c r="A459" i="2"/>
  <c r="CC458" i="2"/>
  <c r="CD458" i="2" s="1"/>
  <c r="CA458" i="2"/>
  <c r="BX458" i="2"/>
  <c r="BY458" i="2" s="1"/>
  <c r="BV458" i="2"/>
  <c r="BS458" i="2"/>
  <c r="BT458" i="2" s="1"/>
  <c r="BQ458" i="2"/>
  <c r="BN458" i="2"/>
  <c r="BO458" i="2" s="1"/>
  <c r="BL458" i="2"/>
  <c r="BI458" i="2"/>
  <c r="BJ458" i="2" s="1"/>
  <c r="BG458" i="2"/>
  <c r="BD458" i="2"/>
  <c r="BE458" i="2" s="1"/>
  <c r="BB458" i="2"/>
  <c r="AY458" i="2"/>
  <c r="AZ458" i="2" s="1"/>
  <c r="AW458" i="2"/>
  <c r="AT458" i="2"/>
  <c r="AU458" i="2" s="1"/>
  <c r="AR458" i="2"/>
  <c r="AO458" i="2"/>
  <c r="AP458" i="2" s="1"/>
  <c r="AM458" i="2"/>
  <c r="AJ458" i="2"/>
  <c r="AK458" i="2" s="1"/>
  <c r="AH458" i="2"/>
  <c r="AE458" i="2"/>
  <c r="AF458" i="2" s="1"/>
  <c r="AC458" i="2"/>
  <c r="S458" i="2"/>
  <c r="I458" i="2"/>
  <c r="A458" i="2"/>
  <c r="CC457" i="2"/>
  <c r="CD457" i="2" s="1"/>
  <c r="CA457" i="2"/>
  <c r="BX457" i="2"/>
  <c r="BY457" i="2" s="1"/>
  <c r="BV457" i="2"/>
  <c r="BS457" i="2"/>
  <c r="BT457" i="2" s="1"/>
  <c r="BQ457" i="2"/>
  <c r="BN457" i="2"/>
  <c r="BO457" i="2" s="1"/>
  <c r="BL457" i="2"/>
  <c r="BI457" i="2"/>
  <c r="BJ457" i="2" s="1"/>
  <c r="BG457" i="2"/>
  <c r="BD457" i="2"/>
  <c r="BE457" i="2" s="1"/>
  <c r="BB457" i="2"/>
  <c r="AY457" i="2"/>
  <c r="AZ457" i="2" s="1"/>
  <c r="AW457" i="2"/>
  <c r="AT457" i="2"/>
  <c r="AU457" i="2" s="1"/>
  <c r="AR457" i="2"/>
  <c r="AO457" i="2"/>
  <c r="AP457" i="2" s="1"/>
  <c r="AM457" i="2"/>
  <c r="AJ457" i="2"/>
  <c r="AK457" i="2" s="1"/>
  <c r="AH457" i="2"/>
  <c r="AE457" i="2"/>
  <c r="AF457" i="2" s="1"/>
  <c r="AC457" i="2"/>
  <c r="S457" i="2"/>
  <c r="I457" i="2"/>
  <c r="A457" i="2"/>
  <c r="CC456" i="2"/>
  <c r="CD456" i="2" s="1"/>
  <c r="CA456" i="2"/>
  <c r="BX456" i="2"/>
  <c r="BY456" i="2" s="1"/>
  <c r="BV456" i="2"/>
  <c r="BS456" i="2"/>
  <c r="BT456" i="2" s="1"/>
  <c r="BQ456" i="2"/>
  <c r="BN456" i="2"/>
  <c r="BO456" i="2" s="1"/>
  <c r="BL456" i="2"/>
  <c r="BI456" i="2"/>
  <c r="BJ456" i="2" s="1"/>
  <c r="BG456" i="2"/>
  <c r="BD456" i="2"/>
  <c r="BE456" i="2" s="1"/>
  <c r="BB456" i="2"/>
  <c r="AY456" i="2"/>
  <c r="AZ456" i="2" s="1"/>
  <c r="AW456" i="2"/>
  <c r="AT456" i="2"/>
  <c r="AU456" i="2" s="1"/>
  <c r="AR456" i="2"/>
  <c r="AO456" i="2"/>
  <c r="AP456" i="2" s="1"/>
  <c r="AM456" i="2"/>
  <c r="AJ456" i="2"/>
  <c r="AK456" i="2" s="1"/>
  <c r="AH456" i="2"/>
  <c r="S456" i="2"/>
  <c r="I456" i="2"/>
  <c r="A456" i="2"/>
  <c r="CC455" i="2"/>
  <c r="CD455" i="2" s="1"/>
  <c r="CA455" i="2"/>
  <c r="BX455" i="2"/>
  <c r="BY455" i="2" s="1"/>
  <c r="BV455" i="2"/>
  <c r="BS455" i="2"/>
  <c r="BT455" i="2" s="1"/>
  <c r="BQ455" i="2"/>
  <c r="BN455" i="2"/>
  <c r="BO455" i="2" s="1"/>
  <c r="BL455" i="2"/>
  <c r="BI455" i="2"/>
  <c r="BJ455" i="2" s="1"/>
  <c r="BG455" i="2"/>
  <c r="BD455" i="2"/>
  <c r="BE455" i="2" s="1"/>
  <c r="BB455" i="2"/>
  <c r="AY455" i="2"/>
  <c r="AZ455" i="2" s="1"/>
  <c r="AW455" i="2"/>
  <c r="AT455" i="2"/>
  <c r="AU455" i="2" s="1"/>
  <c r="AR455" i="2"/>
  <c r="AO455" i="2"/>
  <c r="AP455" i="2" s="1"/>
  <c r="AM455" i="2"/>
  <c r="AJ455" i="2"/>
  <c r="AK455" i="2" s="1"/>
  <c r="AH455" i="2"/>
  <c r="AE455" i="2"/>
  <c r="AF455" i="2" s="1"/>
  <c r="AC455" i="2"/>
  <c r="S455" i="2"/>
  <c r="I455" i="2"/>
  <c r="A455" i="2"/>
  <c r="CC454" i="2"/>
  <c r="CD454" i="2" s="1"/>
  <c r="CA454" i="2"/>
  <c r="BX454" i="2"/>
  <c r="BY454" i="2" s="1"/>
  <c r="BV454" i="2"/>
  <c r="BS454" i="2"/>
  <c r="BT454" i="2" s="1"/>
  <c r="BQ454" i="2"/>
  <c r="BN454" i="2"/>
  <c r="BO454" i="2" s="1"/>
  <c r="BL454" i="2"/>
  <c r="BI454" i="2"/>
  <c r="BJ454" i="2" s="1"/>
  <c r="BG454" i="2"/>
  <c r="BD454" i="2"/>
  <c r="BE454" i="2" s="1"/>
  <c r="BB454" i="2"/>
  <c r="AY454" i="2"/>
  <c r="AZ454" i="2" s="1"/>
  <c r="AW454" i="2"/>
  <c r="AT454" i="2"/>
  <c r="AU454" i="2" s="1"/>
  <c r="AR454" i="2"/>
  <c r="AO454" i="2"/>
  <c r="AP454" i="2" s="1"/>
  <c r="AM454" i="2"/>
  <c r="AJ454" i="2"/>
  <c r="AK454" i="2" s="1"/>
  <c r="AH454" i="2"/>
  <c r="S454" i="2"/>
  <c r="I454" i="2"/>
  <c r="A454" i="2"/>
  <c r="CC453" i="2"/>
  <c r="CD453" i="2" s="1"/>
  <c r="CA453" i="2"/>
  <c r="BX453" i="2"/>
  <c r="BY453" i="2" s="1"/>
  <c r="BV453" i="2"/>
  <c r="BS453" i="2"/>
  <c r="BT453" i="2" s="1"/>
  <c r="BQ453" i="2"/>
  <c r="BN453" i="2"/>
  <c r="BO453" i="2" s="1"/>
  <c r="BL453" i="2"/>
  <c r="BI453" i="2"/>
  <c r="BJ453" i="2" s="1"/>
  <c r="BG453" i="2"/>
  <c r="BD453" i="2"/>
  <c r="BE453" i="2" s="1"/>
  <c r="BB453" i="2"/>
  <c r="AY453" i="2"/>
  <c r="AZ453" i="2" s="1"/>
  <c r="AW453" i="2"/>
  <c r="AT453" i="2"/>
  <c r="AU453" i="2" s="1"/>
  <c r="AR453" i="2"/>
  <c r="AO453" i="2"/>
  <c r="AP453" i="2" s="1"/>
  <c r="AM453" i="2"/>
  <c r="AJ453" i="2"/>
  <c r="AK453" i="2" s="1"/>
  <c r="AH453" i="2"/>
  <c r="AE453" i="2"/>
  <c r="AF453" i="2" s="1"/>
  <c r="AC453" i="2"/>
  <c r="S453" i="2"/>
  <c r="I453" i="2"/>
  <c r="A453" i="2"/>
  <c r="CC452" i="2"/>
  <c r="CD452" i="2" s="1"/>
  <c r="CA452" i="2"/>
  <c r="BX452" i="2"/>
  <c r="BY452" i="2" s="1"/>
  <c r="BV452" i="2"/>
  <c r="BS452" i="2"/>
  <c r="BT452" i="2" s="1"/>
  <c r="BQ452" i="2"/>
  <c r="BN452" i="2"/>
  <c r="BO452" i="2" s="1"/>
  <c r="BL452" i="2"/>
  <c r="BI452" i="2"/>
  <c r="BJ452" i="2" s="1"/>
  <c r="BG452" i="2"/>
  <c r="BD452" i="2"/>
  <c r="BE452" i="2" s="1"/>
  <c r="BB452" i="2"/>
  <c r="AY452" i="2"/>
  <c r="AZ452" i="2" s="1"/>
  <c r="AW452" i="2"/>
  <c r="AT452" i="2"/>
  <c r="AU452" i="2" s="1"/>
  <c r="AR452" i="2"/>
  <c r="AO452" i="2"/>
  <c r="AP452" i="2" s="1"/>
  <c r="AM452" i="2"/>
  <c r="AJ452" i="2"/>
  <c r="AK452" i="2" s="1"/>
  <c r="AH452" i="2"/>
  <c r="S452" i="2"/>
  <c r="I452" i="2"/>
  <c r="A452" i="2"/>
  <c r="CC451" i="2"/>
  <c r="CD451" i="2" s="1"/>
  <c r="CA451" i="2"/>
  <c r="BX451" i="2"/>
  <c r="BY451" i="2" s="1"/>
  <c r="BV451" i="2"/>
  <c r="BS451" i="2"/>
  <c r="BT451" i="2" s="1"/>
  <c r="BQ451" i="2"/>
  <c r="BN451" i="2"/>
  <c r="BO451" i="2" s="1"/>
  <c r="BL451" i="2"/>
  <c r="BI451" i="2"/>
  <c r="BJ451" i="2" s="1"/>
  <c r="BG451" i="2"/>
  <c r="BD451" i="2"/>
  <c r="BE451" i="2" s="1"/>
  <c r="BB451" i="2"/>
  <c r="AY451" i="2"/>
  <c r="AZ451" i="2" s="1"/>
  <c r="AW451" i="2"/>
  <c r="AT451" i="2"/>
  <c r="AU451" i="2" s="1"/>
  <c r="AR451" i="2"/>
  <c r="AO451" i="2"/>
  <c r="AP451" i="2" s="1"/>
  <c r="AM451" i="2"/>
  <c r="AJ451" i="2"/>
  <c r="AK451" i="2" s="1"/>
  <c r="AH451" i="2"/>
  <c r="AE451" i="2"/>
  <c r="AF451" i="2" s="1"/>
  <c r="AC451" i="2"/>
  <c r="S451" i="2"/>
  <c r="I451" i="2"/>
  <c r="A451" i="2"/>
  <c r="CC450" i="2"/>
  <c r="CD450" i="2" s="1"/>
  <c r="CA450" i="2"/>
  <c r="BX450" i="2"/>
  <c r="BY450" i="2" s="1"/>
  <c r="BV450" i="2"/>
  <c r="BS450" i="2"/>
  <c r="BT450" i="2" s="1"/>
  <c r="BQ450" i="2"/>
  <c r="BN450" i="2"/>
  <c r="BO450" i="2" s="1"/>
  <c r="BL450" i="2"/>
  <c r="BI450" i="2"/>
  <c r="BJ450" i="2" s="1"/>
  <c r="BG450" i="2"/>
  <c r="BD450" i="2"/>
  <c r="BE450" i="2" s="1"/>
  <c r="BB450" i="2"/>
  <c r="AY450" i="2"/>
  <c r="AZ450" i="2" s="1"/>
  <c r="AW450" i="2"/>
  <c r="AT450" i="2"/>
  <c r="AU450" i="2" s="1"/>
  <c r="AR450" i="2"/>
  <c r="AO450" i="2"/>
  <c r="AP450" i="2" s="1"/>
  <c r="AM450" i="2"/>
  <c r="AJ450" i="2"/>
  <c r="AK450" i="2" s="1"/>
  <c r="AH450" i="2"/>
  <c r="S450" i="2"/>
  <c r="I450" i="2"/>
  <c r="A450" i="2"/>
  <c r="CC449" i="2"/>
  <c r="CD449" i="2" s="1"/>
  <c r="CA449" i="2"/>
  <c r="BX449" i="2"/>
  <c r="BY449" i="2" s="1"/>
  <c r="BV449" i="2"/>
  <c r="BS449" i="2"/>
  <c r="BT449" i="2" s="1"/>
  <c r="BQ449" i="2"/>
  <c r="BN449" i="2"/>
  <c r="BO449" i="2" s="1"/>
  <c r="BL449" i="2"/>
  <c r="BI449" i="2"/>
  <c r="BJ449" i="2" s="1"/>
  <c r="BG449" i="2"/>
  <c r="BD449" i="2"/>
  <c r="BE449" i="2" s="1"/>
  <c r="BB449" i="2"/>
  <c r="AY449" i="2"/>
  <c r="AZ449" i="2" s="1"/>
  <c r="AW449" i="2"/>
  <c r="AT449" i="2"/>
  <c r="AU449" i="2" s="1"/>
  <c r="AR449" i="2"/>
  <c r="AO449" i="2"/>
  <c r="AP449" i="2" s="1"/>
  <c r="AM449" i="2"/>
  <c r="AJ449" i="2"/>
  <c r="AK449" i="2" s="1"/>
  <c r="AH449" i="2"/>
  <c r="S449" i="2"/>
  <c r="I449" i="2"/>
  <c r="A449" i="2"/>
  <c r="CC448" i="2"/>
  <c r="CD448" i="2" s="1"/>
  <c r="CA448" i="2"/>
  <c r="BX448" i="2"/>
  <c r="BY448" i="2" s="1"/>
  <c r="BV448" i="2"/>
  <c r="BS448" i="2"/>
  <c r="BT448" i="2" s="1"/>
  <c r="BQ448" i="2"/>
  <c r="BN448" i="2"/>
  <c r="BO448" i="2" s="1"/>
  <c r="BL448" i="2"/>
  <c r="BI448" i="2"/>
  <c r="BJ448" i="2" s="1"/>
  <c r="BG448" i="2"/>
  <c r="BD448" i="2"/>
  <c r="BE448" i="2" s="1"/>
  <c r="BB448" i="2"/>
  <c r="AY448" i="2"/>
  <c r="AZ448" i="2" s="1"/>
  <c r="AW448" i="2"/>
  <c r="AT448" i="2"/>
  <c r="AU448" i="2" s="1"/>
  <c r="AR448" i="2"/>
  <c r="AO448" i="2"/>
  <c r="AP448" i="2" s="1"/>
  <c r="AM448" i="2"/>
  <c r="AJ448" i="2"/>
  <c r="AK448" i="2" s="1"/>
  <c r="AH448" i="2"/>
  <c r="S448" i="2"/>
  <c r="I448" i="2"/>
  <c r="A448" i="2"/>
  <c r="CC447" i="2"/>
  <c r="CD447" i="2" s="1"/>
  <c r="CA447" i="2"/>
  <c r="BX447" i="2"/>
  <c r="BY447" i="2" s="1"/>
  <c r="BV447" i="2"/>
  <c r="BS447" i="2"/>
  <c r="BT447" i="2" s="1"/>
  <c r="BQ447" i="2"/>
  <c r="BN447" i="2"/>
  <c r="BO447" i="2" s="1"/>
  <c r="BL447" i="2"/>
  <c r="BI447" i="2"/>
  <c r="BJ447" i="2" s="1"/>
  <c r="BG447" i="2"/>
  <c r="BD447" i="2"/>
  <c r="BE447" i="2" s="1"/>
  <c r="BB447" i="2"/>
  <c r="AY447" i="2"/>
  <c r="AZ447" i="2" s="1"/>
  <c r="AW447" i="2"/>
  <c r="AT447" i="2"/>
  <c r="AU447" i="2" s="1"/>
  <c r="AR447" i="2"/>
  <c r="AO447" i="2"/>
  <c r="AP447" i="2" s="1"/>
  <c r="AM447" i="2"/>
  <c r="AJ447" i="2"/>
  <c r="AK447" i="2" s="1"/>
  <c r="AH447" i="2"/>
  <c r="S447" i="2"/>
  <c r="I447" i="2"/>
  <c r="A447" i="2"/>
  <c r="CC446" i="2"/>
  <c r="CD446" i="2" s="1"/>
  <c r="CA446" i="2"/>
  <c r="BX446" i="2"/>
  <c r="BY446" i="2" s="1"/>
  <c r="BV446" i="2"/>
  <c r="BS446" i="2"/>
  <c r="BT446" i="2" s="1"/>
  <c r="BQ446" i="2"/>
  <c r="BN446" i="2"/>
  <c r="BO446" i="2" s="1"/>
  <c r="BL446" i="2"/>
  <c r="BI446" i="2"/>
  <c r="BJ446" i="2" s="1"/>
  <c r="BG446" i="2"/>
  <c r="BD446" i="2"/>
  <c r="BE446" i="2" s="1"/>
  <c r="BB446" i="2"/>
  <c r="AY446" i="2"/>
  <c r="AZ446" i="2" s="1"/>
  <c r="AW446" i="2"/>
  <c r="AT446" i="2"/>
  <c r="AU446" i="2" s="1"/>
  <c r="AR446" i="2"/>
  <c r="AO446" i="2"/>
  <c r="AP446" i="2" s="1"/>
  <c r="AM446" i="2"/>
  <c r="AJ446" i="2"/>
  <c r="AK446" i="2" s="1"/>
  <c r="AH446" i="2"/>
  <c r="S446" i="2"/>
  <c r="I446" i="2"/>
  <c r="A446" i="2"/>
  <c r="CC445" i="2"/>
  <c r="CD445" i="2" s="1"/>
  <c r="CA445" i="2"/>
  <c r="BX445" i="2"/>
  <c r="BY445" i="2" s="1"/>
  <c r="BV445" i="2"/>
  <c r="BS445" i="2"/>
  <c r="BT445" i="2" s="1"/>
  <c r="BQ445" i="2"/>
  <c r="BN445" i="2"/>
  <c r="BO445" i="2" s="1"/>
  <c r="BL445" i="2"/>
  <c r="BI445" i="2"/>
  <c r="BJ445" i="2" s="1"/>
  <c r="BG445" i="2"/>
  <c r="BD445" i="2"/>
  <c r="BE445" i="2" s="1"/>
  <c r="BB445" i="2"/>
  <c r="AY445" i="2"/>
  <c r="AZ445" i="2" s="1"/>
  <c r="AW445" i="2"/>
  <c r="AT445" i="2"/>
  <c r="AU445" i="2" s="1"/>
  <c r="AR445" i="2"/>
  <c r="AO445" i="2"/>
  <c r="AP445" i="2" s="1"/>
  <c r="AM445" i="2"/>
  <c r="AJ445" i="2"/>
  <c r="AK445" i="2" s="1"/>
  <c r="AH445" i="2"/>
  <c r="S445" i="2"/>
  <c r="I445" i="2"/>
  <c r="A445" i="2"/>
  <c r="CC444" i="2"/>
  <c r="CD444" i="2" s="1"/>
  <c r="CA444" i="2"/>
  <c r="BX444" i="2"/>
  <c r="BY444" i="2" s="1"/>
  <c r="BV444" i="2"/>
  <c r="BS444" i="2"/>
  <c r="BT444" i="2" s="1"/>
  <c r="BQ444" i="2"/>
  <c r="BN444" i="2"/>
  <c r="BO444" i="2" s="1"/>
  <c r="BL444" i="2"/>
  <c r="BI444" i="2"/>
  <c r="BJ444" i="2" s="1"/>
  <c r="BG444" i="2"/>
  <c r="BD444" i="2"/>
  <c r="BE444" i="2" s="1"/>
  <c r="BB444" i="2"/>
  <c r="AY444" i="2"/>
  <c r="AZ444" i="2" s="1"/>
  <c r="AW444" i="2"/>
  <c r="AT444" i="2"/>
  <c r="AU444" i="2" s="1"/>
  <c r="AR444" i="2"/>
  <c r="AO444" i="2"/>
  <c r="AP444" i="2" s="1"/>
  <c r="AM444" i="2"/>
  <c r="AJ444" i="2"/>
  <c r="AK444" i="2" s="1"/>
  <c r="AH444" i="2"/>
  <c r="S444" i="2"/>
  <c r="I444" i="2"/>
  <c r="A444" i="2"/>
  <c r="CC443" i="2"/>
  <c r="CD443" i="2" s="1"/>
  <c r="CA443" i="2"/>
  <c r="BX443" i="2"/>
  <c r="BY443" i="2" s="1"/>
  <c r="BV443" i="2"/>
  <c r="BS443" i="2"/>
  <c r="BT443" i="2" s="1"/>
  <c r="BQ443" i="2"/>
  <c r="BN443" i="2"/>
  <c r="BO443" i="2" s="1"/>
  <c r="BL443" i="2"/>
  <c r="BI443" i="2"/>
  <c r="BJ443" i="2" s="1"/>
  <c r="BG443" i="2"/>
  <c r="BD443" i="2"/>
  <c r="BE443" i="2" s="1"/>
  <c r="BB443" i="2"/>
  <c r="AY443" i="2"/>
  <c r="AZ443" i="2" s="1"/>
  <c r="AW443" i="2"/>
  <c r="AT443" i="2"/>
  <c r="AU443" i="2" s="1"/>
  <c r="AR443" i="2"/>
  <c r="AO443" i="2"/>
  <c r="AP443" i="2" s="1"/>
  <c r="AM443" i="2"/>
  <c r="AJ443" i="2"/>
  <c r="AK443" i="2" s="1"/>
  <c r="AH443" i="2"/>
  <c r="S443" i="2"/>
  <c r="I443" i="2"/>
  <c r="A443" i="2"/>
  <c r="CC442" i="2"/>
  <c r="CD442" i="2" s="1"/>
  <c r="CA442" i="2"/>
  <c r="BX442" i="2"/>
  <c r="BY442" i="2" s="1"/>
  <c r="BV442" i="2"/>
  <c r="BS442" i="2"/>
  <c r="BT442" i="2" s="1"/>
  <c r="BQ442" i="2"/>
  <c r="BN442" i="2"/>
  <c r="BO442" i="2" s="1"/>
  <c r="BL442" i="2"/>
  <c r="BI442" i="2"/>
  <c r="BJ442" i="2" s="1"/>
  <c r="BG442" i="2"/>
  <c r="BD442" i="2"/>
  <c r="BE442" i="2" s="1"/>
  <c r="BB442" i="2"/>
  <c r="AY442" i="2"/>
  <c r="AZ442" i="2" s="1"/>
  <c r="AW442" i="2"/>
  <c r="AT442" i="2"/>
  <c r="AU442" i="2" s="1"/>
  <c r="AR442" i="2"/>
  <c r="AO442" i="2"/>
  <c r="AP442" i="2" s="1"/>
  <c r="AM442" i="2"/>
  <c r="AJ442" i="2"/>
  <c r="AK442" i="2" s="1"/>
  <c r="AH442" i="2"/>
  <c r="S442" i="2"/>
  <c r="I442" i="2"/>
  <c r="A442" i="2"/>
  <c r="CC441" i="2"/>
  <c r="CD441" i="2" s="1"/>
  <c r="CA441" i="2"/>
  <c r="BX441" i="2"/>
  <c r="BY441" i="2" s="1"/>
  <c r="BV441" i="2"/>
  <c r="BS441" i="2"/>
  <c r="BT441" i="2" s="1"/>
  <c r="BQ441" i="2"/>
  <c r="BN441" i="2"/>
  <c r="BO441" i="2" s="1"/>
  <c r="BL441" i="2"/>
  <c r="BI441" i="2"/>
  <c r="BJ441" i="2" s="1"/>
  <c r="BG441" i="2"/>
  <c r="BD441" i="2"/>
  <c r="BE441" i="2" s="1"/>
  <c r="BB441" i="2"/>
  <c r="AY441" i="2"/>
  <c r="AZ441" i="2" s="1"/>
  <c r="AW441" i="2"/>
  <c r="AT441" i="2"/>
  <c r="AU441" i="2" s="1"/>
  <c r="AR441" i="2"/>
  <c r="AO441" i="2"/>
  <c r="AP441" i="2" s="1"/>
  <c r="AM441" i="2"/>
  <c r="AJ441" i="2"/>
  <c r="AK441" i="2" s="1"/>
  <c r="AH441" i="2"/>
  <c r="S441" i="2"/>
  <c r="I441" i="2"/>
  <c r="A441" i="2"/>
  <c r="CC440" i="2"/>
  <c r="CD440" i="2" s="1"/>
  <c r="CA440" i="2"/>
  <c r="BX440" i="2"/>
  <c r="BY440" i="2" s="1"/>
  <c r="BV440" i="2"/>
  <c r="BS440" i="2"/>
  <c r="BT440" i="2" s="1"/>
  <c r="BQ440" i="2"/>
  <c r="BN440" i="2"/>
  <c r="BO440" i="2" s="1"/>
  <c r="BL440" i="2"/>
  <c r="BI440" i="2"/>
  <c r="BJ440" i="2" s="1"/>
  <c r="BG440" i="2"/>
  <c r="BD440" i="2"/>
  <c r="BE440" i="2" s="1"/>
  <c r="BB440" i="2"/>
  <c r="AY440" i="2"/>
  <c r="AZ440" i="2" s="1"/>
  <c r="AW440" i="2"/>
  <c r="AT440" i="2"/>
  <c r="AU440" i="2" s="1"/>
  <c r="AR440" i="2"/>
  <c r="AO440" i="2"/>
  <c r="AP440" i="2" s="1"/>
  <c r="AM440" i="2"/>
  <c r="AJ440" i="2"/>
  <c r="AK440" i="2" s="1"/>
  <c r="AH440" i="2"/>
  <c r="S440" i="2"/>
  <c r="I440" i="2"/>
  <c r="A440" i="2"/>
  <c r="CC439" i="2"/>
  <c r="CD439" i="2" s="1"/>
  <c r="CA439" i="2"/>
  <c r="BX439" i="2"/>
  <c r="BY439" i="2" s="1"/>
  <c r="BV439" i="2"/>
  <c r="BS439" i="2"/>
  <c r="BT439" i="2" s="1"/>
  <c r="BQ439" i="2"/>
  <c r="BN439" i="2"/>
  <c r="BO439" i="2" s="1"/>
  <c r="BL439" i="2"/>
  <c r="BI439" i="2"/>
  <c r="BJ439" i="2" s="1"/>
  <c r="BG439" i="2"/>
  <c r="BD439" i="2"/>
  <c r="BE439" i="2" s="1"/>
  <c r="BB439" i="2"/>
  <c r="AY439" i="2"/>
  <c r="AZ439" i="2" s="1"/>
  <c r="AW439" i="2"/>
  <c r="AT439" i="2"/>
  <c r="AU439" i="2" s="1"/>
  <c r="AR439" i="2"/>
  <c r="AO439" i="2"/>
  <c r="AP439" i="2" s="1"/>
  <c r="AM439" i="2"/>
  <c r="AJ439" i="2"/>
  <c r="AK439" i="2" s="1"/>
  <c r="AH439" i="2"/>
  <c r="S439" i="2"/>
  <c r="I439" i="2"/>
  <c r="A439" i="2"/>
  <c r="CC438" i="2"/>
  <c r="CD438" i="2" s="1"/>
  <c r="CA438" i="2"/>
  <c r="BX438" i="2"/>
  <c r="BY438" i="2" s="1"/>
  <c r="BV438" i="2"/>
  <c r="BS438" i="2"/>
  <c r="BT438" i="2" s="1"/>
  <c r="BQ438" i="2"/>
  <c r="BN438" i="2"/>
  <c r="BO438" i="2" s="1"/>
  <c r="BL438" i="2"/>
  <c r="BI438" i="2"/>
  <c r="BJ438" i="2" s="1"/>
  <c r="BG438" i="2"/>
  <c r="BD438" i="2"/>
  <c r="BE438" i="2" s="1"/>
  <c r="BB438" i="2"/>
  <c r="AY438" i="2"/>
  <c r="AZ438" i="2" s="1"/>
  <c r="AW438" i="2"/>
  <c r="AT438" i="2"/>
  <c r="AU438" i="2" s="1"/>
  <c r="AR438" i="2"/>
  <c r="AO438" i="2"/>
  <c r="AP438" i="2" s="1"/>
  <c r="AM438" i="2"/>
  <c r="AJ438" i="2"/>
  <c r="AK438" i="2" s="1"/>
  <c r="AH438" i="2"/>
  <c r="S438" i="2"/>
  <c r="I438" i="2"/>
  <c r="A438" i="2"/>
  <c r="CC437" i="2"/>
  <c r="CD437" i="2" s="1"/>
  <c r="CA437" i="2"/>
  <c r="BX437" i="2"/>
  <c r="BY437" i="2" s="1"/>
  <c r="BV437" i="2"/>
  <c r="BS437" i="2"/>
  <c r="BT437" i="2" s="1"/>
  <c r="BQ437" i="2"/>
  <c r="BN437" i="2"/>
  <c r="BO437" i="2" s="1"/>
  <c r="BL437" i="2"/>
  <c r="BI437" i="2"/>
  <c r="BJ437" i="2" s="1"/>
  <c r="BG437" i="2"/>
  <c r="BD437" i="2"/>
  <c r="BE437" i="2" s="1"/>
  <c r="BB437" i="2"/>
  <c r="AY437" i="2"/>
  <c r="AZ437" i="2" s="1"/>
  <c r="AW437" i="2"/>
  <c r="AT437" i="2"/>
  <c r="AU437" i="2" s="1"/>
  <c r="AR437" i="2"/>
  <c r="AO437" i="2"/>
  <c r="AP437" i="2" s="1"/>
  <c r="AM437" i="2"/>
  <c r="AJ437" i="2"/>
  <c r="AK437" i="2" s="1"/>
  <c r="AH437" i="2"/>
  <c r="S437" i="2"/>
  <c r="I437" i="2"/>
  <c r="A437" i="2"/>
  <c r="CC436" i="2"/>
  <c r="CD436" i="2" s="1"/>
  <c r="CA436" i="2"/>
  <c r="BX436" i="2"/>
  <c r="BY436" i="2" s="1"/>
  <c r="BV436" i="2"/>
  <c r="BS436" i="2"/>
  <c r="BT436" i="2" s="1"/>
  <c r="BQ436" i="2"/>
  <c r="BN436" i="2"/>
  <c r="BO436" i="2" s="1"/>
  <c r="BL436" i="2"/>
  <c r="BI436" i="2"/>
  <c r="BJ436" i="2" s="1"/>
  <c r="BG436" i="2"/>
  <c r="BD436" i="2"/>
  <c r="BE436" i="2" s="1"/>
  <c r="BB436" i="2"/>
  <c r="AY436" i="2"/>
  <c r="AZ436" i="2" s="1"/>
  <c r="AW436" i="2"/>
  <c r="AT436" i="2"/>
  <c r="AU436" i="2" s="1"/>
  <c r="AR436" i="2"/>
  <c r="AO436" i="2"/>
  <c r="AP436" i="2" s="1"/>
  <c r="AM436" i="2"/>
  <c r="AJ436" i="2"/>
  <c r="AK436" i="2" s="1"/>
  <c r="AH436" i="2"/>
  <c r="S436" i="2"/>
  <c r="I436" i="2"/>
  <c r="A436" i="2"/>
  <c r="CC435" i="2"/>
  <c r="CD435" i="2" s="1"/>
  <c r="CA435" i="2"/>
  <c r="BX435" i="2"/>
  <c r="BY435" i="2" s="1"/>
  <c r="BV435" i="2"/>
  <c r="BS435" i="2"/>
  <c r="BT435" i="2" s="1"/>
  <c r="BQ435" i="2"/>
  <c r="BN435" i="2"/>
  <c r="BO435" i="2" s="1"/>
  <c r="BL435" i="2"/>
  <c r="BI435" i="2"/>
  <c r="BJ435" i="2" s="1"/>
  <c r="BG435" i="2"/>
  <c r="BD435" i="2"/>
  <c r="BE435" i="2" s="1"/>
  <c r="BB435" i="2"/>
  <c r="AY435" i="2"/>
  <c r="AZ435" i="2" s="1"/>
  <c r="AW435" i="2"/>
  <c r="AT435" i="2"/>
  <c r="AU435" i="2" s="1"/>
  <c r="AR435" i="2"/>
  <c r="AO435" i="2"/>
  <c r="AP435" i="2" s="1"/>
  <c r="AM435" i="2"/>
  <c r="AJ435" i="2"/>
  <c r="AK435" i="2" s="1"/>
  <c r="AH435" i="2"/>
  <c r="S435" i="2"/>
  <c r="I435" i="2"/>
  <c r="A435" i="2"/>
  <c r="CC434" i="2"/>
  <c r="CD434" i="2" s="1"/>
  <c r="CA434" i="2"/>
  <c r="BX434" i="2"/>
  <c r="BY434" i="2" s="1"/>
  <c r="BV434" i="2"/>
  <c r="BS434" i="2"/>
  <c r="BT434" i="2" s="1"/>
  <c r="BQ434" i="2"/>
  <c r="BN434" i="2"/>
  <c r="BO434" i="2" s="1"/>
  <c r="BL434" i="2"/>
  <c r="BI434" i="2"/>
  <c r="BJ434" i="2" s="1"/>
  <c r="BG434" i="2"/>
  <c r="BD434" i="2"/>
  <c r="BE434" i="2" s="1"/>
  <c r="BB434" i="2"/>
  <c r="AY434" i="2"/>
  <c r="AZ434" i="2" s="1"/>
  <c r="AW434" i="2"/>
  <c r="AT434" i="2"/>
  <c r="AU434" i="2" s="1"/>
  <c r="AR434" i="2"/>
  <c r="AO434" i="2"/>
  <c r="AP434" i="2" s="1"/>
  <c r="AM434" i="2"/>
  <c r="AJ434" i="2"/>
  <c r="AK434" i="2" s="1"/>
  <c r="AH434" i="2"/>
  <c r="S434" i="2"/>
  <c r="I434" i="2"/>
  <c r="A434" i="2"/>
  <c r="CC433" i="2"/>
  <c r="CD433" i="2" s="1"/>
  <c r="CA433" i="2"/>
  <c r="BX433" i="2"/>
  <c r="BY433" i="2" s="1"/>
  <c r="BV433" i="2"/>
  <c r="BS433" i="2"/>
  <c r="BT433" i="2" s="1"/>
  <c r="BQ433" i="2"/>
  <c r="BN433" i="2"/>
  <c r="BO433" i="2" s="1"/>
  <c r="BL433" i="2"/>
  <c r="BI433" i="2"/>
  <c r="BJ433" i="2" s="1"/>
  <c r="BG433" i="2"/>
  <c r="BD433" i="2"/>
  <c r="BE433" i="2" s="1"/>
  <c r="BB433" i="2"/>
  <c r="AY433" i="2"/>
  <c r="AZ433" i="2" s="1"/>
  <c r="AW433" i="2"/>
  <c r="AT433" i="2"/>
  <c r="AU433" i="2" s="1"/>
  <c r="AR433" i="2"/>
  <c r="AO433" i="2"/>
  <c r="AP433" i="2" s="1"/>
  <c r="AM433" i="2"/>
  <c r="AJ433" i="2"/>
  <c r="AK433" i="2" s="1"/>
  <c r="AH433" i="2"/>
  <c r="S433" i="2"/>
  <c r="I433" i="2"/>
  <c r="A433" i="2"/>
  <c r="CC432" i="2"/>
  <c r="CD432" i="2" s="1"/>
  <c r="CA432" i="2"/>
  <c r="BX432" i="2"/>
  <c r="BY432" i="2" s="1"/>
  <c r="BV432" i="2"/>
  <c r="BS432" i="2"/>
  <c r="BT432" i="2" s="1"/>
  <c r="BQ432" i="2"/>
  <c r="BN432" i="2"/>
  <c r="BO432" i="2" s="1"/>
  <c r="BL432" i="2"/>
  <c r="BI432" i="2"/>
  <c r="BJ432" i="2" s="1"/>
  <c r="BG432" i="2"/>
  <c r="BD432" i="2"/>
  <c r="BE432" i="2" s="1"/>
  <c r="BB432" i="2"/>
  <c r="AY432" i="2"/>
  <c r="AZ432" i="2" s="1"/>
  <c r="AW432" i="2"/>
  <c r="AT432" i="2"/>
  <c r="AU432" i="2" s="1"/>
  <c r="AR432" i="2"/>
  <c r="AO432" i="2"/>
  <c r="AP432" i="2" s="1"/>
  <c r="AM432" i="2"/>
  <c r="AJ432" i="2"/>
  <c r="AK432" i="2" s="1"/>
  <c r="AH432" i="2"/>
  <c r="S432" i="2"/>
  <c r="I432" i="2"/>
  <c r="A432" i="2"/>
  <c r="CC431" i="2"/>
  <c r="CD431" i="2" s="1"/>
  <c r="CA431" i="2"/>
  <c r="BX431" i="2"/>
  <c r="BY431" i="2" s="1"/>
  <c r="BV431" i="2"/>
  <c r="BS431" i="2"/>
  <c r="BT431" i="2" s="1"/>
  <c r="BQ431" i="2"/>
  <c r="BN431" i="2"/>
  <c r="BO431" i="2" s="1"/>
  <c r="BL431" i="2"/>
  <c r="BI431" i="2"/>
  <c r="BJ431" i="2" s="1"/>
  <c r="BG431" i="2"/>
  <c r="BD431" i="2"/>
  <c r="BE431" i="2" s="1"/>
  <c r="BB431" i="2"/>
  <c r="AY431" i="2"/>
  <c r="AZ431" i="2" s="1"/>
  <c r="AW431" i="2"/>
  <c r="AT431" i="2"/>
  <c r="AU431" i="2" s="1"/>
  <c r="AR431" i="2"/>
  <c r="AO431" i="2"/>
  <c r="AP431" i="2" s="1"/>
  <c r="AM431" i="2"/>
  <c r="AJ431" i="2"/>
  <c r="AK431" i="2" s="1"/>
  <c r="AH431" i="2"/>
  <c r="S431" i="2"/>
  <c r="I431" i="2"/>
  <c r="A431" i="2"/>
  <c r="CC430" i="2"/>
  <c r="CD430" i="2" s="1"/>
  <c r="CA430" i="2"/>
  <c r="BX430" i="2"/>
  <c r="BY430" i="2" s="1"/>
  <c r="BV430" i="2"/>
  <c r="BS430" i="2"/>
  <c r="BT430" i="2" s="1"/>
  <c r="BQ430" i="2"/>
  <c r="BN430" i="2"/>
  <c r="BO430" i="2" s="1"/>
  <c r="BL430" i="2"/>
  <c r="BI430" i="2"/>
  <c r="BJ430" i="2" s="1"/>
  <c r="BG430" i="2"/>
  <c r="BD430" i="2"/>
  <c r="BE430" i="2" s="1"/>
  <c r="BB430" i="2"/>
  <c r="AY430" i="2"/>
  <c r="AZ430" i="2" s="1"/>
  <c r="AW430" i="2"/>
  <c r="AT430" i="2"/>
  <c r="AU430" i="2" s="1"/>
  <c r="AR430" i="2"/>
  <c r="AO430" i="2"/>
  <c r="AP430" i="2" s="1"/>
  <c r="AM430" i="2"/>
  <c r="AJ430" i="2"/>
  <c r="AK430" i="2" s="1"/>
  <c r="AH430" i="2"/>
  <c r="S430" i="2"/>
  <c r="I430" i="2"/>
  <c r="A430" i="2"/>
  <c r="CC429" i="2"/>
  <c r="CD429" i="2" s="1"/>
  <c r="CA429" i="2"/>
  <c r="BX429" i="2"/>
  <c r="BY429" i="2" s="1"/>
  <c r="BV429" i="2"/>
  <c r="BS429" i="2"/>
  <c r="BT429" i="2" s="1"/>
  <c r="BQ429" i="2"/>
  <c r="BN429" i="2"/>
  <c r="BO429" i="2" s="1"/>
  <c r="BL429" i="2"/>
  <c r="BI429" i="2"/>
  <c r="BJ429" i="2" s="1"/>
  <c r="BG429" i="2"/>
  <c r="BD429" i="2"/>
  <c r="BE429" i="2" s="1"/>
  <c r="BB429" i="2"/>
  <c r="AY429" i="2"/>
  <c r="AZ429" i="2" s="1"/>
  <c r="AW429" i="2"/>
  <c r="AT429" i="2"/>
  <c r="AU429" i="2" s="1"/>
  <c r="AR429" i="2"/>
  <c r="AO429" i="2"/>
  <c r="AP429" i="2" s="1"/>
  <c r="AM429" i="2"/>
  <c r="AJ429" i="2"/>
  <c r="AK429" i="2" s="1"/>
  <c r="AH429" i="2"/>
  <c r="S429" i="2"/>
  <c r="I429" i="2"/>
  <c r="A429" i="2"/>
  <c r="CC428" i="2"/>
  <c r="CD428" i="2" s="1"/>
  <c r="CA428" i="2"/>
  <c r="BX428" i="2"/>
  <c r="BY428" i="2" s="1"/>
  <c r="BV428" i="2"/>
  <c r="BS428" i="2"/>
  <c r="BT428" i="2" s="1"/>
  <c r="BQ428" i="2"/>
  <c r="BN428" i="2"/>
  <c r="BO428" i="2" s="1"/>
  <c r="BL428" i="2"/>
  <c r="BI428" i="2"/>
  <c r="BJ428" i="2" s="1"/>
  <c r="BG428" i="2"/>
  <c r="BD428" i="2"/>
  <c r="BE428" i="2" s="1"/>
  <c r="BB428" i="2"/>
  <c r="AY428" i="2"/>
  <c r="AZ428" i="2" s="1"/>
  <c r="AW428" i="2"/>
  <c r="AT428" i="2"/>
  <c r="AU428" i="2" s="1"/>
  <c r="AR428" i="2"/>
  <c r="AO428" i="2"/>
  <c r="AP428" i="2" s="1"/>
  <c r="AM428" i="2"/>
  <c r="AJ428" i="2"/>
  <c r="AK428" i="2" s="1"/>
  <c r="AH428" i="2"/>
  <c r="S428" i="2"/>
  <c r="I428" i="2"/>
  <c r="A428" i="2"/>
  <c r="CC427" i="2"/>
  <c r="CD427" i="2" s="1"/>
  <c r="CA427" i="2"/>
  <c r="BX427" i="2"/>
  <c r="BY427" i="2" s="1"/>
  <c r="BV427" i="2"/>
  <c r="BS427" i="2"/>
  <c r="BT427" i="2" s="1"/>
  <c r="BQ427" i="2"/>
  <c r="BN427" i="2"/>
  <c r="BO427" i="2" s="1"/>
  <c r="BL427" i="2"/>
  <c r="BI427" i="2"/>
  <c r="BJ427" i="2" s="1"/>
  <c r="BG427" i="2"/>
  <c r="BD427" i="2"/>
  <c r="BE427" i="2" s="1"/>
  <c r="BB427" i="2"/>
  <c r="AY427" i="2"/>
  <c r="AZ427" i="2" s="1"/>
  <c r="AW427" i="2"/>
  <c r="AT427" i="2"/>
  <c r="AU427" i="2" s="1"/>
  <c r="AR427" i="2"/>
  <c r="AO427" i="2"/>
  <c r="AP427" i="2" s="1"/>
  <c r="AM427" i="2"/>
  <c r="AJ427" i="2"/>
  <c r="AK427" i="2" s="1"/>
  <c r="AH427" i="2"/>
  <c r="S427" i="2"/>
  <c r="I427" i="2"/>
  <c r="A427" i="2"/>
  <c r="CC426" i="2"/>
  <c r="CD426" i="2" s="1"/>
  <c r="CA426" i="2"/>
  <c r="BX426" i="2"/>
  <c r="BY426" i="2" s="1"/>
  <c r="BV426" i="2"/>
  <c r="BS426" i="2"/>
  <c r="BT426" i="2" s="1"/>
  <c r="BQ426" i="2"/>
  <c r="BN426" i="2"/>
  <c r="BO426" i="2" s="1"/>
  <c r="BL426" i="2"/>
  <c r="BI426" i="2"/>
  <c r="BJ426" i="2" s="1"/>
  <c r="BG426" i="2"/>
  <c r="BD426" i="2"/>
  <c r="BE426" i="2" s="1"/>
  <c r="BB426" i="2"/>
  <c r="AY426" i="2"/>
  <c r="AZ426" i="2" s="1"/>
  <c r="AW426" i="2"/>
  <c r="AT426" i="2"/>
  <c r="AU426" i="2" s="1"/>
  <c r="AR426" i="2"/>
  <c r="AO426" i="2"/>
  <c r="AP426" i="2" s="1"/>
  <c r="AM426" i="2"/>
  <c r="AJ426" i="2"/>
  <c r="AK426" i="2" s="1"/>
  <c r="AH426" i="2"/>
  <c r="S426" i="2"/>
  <c r="I426" i="2"/>
  <c r="A426" i="2"/>
  <c r="CC425" i="2"/>
  <c r="CD425" i="2" s="1"/>
  <c r="CA425" i="2"/>
  <c r="BX425" i="2"/>
  <c r="BY425" i="2" s="1"/>
  <c r="BV425" i="2"/>
  <c r="BS425" i="2"/>
  <c r="BT425" i="2" s="1"/>
  <c r="BQ425" i="2"/>
  <c r="BN425" i="2"/>
  <c r="BO425" i="2" s="1"/>
  <c r="BL425" i="2"/>
  <c r="BI425" i="2"/>
  <c r="BJ425" i="2" s="1"/>
  <c r="BG425" i="2"/>
  <c r="BD425" i="2"/>
  <c r="BE425" i="2" s="1"/>
  <c r="BB425" i="2"/>
  <c r="AY425" i="2"/>
  <c r="AZ425" i="2" s="1"/>
  <c r="AW425" i="2"/>
  <c r="AT425" i="2"/>
  <c r="AU425" i="2" s="1"/>
  <c r="AR425" i="2"/>
  <c r="AO425" i="2"/>
  <c r="AP425" i="2" s="1"/>
  <c r="AM425" i="2"/>
  <c r="AJ425" i="2"/>
  <c r="AK425" i="2" s="1"/>
  <c r="AH425" i="2"/>
  <c r="S425" i="2"/>
  <c r="I425" i="2"/>
  <c r="A425" i="2"/>
  <c r="CC424" i="2"/>
  <c r="CD424" i="2" s="1"/>
  <c r="CA424" i="2"/>
  <c r="BX424" i="2"/>
  <c r="BY424" i="2" s="1"/>
  <c r="BV424" i="2"/>
  <c r="BS424" i="2"/>
  <c r="BT424" i="2" s="1"/>
  <c r="BQ424" i="2"/>
  <c r="BN424" i="2"/>
  <c r="BO424" i="2" s="1"/>
  <c r="BL424" i="2"/>
  <c r="BI424" i="2"/>
  <c r="BJ424" i="2" s="1"/>
  <c r="BG424" i="2"/>
  <c r="BD424" i="2"/>
  <c r="BE424" i="2" s="1"/>
  <c r="BB424" i="2"/>
  <c r="AY424" i="2"/>
  <c r="AZ424" i="2" s="1"/>
  <c r="AW424" i="2"/>
  <c r="AT424" i="2"/>
  <c r="AU424" i="2" s="1"/>
  <c r="AR424" i="2"/>
  <c r="AO424" i="2"/>
  <c r="AP424" i="2" s="1"/>
  <c r="AM424" i="2"/>
  <c r="AJ424" i="2"/>
  <c r="AK424" i="2" s="1"/>
  <c r="AH424" i="2"/>
  <c r="S424" i="2"/>
  <c r="I424" i="2"/>
  <c r="A424" i="2"/>
  <c r="CC423" i="2"/>
  <c r="CD423" i="2" s="1"/>
  <c r="CA423" i="2"/>
  <c r="BX423" i="2"/>
  <c r="BY423" i="2" s="1"/>
  <c r="BV423" i="2"/>
  <c r="BS423" i="2"/>
  <c r="BT423" i="2" s="1"/>
  <c r="BQ423" i="2"/>
  <c r="BN423" i="2"/>
  <c r="BO423" i="2" s="1"/>
  <c r="BL423" i="2"/>
  <c r="BI423" i="2"/>
  <c r="BJ423" i="2" s="1"/>
  <c r="BG423" i="2"/>
  <c r="BD423" i="2"/>
  <c r="BE423" i="2" s="1"/>
  <c r="BB423" i="2"/>
  <c r="AY423" i="2"/>
  <c r="AZ423" i="2" s="1"/>
  <c r="AW423" i="2"/>
  <c r="AT423" i="2"/>
  <c r="AU423" i="2" s="1"/>
  <c r="AR423" i="2"/>
  <c r="AO423" i="2"/>
  <c r="AP423" i="2" s="1"/>
  <c r="AM423" i="2"/>
  <c r="AJ423" i="2"/>
  <c r="AK423" i="2" s="1"/>
  <c r="AH423" i="2"/>
  <c r="S423" i="2"/>
  <c r="I423" i="2"/>
  <c r="A423" i="2"/>
  <c r="CC422" i="2"/>
  <c r="CD422" i="2" s="1"/>
  <c r="CA422" i="2"/>
  <c r="BX422" i="2"/>
  <c r="BY422" i="2" s="1"/>
  <c r="BV422" i="2"/>
  <c r="BS422" i="2"/>
  <c r="BT422" i="2" s="1"/>
  <c r="BQ422" i="2"/>
  <c r="BN422" i="2"/>
  <c r="BO422" i="2" s="1"/>
  <c r="BL422" i="2"/>
  <c r="BI422" i="2"/>
  <c r="BJ422" i="2" s="1"/>
  <c r="BG422" i="2"/>
  <c r="BD422" i="2"/>
  <c r="BE422" i="2" s="1"/>
  <c r="BB422" i="2"/>
  <c r="AY422" i="2"/>
  <c r="AZ422" i="2" s="1"/>
  <c r="AW422" i="2"/>
  <c r="AT422" i="2"/>
  <c r="AU422" i="2" s="1"/>
  <c r="AR422" i="2"/>
  <c r="AO422" i="2"/>
  <c r="AP422" i="2" s="1"/>
  <c r="AM422" i="2"/>
  <c r="AJ422" i="2"/>
  <c r="AK422" i="2" s="1"/>
  <c r="AH422" i="2"/>
  <c r="S422" i="2"/>
  <c r="I422" i="2"/>
  <c r="A422" i="2"/>
  <c r="CC421" i="2"/>
  <c r="CD421" i="2" s="1"/>
  <c r="CA421" i="2"/>
  <c r="BX421" i="2"/>
  <c r="BY421" i="2" s="1"/>
  <c r="BV421" i="2"/>
  <c r="BS421" i="2"/>
  <c r="BT421" i="2" s="1"/>
  <c r="BQ421" i="2"/>
  <c r="BN421" i="2"/>
  <c r="BO421" i="2" s="1"/>
  <c r="BL421" i="2"/>
  <c r="BI421" i="2"/>
  <c r="BJ421" i="2" s="1"/>
  <c r="BG421" i="2"/>
  <c r="BD421" i="2"/>
  <c r="BE421" i="2" s="1"/>
  <c r="BB421" i="2"/>
  <c r="AY421" i="2"/>
  <c r="AZ421" i="2" s="1"/>
  <c r="AW421" i="2"/>
  <c r="AT421" i="2"/>
  <c r="AU421" i="2" s="1"/>
  <c r="AR421" i="2"/>
  <c r="AO421" i="2"/>
  <c r="AP421" i="2" s="1"/>
  <c r="AM421" i="2"/>
  <c r="AJ421" i="2"/>
  <c r="AK421" i="2" s="1"/>
  <c r="AH421" i="2"/>
  <c r="S421" i="2"/>
  <c r="I421" i="2"/>
  <c r="A421" i="2"/>
  <c r="CC420" i="2"/>
  <c r="CD420" i="2" s="1"/>
  <c r="CA420" i="2"/>
  <c r="BX420" i="2"/>
  <c r="BY420" i="2" s="1"/>
  <c r="BV420" i="2"/>
  <c r="BS420" i="2"/>
  <c r="BT420" i="2" s="1"/>
  <c r="BQ420" i="2"/>
  <c r="BN420" i="2"/>
  <c r="BO420" i="2" s="1"/>
  <c r="BL420" i="2"/>
  <c r="BI420" i="2"/>
  <c r="BJ420" i="2" s="1"/>
  <c r="BG420" i="2"/>
  <c r="BD420" i="2"/>
  <c r="BE420" i="2" s="1"/>
  <c r="BB420" i="2"/>
  <c r="AY420" i="2"/>
  <c r="AZ420" i="2" s="1"/>
  <c r="AW420" i="2"/>
  <c r="AT420" i="2"/>
  <c r="AU420" i="2" s="1"/>
  <c r="AR420" i="2"/>
  <c r="AO420" i="2"/>
  <c r="AP420" i="2" s="1"/>
  <c r="AM420" i="2"/>
  <c r="AJ420" i="2"/>
  <c r="AK420" i="2" s="1"/>
  <c r="AH420" i="2"/>
  <c r="S420" i="2"/>
  <c r="I420" i="2"/>
  <c r="A420" i="2"/>
  <c r="CC419" i="2"/>
  <c r="CD419" i="2" s="1"/>
  <c r="CA419" i="2"/>
  <c r="BX419" i="2"/>
  <c r="BY419" i="2" s="1"/>
  <c r="BV419" i="2"/>
  <c r="BS419" i="2"/>
  <c r="BT419" i="2" s="1"/>
  <c r="BQ419" i="2"/>
  <c r="BN419" i="2"/>
  <c r="BO419" i="2" s="1"/>
  <c r="BL419" i="2"/>
  <c r="BI419" i="2"/>
  <c r="BJ419" i="2" s="1"/>
  <c r="BG419" i="2"/>
  <c r="BD419" i="2"/>
  <c r="BE419" i="2" s="1"/>
  <c r="BB419" i="2"/>
  <c r="AY419" i="2"/>
  <c r="AZ419" i="2" s="1"/>
  <c r="AW419" i="2"/>
  <c r="AT419" i="2"/>
  <c r="AU419" i="2" s="1"/>
  <c r="AR419" i="2"/>
  <c r="AO419" i="2"/>
  <c r="AP419" i="2" s="1"/>
  <c r="AM419" i="2"/>
  <c r="AJ419" i="2"/>
  <c r="AK419" i="2" s="1"/>
  <c r="AH419" i="2"/>
  <c r="S419" i="2"/>
  <c r="I419" i="2"/>
  <c r="A419" i="2"/>
  <c r="CC418" i="2"/>
  <c r="CD418" i="2" s="1"/>
  <c r="CA418" i="2"/>
  <c r="BX418" i="2"/>
  <c r="BY418" i="2" s="1"/>
  <c r="BV418" i="2"/>
  <c r="BS418" i="2"/>
  <c r="BT418" i="2" s="1"/>
  <c r="BQ418" i="2"/>
  <c r="BN418" i="2"/>
  <c r="BO418" i="2" s="1"/>
  <c r="BL418" i="2"/>
  <c r="BI418" i="2"/>
  <c r="BJ418" i="2" s="1"/>
  <c r="BG418" i="2"/>
  <c r="BD418" i="2"/>
  <c r="BE418" i="2" s="1"/>
  <c r="BB418" i="2"/>
  <c r="AY418" i="2"/>
  <c r="AZ418" i="2" s="1"/>
  <c r="AW418" i="2"/>
  <c r="AT418" i="2"/>
  <c r="AU418" i="2" s="1"/>
  <c r="AR418" i="2"/>
  <c r="AO418" i="2"/>
  <c r="AP418" i="2" s="1"/>
  <c r="AM418" i="2"/>
  <c r="AJ418" i="2"/>
  <c r="AK418" i="2" s="1"/>
  <c r="AH418" i="2"/>
  <c r="S418" i="2"/>
  <c r="I418" i="2"/>
  <c r="A418" i="2"/>
  <c r="CC417" i="2"/>
  <c r="CD417" i="2" s="1"/>
  <c r="CA417" i="2"/>
  <c r="BX417" i="2"/>
  <c r="BY417" i="2" s="1"/>
  <c r="BV417" i="2"/>
  <c r="BS417" i="2"/>
  <c r="BT417" i="2" s="1"/>
  <c r="BQ417" i="2"/>
  <c r="BN417" i="2"/>
  <c r="BO417" i="2" s="1"/>
  <c r="BL417" i="2"/>
  <c r="BI417" i="2"/>
  <c r="BJ417" i="2" s="1"/>
  <c r="BG417" i="2"/>
  <c r="BD417" i="2"/>
  <c r="BE417" i="2" s="1"/>
  <c r="BB417" i="2"/>
  <c r="AY417" i="2"/>
  <c r="AZ417" i="2" s="1"/>
  <c r="AW417" i="2"/>
  <c r="AT417" i="2"/>
  <c r="AU417" i="2" s="1"/>
  <c r="AR417" i="2"/>
  <c r="AO417" i="2"/>
  <c r="AP417" i="2" s="1"/>
  <c r="AM417" i="2"/>
  <c r="AJ417" i="2"/>
  <c r="AK417" i="2" s="1"/>
  <c r="AH417" i="2"/>
  <c r="S417" i="2"/>
  <c r="I417" i="2"/>
  <c r="A417" i="2"/>
  <c r="CC416" i="2"/>
  <c r="CD416" i="2" s="1"/>
  <c r="CA416" i="2"/>
  <c r="BX416" i="2"/>
  <c r="BY416" i="2" s="1"/>
  <c r="BV416" i="2"/>
  <c r="BS416" i="2"/>
  <c r="BT416" i="2" s="1"/>
  <c r="BQ416" i="2"/>
  <c r="BN416" i="2"/>
  <c r="BO416" i="2" s="1"/>
  <c r="BL416" i="2"/>
  <c r="BI416" i="2"/>
  <c r="BJ416" i="2" s="1"/>
  <c r="BG416" i="2"/>
  <c r="BD416" i="2"/>
  <c r="BE416" i="2" s="1"/>
  <c r="BB416" i="2"/>
  <c r="AY416" i="2"/>
  <c r="AZ416" i="2" s="1"/>
  <c r="AW416" i="2"/>
  <c r="AT416" i="2"/>
  <c r="AU416" i="2" s="1"/>
  <c r="AR416" i="2"/>
  <c r="AO416" i="2"/>
  <c r="AP416" i="2" s="1"/>
  <c r="AM416" i="2"/>
  <c r="AJ416" i="2"/>
  <c r="AK416" i="2" s="1"/>
  <c r="AH416" i="2"/>
  <c r="S416" i="2"/>
  <c r="I416" i="2"/>
  <c r="A416" i="2"/>
  <c r="CC415" i="2"/>
  <c r="CD415" i="2" s="1"/>
  <c r="CA415" i="2"/>
  <c r="BX415" i="2"/>
  <c r="BY415" i="2" s="1"/>
  <c r="BV415" i="2"/>
  <c r="BS415" i="2"/>
  <c r="BT415" i="2" s="1"/>
  <c r="BQ415" i="2"/>
  <c r="BN415" i="2"/>
  <c r="BO415" i="2" s="1"/>
  <c r="BL415" i="2"/>
  <c r="BI415" i="2"/>
  <c r="BJ415" i="2" s="1"/>
  <c r="BG415" i="2"/>
  <c r="BD415" i="2"/>
  <c r="BE415" i="2" s="1"/>
  <c r="BB415" i="2"/>
  <c r="AY415" i="2"/>
  <c r="AZ415" i="2" s="1"/>
  <c r="AW415" i="2"/>
  <c r="AT415" i="2"/>
  <c r="AU415" i="2" s="1"/>
  <c r="AR415" i="2"/>
  <c r="AO415" i="2"/>
  <c r="AP415" i="2" s="1"/>
  <c r="AM415" i="2"/>
  <c r="AJ415" i="2"/>
  <c r="AK415" i="2" s="1"/>
  <c r="AH415" i="2"/>
  <c r="S415" i="2"/>
  <c r="I415" i="2"/>
  <c r="A415" i="2"/>
  <c r="CC414" i="2"/>
  <c r="CD414" i="2" s="1"/>
  <c r="CA414" i="2"/>
  <c r="BX414" i="2"/>
  <c r="BY414" i="2" s="1"/>
  <c r="BV414" i="2"/>
  <c r="BS414" i="2"/>
  <c r="BT414" i="2" s="1"/>
  <c r="BQ414" i="2"/>
  <c r="BN414" i="2"/>
  <c r="BO414" i="2" s="1"/>
  <c r="BL414" i="2"/>
  <c r="BI414" i="2"/>
  <c r="BJ414" i="2" s="1"/>
  <c r="BG414" i="2"/>
  <c r="BD414" i="2"/>
  <c r="BE414" i="2" s="1"/>
  <c r="BB414" i="2"/>
  <c r="AY414" i="2"/>
  <c r="AZ414" i="2" s="1"/>
  <c r="AW414" i="2"/>
  <c r="AT414" i="2"/>
  <c r="AU414" i="2" s="1"/>
  <c r="AR414" i="2"/>
  <c r="AO414" i="2"/>
  <c r="AP414" i="2" s="1"/>
  <c r="AM414" i="2"/>
  <c r="AJ414" i="2"/>
  <c r="AK414" i="2" s="1"/>
  <c r="AH414" i="2"/>
  <c r="S414" i="2"/>
  <c r="I414" i="2"/>
  <c r="A414" i="2"/>
  <c r="CC413" i="2"/>
  <c r="CD413" i="2" s="1"/>
  <c r="CA413" i="2"/>
  <c r="BX413" i="2"/>
  <c r="BY413" i="2" s="1"/>
  <c r="BV413" i="2"/>
  <c r="BS413" i="2"/>
  <c r="BT413" i="2" s="1"/>
  <c r="BQ413" i="2"/>
  <c r="BN413" i="2"/>
  <c r="BO413" i="2" s="1"/>
  <c r="BL413" i="2"/>
  <c r="BI413" i="2"/>
  <c r="BJ413" i="2" s="1"/>
  <c r="BG413" i="2"/>
  <c r="BD413" i="2"/>
  <c r="BE413" i="2" s="1"/>
  <c r="BB413" i="2"/>
  <c r="AY413" i="2"/>
  <c r="AZ413" i="2" s="1"/>
  <c r="AW413" i="2"/>
  <c r="AT413" i="2"/>
  <c r="AU413" i="2" s="1"/>
  <c r="AR413" i="2"/>
  <c r="AO413" i="2"/>
  <c r="AP413" i="2" s="1"/>
  <c r="AM413" i="2"/>
  <c r="AJ413" i="2"/>
  <c r="AK413" i="2" s="1"/>
  <c r="AH413" i="2"/>
  <c r="S413" i="2"/>
  <c r="I413" i="2"/>
  <c r="A413" i="2"/>
  <c r="CC412" i="2"/>
  <c r="CD412" i="2" s="1"/>
  <c r="CA412" i="2"/>
  <c r="BX412" i="2"/>
  <c r="BY412" i="2" s="1"/>
  <c r="BV412" i="2"/>
  <c r="BS412" i="2"/>
  <c r="BT412" i="2" s="1"/>
  <c r="BQ412" i="2"/>
  <c r="BN412" i="2"/>
  <c r="BO412" i="2" s="1"/>
  <c r="BL412" i="2"/>
  <c r="BI412" i="2"/>
  <c r="BJ412" i="2" s="1"/>
  <c r="BG412" i="2"/>
  <c r="BD412" i="2"/>
  <c r="BE412" i="2" s="1"/>
  <c r="BB412" i="2"/>
  <c r="AY412" i="2"/>
  <c r="AZ412" i="2" s="1"/>
  <c r="AW412" i="2"/>
  <c r="AT412" i="2"/>
  <c r="AU412" i="2" s="1"/>
  <c r="AR412" i="2"/>
  <c r="AO412" i="2"/>
  <c r="AP412" i="2" s="1"/>
  <c r="AM412" i="2"/>
  <c r="AJ412" i="2"/>
  <c r="AK412" i="2" s="1"/>
  <c r="AH412" i="2"/>
  <c r="S412" i="2"/>
  <c r="I412" i="2"/>
  <c r="A412" i="2"/>
  <c r="CC411" i="2"/>
  <c r="CD411" i="2" s="1"/>
  <c r="CA411" i="2"/>
  <c r="BX411" i="2"/>
  <c r="BY411" i="2" s="1"/>
  <c r="BV411" i="2"/>
  <c r="BS411" i="2"/>
  <c r="BT411" i="2" s="1"/>
  <c r="BQ411" i="2"/>
  <c r="BN411" i="2"/>
  <c r="BO411" i="2" s="1"/>
  <c r="BL411" i="2"/>
  <c r="BI411" i="2"/>
  <c r="BJ411" i="2" s="1"/>
  <c r="BG411" i="2"/>
  <c r="BD411" i="2"/>
  <c r="BE411" i="2" s="1"/>
  <c r="BB411" i="2"/>
  <c r="AY411" i="2"/>
  <c r="AZ411" i="2" s="1"/>
  <c r="AW411" i="2"/>
  <c r="AT411" i="2"/>
  <c r="AU411" i="2" s="1"/>
  <c r="AR411" i="2"/>
  <c r="AO411" i="2"/>
  <c r="AP411" i="2" s="1"/>
  <c r="AM411" i="2"/>
  <c r="AJ411" i="2"/>
  <c r="AK411" i="2" s="1"/>
  <c r="AH411" i="2"/>
  <c r="S411" i="2"/>
  <c r="I411" i="2"/>
  <c r="A411" i="2"/>
  <c r="CC410" i="2"/>
  <c r="CD410" i="2" s="1"/>
  <c r="CA410" i="2"/>
  <c r="BX410" i="2"/>
  <c r="BY410" i="2" s="1"/>
  <c r="BV410" i="2"/>
  <c r="BS410" i="2"/>
  <c r="BT410" i="2" s="1"/>
  <c r="BQ410" i="2"/>
  <c r="BN410" i="2"/>
  <c r="BO410" i="2" s="1"/>
  <c r="BL410" i="2"/>
  <c r="BI410" i="2"/>
  <c r="BJ410" i="2" s="1"/>
  <c r="BG410" i="2"/>
  <c r="BD410" i="2"/>
  <c r="BE410" i="2" s="1"/>
  <c r="BB410" i="2"/>
  <c r="AY410" i="2"/>
  <c r="AZ410" i="2" s="1"/>
  <c r="AW410" i="2"/>
  <c r="AT410" i="2"/>
  <c r="AU410" i="2" s="1"/>
  <c r="AR410" i="2"/>
  <c r="AO410" i="2"/>
  <c r="AP410" i="2" s="1"/>
  <c r="AM410" i="2"/>
  <c r="AJ410" i="2"/>
  <c r="AK410" i="2" s="1"/>
  <c r="AH410" i="2"/>
  <c r="S410" i="2"/>
  <c r="I410" i="2"/>
  <c r="A410" i="2"/>
  <c r="CC409" i="2"/>
  <c r="CD409" i="2" s="1"/>
  <c r="CA409" i="2"/>
  <c r="BX409" i="2"/>
  <c r="BY409" i="2" s="1"/>
  <c r="BV409" i="2"/>
  <c r="BS409" i="2"/>
  <c r="BT409" i="2" s="1"/>
  <c r="BQ409" i="2"/>
  <c r="BN409" i="2"/>
  <c r="BO409" i="2" s="1"/>
  <c r="BL409" i="2"/>
  <c r="BI409" i="2"/>
  <c r="BJ409" i="2" s="1"/>
  <c r="BG409" i="2"/>
  <c r="BD409" i="2"/>
  <c r="BE409" i="2" s="1"/>
  <c r="BB409" i="2"/>
  <c r="AY409" i="2"/>
  <c r="AZ409" i="2" s="1"/>
  <c r="AW409" i="2"/>
  <c r="AT409" i="2"/>
  <c r="AU409" i="2" s="1"/>
  <c r="AR409" i="2"/>
  <c r="AO409" i="2"/>
  <c r="AP409" i="2" s="1"/>
  <c r="AM409" i="2"/>
  <c r="AJ409" i="2"/>
  <c r="AK409" i="2" s="1"/>
  <c r="AH409" i="2"/>
  <c r="S409" i="2"/>
  <c r="I409" i="2"/>
  <c r="A409" i="2"/>
  <c r="CC408" i="2"/>
  <c r="CD408" i="2" s="1"/>
  <c r="CA408" i="2"/>
  <c r="BX408" i="2"/>
  <c r="BY408" i="2" s="1"/>
  <c r="BV408" i="2"/>
  <c r="BS408" i="2"/>
  <c r="BT408" i="2" s="1"/>
  <c r="BQ408" i="2"/>
  <c r="BN408" i="2"/>
  <c r="BO408" i="2" s="1"/>
  <c r="BL408" i="2"/>
  <c r="BI408" i="2"/>
  <c r="BJ408" i="2" s="1"/>
  <c r="BG408" i="2"/>
  <c r="BD408" i="2"/>
  <c r="BE408" i="2" s="1"/>
  <c r="BB408" i="2"/>
  <c r="AY408" i="2"/>
  <c r="AZ408" i="2" s="1"/>
  <c r="AW408" i="2"/>
  <c r="AT408" i="2"/>
  <c r="AU408" i="2" s="1"/>
  <c r="AR408" i="2"/>
  <c r="AO408" i="2"/>
  <c r="AP408" i="2" s="1"/>
  <c r="AM408" i="2"/>
  <c r="AJ408" i="2"/>
  <c r="AK408" i="2" s="1"/>
  <c r="AH408" i="2"/>
  <c r="S408" i="2"/>
  <c r="I408" i="2"/>
  <c r="A408" i="2"/>
  <c r="CC407" i="2"/>
  <c r="CD407" i="2" s="1"/>
  <c r="CA407" i="2"/>
  <c r="BX407" i="2"/>
  <c r="BY407" i="2" s="1"/>
  <c r="BV407" i="2"/>
  <c r="BS407" i="2"/>
  <c r="BT407" i="2" s="1"/>
  <c r="BQ407" i="2"/>
  <c r="BN407" i="2"/>
  <c r="BO407" i="2" s="1"/>
  <c r="BL407" i="2"/>
  <c r="BI407" i="2"/>
  <c r="BJ407" i="2" s="1"/>
  <c r="BG407" i="2"/>
  <c r="BD407" i="2"/>
  <c r="BE407" i="2" s="1"/>
  <c r="BB407" i="2"/>
  <c r="AY407" i="2"/>
  <c r="AZ407" i="2" s="1"/>
  <c r="AW407" i="2"/>
  <c r="AT407" i="2"/>
  <c r="AU407" i="2" s="1"/>
  <c r="AR407" i="2"/>
  <c r="AO407" i="2"/>
  <c r="AP407" i="2" s="1"/>
  <c r="AM407" i="2"/>
  <c r="AJ407" i="2"/>
  <c r="AK407" i="2" s="1"/>
  <c r="AH407" i="2"/>
  <c r="S407" i="2"/>
  <c r="I407" i="2"/>
  <c r="A407" i="2"/>
  <c r="CC406" i="2"/>
  <c r="CD406" i="2" s="1"/>
  <c r="CA406" i="2"/>
  <c r="BX406" i="2"/>
  <c r="BY406" i="2" s="1"/>
  <c r="BV406" i="2"/>
  <c r="BS406" i="2"/>
  <c r="BT406" i="2" s="1"/>
  <c r="BQ406" i="2"/>
  <c r="BN406" i="2"/>
  <c r="BO406" i="2" s="1"/>
  <c r="BL406" i="2"/>
  <c r="BI406" i="2"/>
  <c r="BJ406" i="2" s="1"/>
  <c r="BG406" i="2"/>
  <c r="BD406" i="2"/>
  <c r="BE406" i="2" s="1"/>
  <c r="BB406" i="2"/>
  <c r="AY406" i="2"/>
  <c r="AZ406" i="2" s="1"/>
  <c r="AW406" i="2"/>
  <c r="AT406" i="2"/>
  <c r="AU406" i="2" s="1"/>
  <c r="AR406" i="2"/>
  <c r="AO406" i="2"/>
  <c r="AP406" i="2" s="1"/>
  <c r="AM406" i="2"/>
  <c r="AJ406" i="2"/>
  <c r="AK406" i="2" s="1"/>
  <c r="AH406" i="2"/>
  <c r="S406" i="2"/>
  <c r="I406" i="2"/>
  <c r="A406" i="2"/>
  <c r="CC405" i="2"/>
  <c r="CD405" i="2" s="1"/>
  <c r="CA405" i="2"/>
  <c r="BX405" i="2"/>
  <c r="BY405" i="2" s="1"/>
  <c r="BV405" i="2"/>
  <c r="BS405" i="2"/>
  <c r="BT405" i="2" s="1"/>
  <c r="BQ405" i="2"/>
  <c r="BN405" i="2"/>
  <c r="BO405" i="2" s="1"/>
  <c r="BL405" i="2"/>
  <c r="BI405" i="2"/>
  <c r="BJ405" i="2" s="1"/>
  <c r="BG405" i="2"/>
  <c r="BD405" i="2"/>
  <c r="BE405" i="2" s="1"/>
  <c r="BB405" i="2"/>
  <c r="AY405" i="2"/>
  <c r="AZ405" i="2" s="1"/>
  <c r="AW405" i="2"/>
  <c r="AT405" i="2"/>
  <c r="AU405" i="2" s="1"/>
  <c r="AR405" i="2"/>
  <c r="AO405" i="2"/>
  <c r="AP405" i="2" s="1"/>
  <c r="AM405" i="2"/>
  <c r="AJ405" i="2"/>
  <c r="AK405" i="2" s="1"/>
  <c r="AH405" i="2"/>
  <c r="S405" i="2"/>
  <c r="I405" i="2"/>
  <c r="A405" i="2"/>
  <c r="CC404" i="2"/>
  <c r="CD404" i="2" s="1"/>
  <c r="CA404" i="2"/>
  <c r="BX404" i="2"/>
  <c r="BY404" i="2" s="1"/>
  <c r="BV404" i="2"/>
  <c r="BS404" i="2"/>
  <c r="BT404" i="2" s="1"/>
  <c r="BQ404" i="2"/>
  <c r="BN404" i="2"/>
  <c r="BO404" i="2" s="1"/>
  <c r="BL404" i="2"/>
  <c r="BI404" i="2"/>
  <c r="BJ404" i="2" s="1"/>
  <c r="BG404" i="2"/>
  <c r="BD404" i="2"/>
  <c r="BE404" i="2" s="1"/>
  <c r="BB404" i="2"/>
  <c r="AY404" i="2"/>
  <c r="AZ404" i="2" s="1"/>
  <c r="AW404" i="2"/>
  <c r="AT404" i="2"/>
  <c r="AU404" i="2" s="1"/>
  <c r="AR404" i="2"/>
  <c r="AO404" i="2"/>
  <c r="AP404" i="2" s="1"/>
  <c r="AM404" i="2"/>
  <c r="AJ404" i="2"/>
  <c r="AK404" i="2" s="1"/>
  <c r="AH404" i="2"/>
  <c r="S404" i="2"/>
  <c r="I404" i="2"/>
  <c r="A404" i="2"/>
  <c r="CC403" i="2"/>
  <c r="CD403" i="2" s="1"/>
  <c r="CA403" i="2"/>
  <c r="BX403" i="2"/>
  <c r="BY403" i="2" s="1"/>
  <c r="BV403" i="2"/>
  <c r="BS403" i="2"/>
  <c r="BT403" i="2" s="1"/>
  <c r="BQ403" i="2"/>
  <c r="BN403" i="2"/>
  <c r="BO403" i="2" s="1"/>
  <c r="BL403" i="2"/>
  <c r="BI403" i="2"/>
  <c r="BJ403" i="2" s="1"/>
  <c r="BG403" i="2"/>
  <c r="BD403" i="2"/>
  <c r="BE403" i="2" s="1"/>
  <c r="BB403" i="2"/>
  <c r="AY403" i="2"/>
  <c r="AZ403" i="2" s="1"/>
  <c r="AW403" i="2"/>
  <c r="AT403" i="2"/>
  <c r="AU403" i="2" s="1"/>
  <c r="AR403" i="2"/>
  <c r="AO403" i="2"/>
  <c r="AP403" i="2" s="1"/>
  <c r="AM403" i="2"/>
  <c r="AJ403" i="2"/>
  <c r="AK403" i="2" s="1"/>
  <c r="AH403" i="2"/>
  <c r="S403" i="2"/>
  <c r="I403" i="2"/>
  <c r="A403" i="2"/>
  <c r="CC402" i="2"/>
  <c r="CD402" i="2" s="1"/>
  <c r="CA402" i="2"/>
  <c r="BX402" i="2"/>
  <c r="BY402" i="2" s="1"/>
  <c r="BV402" i="2"/>
  <c r="BS402" i="2"/>
  <c r="BT402" i="2" s="1"/>
  <c r="BQ402" i="2"/>
  <c r="BN402" i="2"/>
  <c r="BO402" i="2" s="1"/>
  <c r="BL402" i="2"/>
  <c r="BI402" i="2"/>
  <c r="BJ402" i="2" s="1"/>
  <c r="BG402" i="2"/>
  <c r="BD402" i="2"/>
  <c r="BE402" i="2" s="1"/>
  <c r="BB402" i="2"/>
  <c r="AY402" i="2"/>
  <c r="AZ402" i="2" s="1"/>
  <c r="AW402" i="2"/>
  <c r="AT402" i="2"/>
  <c r="AU402" i="2" s="1"/>
  <c r="AR402" i="2"/>
  <c r="AO402" i="2"/>
  <c r="AP402" i="2" s="1"/>
  <c r="AM402" i="2"/>
  <c r="AJ402" i="2"/>
  <c r="AK402" i="2" s="1"/>
  <c r="AH402" i="2"/>
  <c r="S402" i="2"/>
  <c r="I402" i="2"/>
  <c r="A402" i="2"/>
  <c r="CC401" i="2"/>
  <c r="CD401" i="2" s="1"/>
  <c r="CA401" i="2"/>
  <c r="BX401" i="2"/>
  <c r="BY401" i="2" s="1"/>
  <c r="BV401" i="2"/>
  <c r="BS401" i="2"/>
  <c r="BT401" i="2" s="1"/>
  <c r="BQ401" i="2"/>
  <c r="BN401" i="2"/>
  <c r="BO401" i="2" s="1"/>
  <c r="BL401" i="2"/>
  <c r="BI401" i="2"/>
  <c r="BJ401" i="2" s="1"/>
  <c r="BG401" i="2"/>
  <c r="BD401" i="2"/>
  <c r="BE401" i="2" s="1"/>
  <c r="BB401" i="2"/>
  <c r="AY401" i="2"/>
  <c r="AZ401" i="2" s="1"/>
  <c r="AW401" i="2"/>
  <c r="AT401" i="2"/>
  <c r="AU401" i="2" s="1"/>
  <c r="AR401" i="2"/>
  <c r="AO401" i="2"/>
  <c r="AP401" i="2" s="1"/>
  <c r="AM401" i="2"/>
  <c r="AJ401" i="2"/>
  <c r="AK401" i="2" s="1"/>
  <c r="AH401" i="2"/>
  <c r="S401" i="2"/>
  <c r="I401" i="2"/>
  <c r="A401" i="2"/>
  <c r="CC400" i="2"/>
  <c r="CD400" i="2" s="1"/>
  <c r="CA400" i="2"/>
  <c r="BX400" i="2"/>
  <c r="BY400" i="2" s="1"/>
  <c r="BV400" i="2"/>
  <c r="BS400" i="2"/>
  <c r="BT400" i="2" s="1"/>
  <c r="BQ400" i="2"/>
  <c r="BN400" i="2"/>
  <c r="BO400" i="2" s="1"/>
  <c r="BL400" i="2"/>
  <c r="BI400" i="2"/>
  <c r="BJ400" i="2" s="1"/>
  <c r="BG400" i="2"/>
  <c r="BD400" i="2"/>
  <c r="BE400" i="2" s="1"/>
  <c r="BB400" i="2"/>
  <c r="AY400" i="2"/>
  <c r="AZ400" i="2" s="1"/>
  <c r="AW400" i="2"/>
  <c r="AT400" i="2"/>
  <c r="AU400" i="2" s="1"/>
  <c r="AR400" i="2"/>
  <c r="AO400" i="2"/>
  <c r="AP400" i="2" s="1"/>
  <c r="AM400" i="2"/>
  <c r="AJ400" i="2"/>
  <c r="AK400" i="2" s="1"/>
  <c r="AH400" i="2"/>
  <c r="S400" i="2"/>
  <c r="I400" i="2"/>
  <c r="A400" i="2"/>
  <c r="CC399" i="2"/>
  <c r="CD399" i="2" s="1"/>
  <c r="CA399" i="2"/>
  <c r="BX399" i="2"/>
  <c r="BY399" i="2" s="1"/>
  <c r="BV399" i="2"/>
  <c r="BS399" i="2"/>
  <c r="BT399" i="2" s="1"/>
  <c r="BQ399" i="2"/>
  <c r="BN399" i="2"/>
  <c r="BO399" i="2" s="1"/>
  <c r="BL399" i="2"/>
  <c r="BI399" i="2"/>
  <c r="BJ399" i="2" s="1"/>
  <c r="BG399" i="2"/>
  <c r="BD399" i="2"/>
  <c r="BE399" i="2" s="1"/>
  <c r="BB399" i="2"/>
  <c r="AY399" i="2"/>
  <c r="AZ399" i="2" s="1"/>
  <c r="AW399" i="2"/>
  <c r="AT399" i="2"/>
  <c r="AU399" i="2" s="1"/>
  <c r="AR399" i="2"/>
  <c r="AO399" i="2"/>
  <c r="AP399" i="2" s="1"/>
  <c r="AM399" i="2"/>
  <c r="AJ399" i="2"/>
  <c r="AK399" i="2" s="1"/>
  <c r="AH399" i="2"/>
  <c r="S399" i="2"/>
  <c r="I399" i="2"/>
  <c r="A399" i="2"/>
  <c r="CC398" i="2"/>
  <c r="CD398" i="2" s="1"/>
  <c r="CA398" i="2"/>
  <c r="BX398" i="2"/>
  <c r="BY398" i="2" s="1"/>
  <c r="BV398" i="2"/>
  <c r="BS398" i="2"/>
  <c r="BT398" i="2" s="1"/>
  <c r="BQ398" i="2"/>
  <c r="BN398" i="2"/>
  <c r="BO398" i="2" s="1"/>
  <c r="BL398" i="2"/>
  <c r="BI398" i="2"/>
  <c r="BJ398" i="2" s="1"/>
  <c r="BG398" i="2"/>
  <c r="BD398" i="2"/>
  <c r="BE398" i="2" s="1"/>
  <c r="BB398" i="2"/>
  <c r="AY398" i="2"/>
  <c r="AZ398" i="2" s="1"/>
  <c r="AW398" i="2"/>
  <c r="AT398" i="2"/>
  <c r="AU398" i="2" s="1"/>
  <c r="AR398" i="2"/>
  <c r="AO398" i="2"/>
  <c r="AP398" i="2" s="1"/>
  <c r="AM398" i="2"/>
  <c r="AJ398" i="2"/>
  <c r="AK398" i="2" s="1"/>
  <c r="AH398" i="2"/>
  <c r="S398" i="2"/>
  <c r="I398" i="2"/>
  <c r="A398" i="2"/>
  <c r="CC397" i="2"/>
  <c r="CD397" i="2" s="1"/>
  <c r="CA397" i="2"/>
  <c r="BX397" i="2"/>
  <c r="BY397" i="2" s="1"/>
  <c r="BV397" i="2"/>
  <c r="BS397" i="2"/>
  <c r="BT397" i="2" s="1"/>
  <c r="BQ397" i="2"/>
  <c r="BN397" i="2"/>
  <c r="BO397" i="2" s="1"/>
  <c r="BL397" i="2"/>
  <c r="BI397" i="2"/>
  <c r="BJ397" i="2" s="1"/>
  <c r="BG397" i="2"/>
  <c r="BD397" i="2"/>
  <c r="BE397" i="2" s="1"/>
  <c r="BB397" i="2"/>
  <c r="AY397" i="2"/>
  <c r="AZ397" i="2" s="1"/>
  <c r="AW397" i="2"/>
  <c r="AT397" i="2"/>
  <c r="AU397" i="2" s="1"/>
  <c r="AR397" i="2"/>
  <c r="AO397" i="2"/>
  <c r="AP397" i="2" s="1"/>
  <c r="AM397" i="2"/>
  <c r="AJ397" i="2"/>
  <c r="AK397" i="2" s="1"/>
  <c r="AH397" i="2"/>
  <c r="S397" i="2"/>
  <c r="I397" i="2"/>
  <c r="A397" i="2"/>
  <c r="CC396" i="2"/>
  <c r="CD396" i="2" s="1"/>
  <c r="CA396" i="2"/>
  <c r="BX396" i="2"/>
  <c r="BY396" i="2" s="1"/>
  <c r="BV396" i="2"/>
  <c r="BS396" i="2"/>
  <c r="BT396" i="2" s="1"/>
  <c r="BQ396" i="2"/>
  <c r="BN396" i="2"/>
  <c r="BO396" i="2" s="1"/>
  <c r="BL396" i="2"/>
  <c r="BI396" i="2"/>
  <c r="BJ396" i="2" s="1"/>
  <c r="BG396" i="2"/>
  <c r="BD396" i="2"/>
  <c r="BE396" i="2" s="1"/>
  <c r="BB396" i="2"/>
  <c r="AY396" i="2"/>
  <c r="AZ396" i="2" s="1"/>
  <c r="AW396" i="2"/>
  <c r="AT396" i="2"/>
  <c r="AU396" i="2" s="1"/>
  <c r="AR396" i="2"/>
  <c r="AO396" i="2"/>
  <c r="AP396" i="2" s="1"/>
  <c r="AM396" i="2"/>
  <c r="AJ396" i="2"/>
  <c r="AK396" i="2" s="1"/>
  <c r="AH396" i="2"/>
  <c r="S396" i="2"/>
  <c r="I396" i="2"/>
  <c r="A396" i="2"/>
  <c r="CC395" i="2"/>
  <c r="CD395" i="2" s="1"/>
  <c r="CA395" i="2"/>
  <c r="BX395" i="2"/>
  <c r="BY395" i="2" s="1"/>
  <c r="BV395" i="2"/>
  <c r="BS395" i="2"/>
  <c r="BT395" i="2" s="1"/>
  <c r="BQ395" i="2"/>
  <c r="BN395" i="2"/>
  <c r="BO395" i="2" s="1"/>
  <c r="BL395" i="2"/>
  <c r="BI395" i="2"/>
  <c r="BJ395" i="2" s="1"/>
  <c r="BG395" i="2"/>
  <c r="BD395" i="2"/>
  <c r="BE395" i="2" s="1"/>
  <c r="BB395" i="2"/>
  <c r="AY395" i="2"/>
  <c r="AZ395" i="2" s="1"/>
  <c r="AW395" i="2"/>
  <c r="AT395" i="2"/>
  <c r="AU395" i="2" s="1"/>
  <c r="AR395" i="2"/>
  <c r="AO395" i="2"/>
  <c r="AP395" i="2" s="1"/>
  <c r="AM395" i="2"/>
  <c r="AJ395" i="2"/>
  <c r="AK395" i="2" s="1"/>
  <c r="AH395" i="2"/>
  <c r="S395" i="2"/>
  <c r="I395" i="2"/>
  <c r="A395" i="2"/>
  <c r="CC394" i="2"/>
  <c r="CD394" i="2" s="1"/>
  <c r="CA394" i="2"/>
  <c r="BX394" i="2"/>
  <c r="BY394" i="2" s="1"/>
  <c r="BV394" i="2"/>
  <c r="BS394" i="2"/>
  <c r="BT394" i="2" s="1"/>
  <c r="BQ394" i="2"/>
  <c r="BN394" i="2"/>
  <c r="BO394" i="2" s="1"/>
  <c r="BL394" i="2"/>
  <c r="BI394" i="2"/>
  <c r="BJ394" i="2" s="1"/>
  <c r="BG394" i="2"/>
  <c r="BD394" i="2"/>
  <c r="BE394" i="2" s="1"/>
  <c r="BB394" i="2"/>
  <c r="AY394" i="2"/>
  <c r="AZ394" i="2" s="1"/>
  <c r="AW394" i="2"/>
  <c r="AT394" i="2"/>
  <c r="AU394" i="2" s="1"/>
  <c r="AR394" i="2"/>
  <c r="AO394" i="2"/>
  <c r="AP394" i="2" s="1"/>
  <c r="AM394" i="2"/>
  <c r="AJ394" i="2"/>
  <c r="AK394" i="2" s="1"/>
  <c r="AH394" i="2"/>
  <c r="S394" i="2"/>
  <c r="I394" i="2"/>
  <c r="A394" i="2"/>
  <c r="CC393" i="2"/>
  <c r="CD393" i="2" s="1"/>
  <c r="CA393" i="2"/>
  <c r="BX393" i="2"/>
  <c r="BY393" i="2" s="1"/>
  <c r="BV393" i="2"/>
  <c r="BS393" i="2"/>
  <c r="BT393" i="2" s="1"/>
  <c r="BQ393" i="2"/>
  <c r="BN393" i="2"/>
  <c r="BO393" i="2" s="1"/>
  <c r="BL393" i="2"/>
  <c r="BI393" i="2"/>
  <c r="BJ393" i="2" s="1"/>
  <c r="BG393" i="2"/>
  <c r="BD393" i="2"/>
  <c r="BE393" i="2" s="1"/>
  <c r="BB393" i="2"/>
  <c r="AY393" i="2"/>
  <c r="AZ393" i="2" s="1"/>
  <c r="AW393" i="2"/>
  <c r="AT393" i="2"/>
  <c r="AU393" i="2" s="1"/>
  <c r="AR393" i="2"/>
  <c r="AO393" i="2"/>
  <c r="AP393" i="2" s="1"/>
  <c r="AM393" i="2"/>
  <c r="AJ393" i="2"/>
  <c r="AK393" i="2" s="1"/>
  <c r="AH393" i="2"/>
  <c r="S393" i="2"/>
  <c r="I393" i="2"/>
  <c r="A393" i="2"/>
  <c r="CC392" i="2"/>
  <c r="CD392" i="2" s="1"/>
  <c r="CA392" i="2"/>
  <c r="BX392" i="2"/>
  <c r="BY392" i="2" s="1"/>
  <c r="BV392" i="2"/>
  <c r="BS392" i="2"/>
  <c r="BT392" i="2" s="1"/>
  <c r="BQ392" i="2"/>
  <c r="BN392" i="2"/>
  <c r="BO392" i="2" s="1"/>
  <c r="BL392" i="2"/>
  <c r="BI392" i="2"/>
  <c r="BJ392" i="2" s="1"/>
  <c r="BG392" i="2"/>
  <c r="BD392" i="2"/>
  <c r="BE392" i="2" s="1"/>
  <c r="BB392" i="2"/>
  <c r="AY392" i="2"/>
  <c r="AZ392" i="2" s="1"/>
  <c r="AW392" i="2"/>
  <c r="AT392" i="2"/>
  <c r="AU392" i="2" s="1"/>
  <c r="AR392" i="2"/>
  <c r="AO392" i="2"/>
  <c r="AP392" i="2" s="1"/>
  <c r="AM392" i="2"/>
  <c r="AJ392" i="2"/>
  <c r="AK392" i="2" s="1"/>
  <c r="AH392" i="2"/>
  <c r="S392" i="2"/>
  <c r="I392" i="2"/>
  <c r="A392" i="2"/>
  <c r="CC391" i="2"/>
  <c r="CD391" i="2" s="1"/>
  <c r="CA391" i="2"/>
  <c r="BX391" i="2"/>
  <c r="BY391" i="2" s="1"/>
  <c r="BV391" i="2"/>
  <c r="BS391" i="2"/>
  <c r="BT391" i="2" s="1"/>
  <c r="BQ391" i="2"/>
  <c r="BN391" i="2"/>
  <c r="BO391" i="2" s="1"/>
  <c r="BL391" i="2"/>
  <c r="BI391" i="2"/>
  <c r="BJ391" i="2" s="1"/>
  <c r="BG391" i="2"/>
  <c r="BD391" i="2"/>
  <c r="BE391" i="2" s="1"/>
  <c r="BB391" i="2"/>
  <c r="AY391" i="2"/>
  <c r="AZ391" i="2" s="1"/>
  <c r="AW391" i="2"/>
  <c r="AT391" i="2"/>
  <c r="AU391" i="2" s="1"/>
  <c r="AR391" i="2"/>
  <c r="AO391" i="2"/>
  <c r="AP391" i="2" s="1"/>
  <c r="AM391" i="2"/>
  <c r="AJ391" i="2"/>
  <c r="AK391" i="2" s="1"/>
  <c r="AH391" i="2"/>
  <c r="S391" i="2"/>
  <c r="I391" i="2"/>
  <c r="A391" i="2"/>
  <c r="CC390" i="2"/>
  <c r="CD390" i="2" s="1"/>
  <c r="CA390" i="2"/>
  <c r="BX390" i="2"/>
  <c r="BY390" i="2" s="1"/>
  <c r="BV390" i="2"/>
  <c r="BS390" i="2"/>
  <c r="BT390" i="2" s="1"/>
  <c r="BQ390" i="2"/>
  <c r="BN390" i="2"/>
  <c r="BO390" i="2" s="1"/>
  <c r="BL390" i="2"/>
  <c r="BI390" i="2"/>
  <c r="BJ390" i="2" s="1"/>
  <c r="BG390" i="2"/>
  <c r="BD390" i="2"/>
  <c r="BE390" i="2" s="1"/>
  <c r="BB390" i="2"/>
  <c r="AY390" i="2"/>
  <c r="AZ390" i="2" s="1"/>
  <c r="AW390" i="2"/>
  <c r="AT390" i="2"/>
  <c r="AU390" i="2" s="1"/>
  <c r="AR390" i="2"/>
  <c r="AO390" i="2"/>
  <c r="AP390" i="2" s="1"/>
  <c r="AM390" i="2"/>
  <c r="AJ390" i="2"/>
  <c r="AK390" i="2" s="1"/>
  <c r="AH390" i="2"/>
  <c r="S390" i="2"/>
  <c r="I390" i="2"/>
  <c r="A390" i="2"/>
  <c r="CC389" i="2"/>
  <c r="CD389" i="2" s="1"/>
  <c r="CA389" i="2"/>
  <c r="BX389" i="2"/>
  <c r="BY389" i="2" s="1"/>
  <c r="BV389" i="2"/>
  <c r="BS389" i="2"/>
  <c r="BT389" i="2" s="1"/>
  <c r="BQ389" i="2"/>
  <c r="BN389" i="2"/>
  <c r="BO389" i="2" s="1"/>
  <c r="BL389" i="2"/>
  <c r="BI389" i="2"/>
  <c r="BJ389" i="2" s="1"/>
  <c r="BG389" i="2"/>
  <c r="BD389" i="2"/>
  <c r="BE389" i="2" s="1"/>
  <c r="BB389" i="2"/>
  <c r="AY389" i="2"/>
  <c r="AZ389" i="2" s="1"/>
  <c r="AW389" i="2"/>
  <c r="AT389" i="2"/>
  <c r="AU389" i="2" s="1"/>
  <c r="AR389" i="2"/>
  <c r="AO389" i="2"/>
  <c r="AP389" i="2" s="1"/>
  <c r="AM389" i="2"/>
  <c r="AJ389" i="2"/>
  <c r="AK389" i="2" s="1"/>
  <c r="AH389" i="2"/>
  <c r="S389" i="2"/>
  <c r="I389" i="2"/>
  <c r="A389" i="2"/>
  <c r="CC388" i="2"/>
  <c r="CD388" i="2" s="1"/>
  <c r="CA388" i="2"/>
  <c r="BX388" i="2"/>
  <c r="BY388" i="2" s="1"/>
  <c r="BV388" i="2"/>
  <c r="BS388" i="2"/>
  <c r="BT388" i="2" s="1"/>
  <c r="BQ388" i="2"/>
  <c r="BN388" i="2"/>
  <c r="BO388" i="2" s="1"/>
  <c r="BL388" i="2"/>
  <c r="BI388" i="2"/>
  <c r="BJ388" i="2" s="1"/>
  <c r="BG388" i="2"/>
  <c r="BD388" i="2"/>
  <c r="BE388" i="2" s="1"/>
  <c r="BB388" i="2"/>
  <c r="AY388" i="2"/>
  <c r="AZ388" i="2" s="1"/>
  <c r="AW388" i="2"/>
  <c r="AT388" i="2"/>
  <c r="AU388" i="2" s="1"/>
  <c r="AR388" i="2"/>
  <c r="AO388" i="2"/>
  <c r="AP388" i="2" s="1"/>
  <c r="AM388" i="2"/>
  <c r="AJ388" i="2"/>
  <c r="AK388" i="2" s="1"/>
  <c r="AH388" i="2"/>
  <c r="S388" i="2"/>
  <c r="I388" i="2"/>
  <c r="A388" i="2"/>
  <c r="CC387" i="2"/>
  <c r="CD387" i="2" s="1"/>
  <c r="CA387" i="2"/>
  <c r="BX387" i="2"/>
  <c r="BY387" i="2" s="1"/>
  <c r="BV387" i="2"/>
  <c r="BS387" i="2"/>
  <c r="BT387" i="2" s="1"/>
  <c r="BQ387" i="2"/>
  <c r="BN387" i="2"/>
  <c r="BO387" i="2" s="1"/>
  <c r="BL387" i="2"/>
  <c r="BI387" i="2"/>
  <c r="BJ387" i="2" s="1"/>
  <c r="BG387" i="2"/>
  <c r="BD387" i="2"/>
  <c r="BE387" i="2" s="1"/>
  <c r="BB387" i="2"/>
  <c r="AY387" i="2"/>
  <c r="AZ387" i="2" s="1"/>
  <c r="AW387" i="2"/>
  <c r="AT387" i="2"/>
  <c r="AU387" i="2" s="1"/>
  <c r="AR387" i="2"/>
  <c r="AO387" i="2"/>
  <c r="AP387" i="2" s="1"/>
  <c r="AM387" i="2"/>
  <c r="AJ387" i="2"/>
  <c r="AK387" i="2" s="1"/>
  <c r="AH387" i="2"/>
  <c r="S387" i="2"/>
  <c r="I387" i="2"/>
  <c r="A387" i="2"/>
  <c r="CC386" i="2"/>
  <c r="CD386" i="2" s="1"/>
  <c r="CA386" i="2"/>
  <c r="BX386" i="2"/>
  <c r="BY386" i="2" s="1"/>
  <c r="BV386" i="2"/>
  <c r="BS386" i="2"/>
  <c r="BT386" i="2" s="1"/>
  <c r="BQ386" i="2"/>
  <c r="BN386" i="2"/>
  <c r="BO386" i="2" s="1"/>
  <c r="BL386" i="2"/>
  <c r="BI386" i="2"/>
  <c r="BJ386" i="2" s="1"/>
  <c r="BG386" i="2"/>
  <c r="BD386" i="2"/>
  <c r="BE386" i="2" s="1"/>
  <c r="BB386" i="2"/>
  <c r="AY386" i="2"/>
  <c r="AZ386" i="2" s="1"/>
  <c r="AW386" i="2"/>
  <c r="AT386" i="2"/>
  <c r="AU386" i="2" s="1"/>
  <c r="AR386" i="2"/>
  <c r="AO386" i="2"/>
  <c r="AP386" i="2" s="1"/>
  <c r="AM386" i="2"/>
  <c r="AJ386" i="2"/>
  <c r="AK386" i="2" s="1"/>
  <c r="AH386" i="2"/>
  <c r="S386" i="2"/>
  <c r="I386" i="2"/>
  <c r="A386" i="2"/>
  <c r="O491" i="2" l="1"/>
  <c r="R491" i="2" s="1"/>
  <c r="U491" i="2" s="1"/>
  <c r="O504" i="2"/>
  <c r="T520" i="2"/>
  <c r="O475" i="2"/>
  <c r="Q507" i="2"/>
  <c r="Q511" i="2"/>
  <c r="Q467" i="2"/>
  <c r="O467" i="2"/>
  <c r="Q499" i="2"/>
  <c r="O499" i="2"/>
  <c r="R499" i="2" s="1"/>
  <c r="T512" i="2"/>
  <c r="T516" i="2"/>
  <c r="T518" i="2"/>
  <c r="Q483" i="2"/>
  <c r="O483" i="2"/>
  <c r="Q516" i="2"/>
  <c r="O516" i="2"/>
  <c r="Q520" i="2"/>
  <c r="O520" i="2"/>
  <c r="O523" i="2"/>
  <c r="Q523" i="2"/>
  <c r="Q528" i="2"/>
  <c r="O528" i="2"/>
  <c r="T521" i="2"/>
  <c r="T526" i="2"/>
  <c r="Q495" i="2"/>
  <c r="O495" i="2"/>
  <c r="T508" i="2"/>
  <c r="O515" i="2"/>
  <c r="Q515" i="2"/>
  <c r="O519" i="2"/>
  <c r="Q519" i="2"/>
  <c r="Q524" i="2"/>
  <c r="O524" i="2"/>
  <c r="O471" i="2"/>
  <c r="O479" i="2"/>
  <c r="R479" i="2" s="1"/>
  <c r="Q487" i="2"/>
  <c r="O487" i="2"/>
  <c r="T497" i="2"/>
  <c r="O503" i="2"/>
  <c r="Q503" i="2"/>
  <c r="Q508" i="2"/>
  <c r="O508" i="2"/>
  <c r="Q512" i="2"/>
  <c r="O512" i="2"/>
  <c r="T528" i="2"/>
  <c r="Q530" i="2"/>
  <c r="O530" i="2"/>
  <c r="T513" i="2"/>
  <c r="Q473" i="2"/>
  <c r="O473" i="2"/>
  <c r="Q481" i="2"/>
  <c r="O481" i="2"/>
  <c r="T487" i="2"/>
  <c r="Q489" i="2"/>
  <c r="O489" i="2"/>
  <c r="T493" i="2"/>
  <c r="T495" i="2"/>
  <c r="Q497" i="2"/>
  <c r="O497" i="2"/>
  <c r="O505" i="2"/>
  <c r="Q505" i="2"/>
  <c r="Q506" i="2"/>
  <c r="O506" i="2"/>
  <c r="T506" i="2"/>
  <c r="O517" i="2"/>
  <c r="Q517" i="2"/>
  <c r="Q518" i="2"/>
  <c r="O518" i="2"/>
  <c r="Q469" i="2"/>
  <c r="O469" i="2"/>
  <c r="Q477" i="2"/>
  <c r="O477" i="2"/>
  <c r="Q485" i="2"/>
  <c r="O485" i="2"/>
  <c r="Q493" i="2"/>
  <c r="O493" i="2"/>
  <c r="Q501" i="2"/>
  <c r="O501" i="2"/>
  <c r="Q502" i="2"/>
  <c r="O502" i="2"/>
  <c r="O509" i="2"/>
  <c r="Q509" i="2"/>
  <c r="Q510" i="2"/>
  <c r="O510" i="2"/>
  <c r="T469" i="2"/>
  <c r="T470" i="2"/>
  <c r="T473" i="2"/>
  <c r="T474" i="2"/>
  <c r="T477" i="2"/>
  <c r="T478" i="2"/>
  <c r="T481" i="2"/>
  <c r="T482" i="2"/>
  <c r="T485" i="2"/>
  <c r="T486" i="2"/>
  <c r="T498" i="2"/>
  <c r="T501" i="2"/>
  <c r="T503" i="2"/>
  <c r="R504" i="2"/>
  <c r="U504" i="2" s="1"/>
  <c r="T507" i="2"/>
  <c r="T509" i="2"/>
  <c r="O513" i="2"/>
  <c r="Q513" i="2"/>
  <c r="Q514" i="2"/>
  <c r="O514" i="2"/>
  <c r="T514" i="2"/>
  <c r="T517" i="2"/>
  <c r="O521" i="2"/>
  <c r="Q521" i="2"/>
  <c r="Q522" i="2"/>
  <c r="O522" i="2"/>
  <c r="T522" i="2"/>
  <c r="T524" i="2"/>
  <c r="Q526" i="2"/>
  <c r="O526" i="2"/>
  <c r="T511" i="2"/>
  <c r="T515" i="2"/>
  <c r="T519" i="2"/>
  <c r="T523" i="2"/>
  <c r="T530" i="2"/>
  <c r="R467" i="2"/>
  <c r="T467" i="2"/>
  <c r="T468" i="2"/>
  <c r="R471" i="2"/>
  <c r="T471" i="2"/>
  <c r="T472" i="2"/>
  <c r="R475" i="2"/>
  <c r="T475" i="2"/>
  <c r="T476" i="2"/>
  <c r="T479" i="2"/>
  <c r="T480" i="2"/>
  <c r="R483" i="2"/>
  <c r="T483" i="2"/>
  <c r="T484" i="2"/>
  <c r="O468" i="2"/>
  <c r="R468" i="2" s="1"/>
  <c r="U468" i="2" s="1"/>
  <c r="O470" i="2"/>
  <c r="R470" i="2" s="1"/>
  <c r="O472" i="2"/>
  <c r="R472" i="2" s="1"/>
  <c r="O474" i="2"/>
  <c r="R474" i="2" s="1"/>
  <c r="O476" i="2"/>
  <c r="R476" i="2" s="1"/>
  <c r="U476" i="2" s="1"/>
  <c r="O478" i="2"/>
  <c r="R478" i="2" s="1"/>
  <c r="O480" i="2"/>
  <c r="R480" i="2" s="1"/>
  <c r="O482" i="2"/>
  <c r="R482" i="2" s="1"/>
  <c r="O484" i="2"/>
  <c r="R484" i="2" s="1"/>
  <c r="O486" i="2"/>
  <c r="R486" i="2" s="1"/>
  <c r="Q488" i="2"/>
  <c r="T488" i="2"/>
  <c r="Q490" i="2"/>
  <c r="R490" i="2" s="1"/>
  <c r="T490" i="2"/>
  <c r="Q492" i="2"/>
  <c r="R492" i="2" s="1"/>
  <c r="T492" i="2"/>
  <c r="Q494" i="2"/>
  <c r="R494" i="2" s="1"/>
  <c r="T494" i="2"/>
  <c r="Q496" i="2"/>
  <c r="R496" i="2" s="1"/>
  <c r="T496" i="2"/>
  <c r="Q498" i="2"/>
  <c r="R498" i="2" s="1"/>
  <c r="U498" i="2" s="1"/>
  <c r="T499" i="2"/>
  <c r="T500" i="2"/>
  <c r="R488" i="2"/>
  <c r="Q500" i="2"/>
  <c r="R500" i="2" s="1"/>
  <c r="R503" i="2"/>
  <c r="U503" i="2" s="1"/>
  <c r="R507" i="2"/>
  <c r="U507" i="2" s="1"/>
  <c r="R511" i="2"/>
  <c r="U511" i="2" s="1"/>
  <c r="R517" i="2"/>
  <c r="R523" i="2"/>
  <c r="U523" i="2" s="1"/>
  <c r="O525" i="2"/>
  <c r="Q525" i="2"/>
  <c r="O527" i="2"/>
  <c r="Q527" i="2"/>
  <c r="O529" i="2"/>
  <c r="Q529" i="2"/>
  <c r="O531" i="2"/>
  <c r="Q531" i="2"/>
  <c r="T525" i="2"/>
  <c r="T527" i="2"/>
  <c r="T529" i="2"/>
  <c r="T531" i="2"/>
  <c r="CC385" i="2"/>
  <c r="CD385" i="2" s="1"/>
  <c r="CA385" i="2"/>
  <c r="BX385" i="2"/>
  <c r="BY385" i="2" s="1"/>
  <c r="BV385" i="2"/>
  <c r="BS385" i="2"/>
  <c r="BT385" i="2" s="1"/>
  <c r="BQ385" i="2"/>
  <c r="BN385" i="2"/>
  <c r="BO385" i="2" s="1"/>
  <c r="BL385" i="2"/>
  <c r="BI385" i="2"/>
  <c r="BJ385" i="2" s="1"/>
  <c r="BG385" i="2"/>
  <c r="BD385" i="2"/>
  <c r="BE385" i="2" s="1"/>
  <c r="BB385" i="2"/>
  <c r="AY385" i="2"/>
  <c r="AZ385" i="2" s="1"/>
  <c r="AW385" i="2"/>
  <c r="AT385" i="2"/>
  <c r="AU385" i="2" s="1"/>
  <c r="AR385" i="2"/>
  <c r="AO385" i="2"/>
  <c r="AP385" i="2" s="1"/>
  <c r="AM385" i="2"/>
  <c r="AJ385" i="2"/>
  <c r="AK385" i="2" s="1"/>
  <c r="AH385" i="2"/>
  <c r="S385" i="2"/>
  <c r="I385" i="2"/>
  <c r="A385" i="2"/>
  <c r="CC384" i="2"/>
  <c r="CD384" i="2" s="1"/>
  <c r="CA384" i="2"/>
  <c r="BX384" i="2"/>
  <c r="BY384" i="2" s="1"/>
  <c r="BV384" i="2"/>
  <c r="BS384" i="2"/>
  <c r="BT384" i="2" s="1"/>
  <c r="BQ384" i="2"/>
  <c r="BN384" i="2"/>
  <c r="BO384" i="2" s="1"/>
  <c r="BL384" i="2"/>
  <c r="BI384" i="2"/>
  <c r="BJ384" i="2" s="1"/>
  <c r="BG384" i="2"/>
  <c r="BD384" i="2"/>
  <c r="BE384" i="2" s="1"/>
  <c r="BB384" i="2"/>
  <c r="AY384" i="2"/>
  <c r="AZ384" i="2" s="1"/>
  <c r="AW384" i="2"/>
  <c r="AT384" i="2"/>
  <c r="AU384" i="2" s="1"/>
  <c r="AR384" i="2"/>
  <c r="AO384" i="2"/>
  <c r="AP384" i="2" s="1"/>
  <c r="AM384" i="2"/>
  <c r="AJ384" i="2"/>
  <c r="AK384" i="2" s="1"/>
  <c r="AH384" i="2"/>
  <c r="S384" i="2"/>
  <c r="I384" i="2"/>
  <c r="A384" i="2"/>
  <c r="CC383" i="2"/>
  <c r="CD383" i="2" s="1"/>
  <c r="CA383" i="2"/>
  <c r="BX383" i="2"/>
  <c r="BY383" i="2" s="1"/>
  <c r="BV383" i="2"/>
  <c r="BS383" i="2"/>
  <c r="BT383" i="2" s="1"/>
  <c r="BQ383" i="2"/>
  <c r="BN383" i="2"/>
  <c r="BO383" i="2" s="1"/>
  <c r="BL383" i="2"/>
  <c r="BI383" i="2"/>
  <c r="BJ383" i="2" s="1"/>
  <c r="BG383" i="2"/>
  <c r="BD383" i="2"/>
  <c r="BE383" i="2" s="1"/>
  <c r="BB383" i="2"/>
  <c r="AY383" i="2"/>
  <c r="AZ383" i="2" s="1"/>
  <c r="AW383" i="2"/>
  <c r="AT383" i="2"/>
  <c r="AU383" i="2" s="1"/>
  <c r="AR383" i="2"/>
  <c r="AO383" i="2"/>
  <c r="AP383" i="2" s="1"/>
  <c r="AM383" i="2"/>
  <c r="AJ383" i="2"/>
  <c r="AK383" i="2" s="1"/>
  <c r="AH383" i="2"/>
  <c r="S383" i="2"/>
  <c r="I383" i="2"/>
  <c r="A383" i="2"/>
  <c r="CC382" i="2"/>
  <c r="CD382" i="2" s="1"/>
  <c r="CA382" i="2"/>
  <c r="BX382" i="2"/>
  <c r="BY382" i="2" s="1"/>
  <c r="BV382" i="2"/>
  <c r="BS382" i="2"/>
  <c r="BT382" i="2" s="1"/>
  <c r="BQ382" i="2"/>
  <c r="BN382" i="2"/>
  <c r="BO382" i="2" s="1"/>
  <c r="BL382" i="2"/>
  <c r="BI382" i="2"/>
  <c r="BJ382" i="2" s="1"/>
  <c r="BG382" i="2"/>
  <c r="BD382" i="2"/>
  <c r="BE382" i="2" s="1"/>
  <c r="BB382" i="2"/>
  <c r="AY382" i="2"/>
  <c r="AZ382" i="2" s="1"/>
  <c r="AW382" i="2"/>
  <c r="AT382" i="2"/>
  <c r="AU382" i="2" s="1"/>
  <c r="AR382" i="2"/>
  <c r="AO382" i="2"/>
  <c r="AP382" i="2" s="1"/>
  <c r="AM382" i="2"/>
  <c r="AJ382" i="2"/>
  <c r="AK382" i="2" s="1"/>
  <c r="AH382" i="2"/>
  <c r="S382" i="2"/>
  <c r="I382" i="2"/>
  <c r="A382" i="2"/>
  <c r="CC381" i="2"/>
  <c r="CD381" i="2" s="1"/>
  <c r="CA381" i="2"/>
  <c r="BX381" i="2"/>
  <c r="BY381" i="2" s="1"/>
  <c r="BV381" i="2"/>
  <c r="BS381" i="2"/>
  <c r="BT381" i="2" s="1"/>
  <c r="BQ381" i="2"/>
  <c r="BN381" i="2"/>
  <c r="BO381" i="2" s="1"/>
  <c r="BL381" i="2"/>
  <c r="BI381" i="2"/>
  <c r="BJ381" i="2" s="1"/>
  <c r="BG381" i="2"/>
  <c r="BD381" i="2"/>
  <c r="BE381" i="2" s="1"/>
  <c r="BB381" i="2"/>
  <c r="AY381" i="2"/>
  <c r="AZ381" i="2" s="1"/>
  <c r="AW381" i="2"/>
  <c r="AT381" i="2"/>
  <c r="AU381" i="2" s="1"/>
  <c r="AR381" i="2"/>
  <c r="AO381" i="2"/>
  <c r="AP381" i="2" s="1"/>
  <c r="AM381" i="2"/>
  <c r="AJ381" i="2"/>
  <c r="AK381" i="2" s="1"/>
  <c r="AH381" i="2"/>
  <c r="S381" i="2"/>
  <c r="I381" i="2"/>
  <c r="A381" i="2"/>
  <c r="CC380" i="2"/>
  <c r="CD380" i="2" s="1"/>
  <c r="CA380" i="2"/>
  <c r="BX380" i="2"/>
  <c r="BY380" i="2" s="1"/>
  <c r="BV380" i="2"/>
  <c r="BS380" i="2"/>
  <c r="BT380" i="2" s="1"/>
  <c r="BQ380" i="2"/>
  <c r="BN380" i="2"/>
  <c r="BO380" i="2" s="1"/>
  <c r="BL380" i="2"/>
  <c r="BI380" i="2"/>
  <c r="BJ380" i="2" s="1"/>
  <c r="BG380" i="2"/>
  <c r="BD380" i="2"/>
  <c r="BE380" i="2" s="1"/>
  <c r="BB380" i="2"/>
  <c r="AY380" i="2"/>
  <c r="AZ380" i="2" s="1"/>
  <c r="AW380" i="2"/>
  <c r="AT380" i="2"/>
  <c r="AU380" i="2" s="1"/>
  <c r="AR380" i="2"/>
  <c r="AO380" i="2"/>
  <c r="AP380" i="2" s="1"/>
  <c r="AM380" i="2"/>
  <c r="AJ380" i="2"/>
  <c r="AK380" i="2" s="1"/>
  <c r="AH380" i="2"/>
  <c r="S380" i="2"/>
  <c r="I380" i="2"/>
  <c r="A380" i="2"/>
  <c r="CC379" i="2"/>
  <c r="CD379" i="2" s="1"/>
  <c r="CA379" i="2"/>
  <c r="BX379" i="2"/>
  <c r="BY379" i="2" s="1"/>
  <c r="BV379" i="2"/>
  <c r="BS379" i="2"/>
  <c r="BT379" i="2" s="1"/>
  <c r="BQ379" i="2"/>
  <c r="BN379" i="2"/>
  <c r="BO379" i="2" s="1"/>
  <c r="BL379" i="2"/>
  <c r="BI379" i="2"/>
  <c r="BJ379" i="2" s="1"/>
  <c r="BG379" i="2"/>
  <c r="BD379" i="2"/>
  <c r="BE379" i="2" s="1"/>
  <c r="BB379" i="2"/>
  <c r="AY379" i="2"/>
  <c r="AZ379" i="2" s="1"/>
  <c r="AW379" i="2"/>
  <c r="AT379" i="2"/>
  <c r="AU379" i="2" s="1"/>
  <c r="AR379" i="2"/>
  <c r="AO379" i="2"/>
  <c r="AP379" i="2" s="1"/>
  <c r="AM379" i="2"/>
  <c r="AJ379" i="2"/>
  <c r="AK379" i="2" s="1"/>
  <c r="AH379" i="2"/>
  <c r="S379" i="2"/>
  <c r="I379" i="2"/>
  <c r="A379" i="2"/>
  <c r="CC378" i="2"/>
  <c r="CD378" i="2" s="1"/>
  <c r="CA378" i="2"/>
  <c r="BX378" i="2"/>
  <c r="BY378" i="2" s="1"/>
  <c r="BV378" i="2"/>
  <c r="BS378" i="2"/>
  <c r="BT378" i="2" s="1"/>
  <c r="BQ378" i="2"/>
  <c r="BN378" i="2"/>
  <c r="BO378" i="2" s="1"/>
  <c r="BL378" i="2"/>
  <c r="BI378" i="2"/>
  <c r="BJ378" i="2" s="1"/>
  <c r="BG378" i="2"/>
  <c r="BD378" i="2"/>
  <c r="BE378" i="2" s="1"/>
  <c r="BB378" i="2"/>
  <c r="AY378" i="2"/>
  <c r="AZ378" i="2" s="1"/>
  <c r="AW378" i="2"/>
  <c r="AT378" i="2"/>
  <c r="AU378" i="2" s="1"/>
  <c r="AR378" i="2"/>
  <c r="AO378" i="2"/>
  <c r="AP378" i="2" s="1"/>
  <c r="AM378" i="2"/>
  <c r="AJ378" i="2"/>
  <c r="AK378" i="2" s="1"/>
  <c r="AH378" i="2"/>
  <c r="S378" i="2"/>
  <c r="I378" i="2"/>
  <c r="A378" i="2"/>
  <c r="CC377" i="2"/>
  <c r="CD377" i="2" s="1"/>
  <c r="CA377" i="2"/>
  <c r="BX377" i="2"/>
  <c r="BY377" i="2" s="1"/>
  <c r="BV377" i="2"/>
  <c r="BS377" i="2"/>
  <c r="BT377" i="2" s="1"/>
  <c r="BQ377" i="2"/>
  <c r="BN377" i="2"/>
  <c r="BO377" i="2" s="1"/>
  <c r="BL377" i="2"/>
  <c r="BI377" i="2"/>
  <c r="BJ377" i="2" s="1"/>
  <c r="BG377" i="2"/>
  <c r="BD377" i="2"/>
  <c r="BE377" i="2" s="1"/>
  <c r="BB377" i="2"/>
  <c r="AY377" i="2"/>
  <c r="AZ377" i="2" s="1"/>
  <c r="AW377" i="2"/>
  <c r="AT377" i="2"/>
  <c r="AU377" i="2" s="1"/>
  <c r="AR377" i="2"/>
  <c r="AO377" i="2"/>
  <c r="AP377" i="2" s="1"/>
  <c r="AM377" i="2"/>
  <c r="AJ377" i="2"/>
  <c r="AK377" i="2" s="1"/>
  <c r="AH377" i="2"/>
  <c r="S377" i="2"/>
  <c r="I377" i="2"/>
  <c r="A377" i="2"/>
  <c r="CC376" i="2"/>
  <c r="CD376" i="2" s="1"/>
  <c r="CA376" i="2"/>
  <c r="BX376" i="2"/>
  <c r="BY376" i="2" s="1"/>
  <c r="BV376" i="2"/>
  <c r="BS376" i="2"/>
  <c r="BT376" i="2" s="1"/>
  <c r="BQ376" i="2"/>
  <c r="BN376" i="2"/>
  <c r="BO376" i="2" s="1"/>
  <c r="BL376" i="2"/>
  <c r="BI376" i="2"/>
  <c r="BJ376" i="2" s="1"/>
  <c r="BG376" i="2"/>
  <c r="BD376" i="2"/>
  <c r="BE376" i="2" s="1"/>
  <c r="BB376" i="2"/>
  <c r="AY376" i="2"/>
  <c r="AZ376" i="2" s="1"/>
  <c r="AW376" i="2"/>
  <c r="AT376" i="2"/>
  <c r="AU376" i="2" s="1"/>
  <c r="AR376" i="2"/>
  <c r="AO376" i="2"/>
  <c r="AP376" i="2" s="1"/>
  <c r="AM376" i="2"/>
  <c r="AJ376" i="2"/>
  <c r="AK376" i="2" s="1"/>
  <c r="AH376" i="2"/>
  <c r="S376" i="2"/>
  <c r="I376" i="2"/>
  <c r="A376" i="2"/>
  <c r="CC375" i="2"/>
  <c r="CD375" i="2" s="1"/>
  <c r="CA375" i="2"/>
  <c r="BX375" i="2"/>
  <c r="BY375" i="2" s="1"/>
  <c r="BV375" i="2"/>
  <c r="BS375" i="2"/>
  <c r="BT375" i="2" s="1"/>
  <c r="BQ375" i="2"/>
  <c r="BN375" i="2"/>
  <c r="BO375" i="2" s="1"/>
  <c r="BL375" i="2"/>
  <c r="BI375" i="2"/>
  <c r="BJ375" i="2" s="1"/>
  <c r="BG375" i="2"/>
  <c r="BD375" i="2"/>
  <c r="BE375" i="2" s="1"/>
  <c r="BB375" i="2"/>
  <c r="AY375" i="2"/>
  <c r="AZ375" i="2" s="1"/>
  <c r="AW375" i="2"/>
  <c r="AT375" i="2"/>
  <c r="AU375" i="2" s="1"/>
  <c r="AR375" i="2"/>
  <c r="AO375" i="2"/>
  <c r="AP375" i="2" s="1"/>
  <c r="AM375" i="2"/>
  <c r="AJ375" i="2"/>
  <c r="AK375" i="2" s="1"/>
  <c r="AH375" i="2"/>
  <c r="S375" i="2"/>
  <c r="I375" i="2"/>
  <c r="A375" i="2"/>
  <c r="CC374" i="2"/>
  <c r="CD374" i="2" s="1"/>
  <c r="CA374" i="2"/>
  <c r="BX374" i="2"/>
  <c r="BY374" i="2" s="1"/>
  <c r="BV374" i="2"/>
  <c r="BS374" i="2"/>
  <c r="BT374" i="2" s="1"/>
  <c r="BQ374" i="2"/>
  <c r="BN374" i="2"/>
  <c r="BO374" i="2" s="1"/>
  <c r="BL374" i="2"/>
  <c r="BI374" i="2"/>
  <c r="BJ374" i="2" s="1"/>
  <c r="BG374" i="2"/>
  <c r="BD374" i="2"/>
  <c r="BE374" i="2" s="1"/>
  <c r="BB374" i="2"/>
  <c r="AY374" i="2"/>
  <c r="AZ374" i="2" s="1"/>
  <c r="AW374" i="2"/>
  <c r="AT374" i="2"/>
  <c r="AU374" i="2" s="1"/>
  <c r="AR374" i="2"/>
  <c r="AO374" i="2"/>
  <c r="AP374" i="2" s="1"/>
  <c r="AM374" i="2"/>
  <c r="AJ374" i="2"/>
  <c r="AK374" i="2" s="1"/>
  <c r="AH374" i="2"/>
  <c r="S374" i="2"/>
  <c r="I374" i="2"/>
  <c r="A374" i="2"/>
  <c r="CC373" i="2"/>
  <c r="CD373" i="2" s="1"/>
  <c r="CA373" i="2"/>
  <c r="BX373" i="2"/>
  <c r="BY373" i="2" s="1"/>
  <c r="BV373" i="2"/>
  <c r="BS373" i="2"/>
  <c r="BT373" i="2" s="1"/>
  <c r="BQ373" i="2"/>
  <c r="BN373" i="2"/>
  <c r="BO373" i="2" s="1"/>
  <c r="BL373" i="2"/>
  <c r="BI373" i="2"/>
  <c r="BJ373" i="2" s="1"/>
  <c r="BG373" i="2"/>
  <c r="BD373" i="2"/>
  <c r="BE373" i="2" s="1"/>
  <c r="BB373" i="2"/>
  <c r="AY373" i="2"/>
  <c r="AZ373" i="2" s="1"/>
  <c r="AW373" i="2"/>
  <c r="AT373" i="2"/>
  <c r="AU373" i="2" s="1"/>
  <c r="AR373" i="2"/>
  <c r="AO373" i="2"/>
  <c r="AP373" i="2" s="1"/>
  <c r="AM373" i="2"/>
  <c r="AJ373" i="2"/>
  <c r="AK373" i="2" s="1"/>
  <c r="AH373" i="2"/>
  <c r="S373" i="2"/>
  <c r="I373" i="2"/>
  <c r="A373" i="2"/>
  <c r="CC372" i="2"/>
  <c r="CD372" i="2" s="1"/>
  <c r="CA372" i="2"/>
  <c r="BX372" i="2"/>
  <c r="BY372" i="2" s="1"/>
  <c r="BV372" i="2"/>
  <c r="BS372" i="2"/>
  <c r="BT372" i="2" s="1"/>
  <c r="BQ372" i="2"/>
  <c r="BN372" i="2"/>
  <c r="BO372" i="2" s="1"/>
  <c r="BL372" i="2"/>
  <c r="BI372" i="2"/>
  <c r="BJ372" i="2" s="1"/>
  <c r="BG372" i="2"/>
  <c r="BD372" i="2"/>
  <c r="BE372" i="2" s="1"/>
  <c r="BB372" i="2"/>
  <c r="AY372" i="2"/>
  <c r="AZ372" i="2" s="1"/>
  <c r="AW372" i="2"/>
  <c r="AT372" i="2"/>
  <c r="AU372" i="2" s="1"/>
  <c r="AR372" i="2"/>
  <c r="AO372" i="2"/>
  <c r="AP372" i="2" s="1"/>
  <c r="AM372" i="2"/>
  <c r="AJ372" i="2"/>
  <c r="AK372" i="2" s="1"/>
  <c r="AH372" i="2"/>
  <c r="S372" i="2"/>
  <c r="I372" i="2"/>
  <c r="A372" i="2"/>
  <c r="CC371" i="2"/>
  <c r="CD371" i="2" s="1"/>
  <c r="CA371" i="2"/>
  <c r="BX371" i="2"/>
  <c r="BY371" i="2" s="1"/>
  <c r="BV371" i="2"/>
  <c r="BS371" i="2"/>
  <c r="BT371" i="2" s="1"/>
  <c r="BQ371" i="2"/>
  <c r="BN371" i="2"/>
  <c r="BO371" i="2" s="1"/>
  <c r="BL371" i="2"/>
  <c r="BI371" i="2"/>
  <c r="BJ371" i="2" s="1"/>
  <c r="BG371" i="2"/>
  <c r="BD371" i="2"/>
  <c r="BE371" i="2" s="1"/>
  <c r="BB371" i="2"/>
  <c r="AY371" i="2"/>
  <c r="AZ371" i="2" s="1"/>
  <c r="AW371" i="2"/>
  <c r="AT371" i="2"/>
  <c r="AU371" i="2" s="1"/>
  <c r="AR371" i="2"/>
  <c r="AO371" i="2"/>
  <c r="AP371" i="2" s="1"/>
  <c r="AM371" i="2"/>
  <c r="AJ371" i="2"/>
  <c r="AK371" i="2" s="1"/>
  <c r="AH371" i="2"/>
  <c r="S371" i="2"/>
  <c r="I371" i="2"/>
  <c r="A371" i="2"/>
  <c r="CC370" i="2"/>
  <c r="CD370" i="2" s="1"/>
  <c r="CA370" i="2"/>
  <c r="BX370" i="2"/>
  <c r="BY370" i="2" s="1"/>
  <c r="BV370" i="2"/>
  <c r="BS370" i="2"/>
  <c r="BT370" i="2" s="1"/>
  <c r="BQ370" i="2"/>
  <c r="BN370" i="2"/>
  <c r="BO370" i="2" s="1"/>
  <c r="BL370" i="2"/>
  <c r="BI370" i="2"/>
  <c r="BJ370" i="2" s="1"/>
  <c r="BG370" i="2"/>
  <c r="BD370" i="2"/>
  <c r="BE370" i="2" s="1"/>
  <c r="BB370" i="2"/>
  <c r="AY370" i="2"/>
  <c r="AZ370" i="2" s="1"/>
  <c r="AW370" i="2"/>
  <c r="AT370" i="2"/>
  <c r="AU370" i="2" s="1"/>
  <c r="AR370" i="2"/>
  <c r="AO370" i="2"/>
  <c r="AP370" i="2" s="1"/>
  <c r="AM370" i="2"/>
  <c r="AJ370" i="2"/>
  <c r="AK370" i="2" s="1"/>
  <c r="AH370" i="2"/>
  <c r="S370" i="2"/>
  <c r="I370" i="2"/>
  <c r="A370" i="2"/>
  <c r="CC369" i="2"/>
  <c r="CD369" i="2" s="1"/>
  <c r="CA369" i="2"/>
  <c r="BX369" i="2"/>
  <c r="BY369" i="2" s="1"/>
  <c r="BV369" i="2"/>
  <c r="BS369" i="2"/>
  <c r="BT369" i="2" s="1"/>
  <c r="BQ369" i="2"/>
  <c r="BN369" i="2"/>
  <c r="BO369" i="2" s="1"/>
  <c r="BL369" i="2"/>
  <c r="BI369" i="2"/>
  <c r="BJ369" i="2" s="1"/>
  <c r="BG369" i="2"/>
  <c r="BD369" i="2"/>
  <c r="BE369" i="2" s="1"/>
  <c r="BB369" i="2"/>
  <c r="AY369" i="2"/>
  <c r="AZ369" i="2" s="1"/>
  <c r="AW369" i="2"/>
  <c r="AT369" i="2"/>
  <c r="AU369" i="2" s="1"/>
  <c r="AR369" i="2"/>
  <c r="AO369" i="2"/>
  <c r="AP369" i="2" s="1"/>
  <c r="AM369" i="2"/>
  <c r="AJ369" i="2"/>
  <c r="AK369" i="2" s="1"/>
  <c r="AH369" i="2"/>
  <c r="S369" i="2"/>
  <c r="I369" i="2"/>
  <c r="A369" i="2"/>
  <c r="CC368" i="2"/>
  <c r="CD368" i="2" s="1"/>
  <c r="CA368" i="2"/>
  <c r="BX368" i="2"/>
  <c r="BY368" i="2" s="1"/>
  <c r="BV368" i="2"/>
  <c r="BS368" i="2"/>
  <c r="BT368" i="2" s="1"/>
  <c r="BQ368" i="2"/>
  <c r="BN368" i="2"/>
  <c r="BO368" i="2" s="1"/>
  <c r="BL368" i="2"/>
  <c r="BI368" i="2"/>
  <c r="BJ368" i="2" s="1"/>
  <c r="BG368" i="2"/>
  <c r="BD368" i="2"/>
  <c r="BE368" i="2" s="1"/>
  <c r="BB368" i="2"/>
  <c r="AY368" i="2"/>
  <c r="AZ368" i="2" s="1"/>
  <c r="AW368" i="2"/>
  <c r="AT368" i="2"/>
  <c r="AU368" i="2" s="1"/>
  <c r="AR368" i="2"/>
  <c r="AO368" i="2"/>
  <c r="AP368" i="2" s="1"/>
  <c r="AM368" i="2"/>
  <c r="AJ368" i="2"/>
  <c r="AK368" i="2" s="1"/>
  <c r="AH368" i="2"/>
  <c r="S368" i="2"/>
  <c r="I368" i="2"/>
  <c r="A368" i="2"/>
  <c r="CC367" i="2"/>
  <c r="CD367" i="2" s="1"/>
  <c r="CA367" i="2"/>
  <c r="BX367" i="2"/>
  <c r="BY367" i="2" s="1"/>
  <c r="BV367" i="2"/>
  <c r="BS367" i="2"/>
  <c r="BT367" i="2" s="1"/>
  <c r="BQ367" i="2"/>
  <c r="BN367" i="2"/>
  <c r="BO367" i="2" s="1"/>
  <c r="BL367" i="2"/>
  <c r="BI367" i="2"/>
  <c r="BJ367" i="2" s="1"/>
  <c r="BG367" i="2"/>
  <c r="BD367" i="2"/>
  <c r="BE367" i="2" s="1"/>
  <c r="BB367" i="2"/>
  <c r="AY367" i="2"/>
  <c r="AZ367" i="2" s="1"/>
  <c r="AW367" i="2"/>
  <c r="AT367" i="2"/>
  <c r="AU367" i="2" s="1"/>
  <c r="AR367" i="2"/>
  <c r="AO367" i="2"/>
  <c r="AP367" i="2" s="1"/>
  <c r="AM367" i="2"/>
  <c r="AJ367" i="2"/>
  <c r="AK367" i="2" s="1"/>
  <c r="AH367" i="2"/>
  <c r="S367" i="2"/>
  <c r="I367" i="2"/>
  <c r="A367" i="2"/>
  <c r="CC366" i="2"/>
  <c r="CD366" i="2" s="1"/>
  <c r="CA366" i="2"/>
  <c r="BX366" i="2"/>
  <c r="BY366" i="2" s="1"/>
  <c r="BV366" i="2"/>
  <c r="BS366" i="2"/>
  <c r="BT366" i="2" s="1"/>
  <c r="BQ366" i="2"/>
  <c r="BN366" i="2"/>
  <c r="BO366" i="2" s="1"/>
  <c r="BL366" i="2"/>
  <c r="BI366" i="2"/>
  <c r="BJ366" i="2" s="1"/>
  <c r="BG366" i="2"/>
  <c r="BD366" i="2"/>
  <c r="BE366" i="2" s="1"/>
  <c r="BB366" i="2"/>
  <c r="AY366" i="2"/>
  <c r="AZ366" i="2" s="1"/>
  <c r="AW366" i="2"/>
  <c r="AT366" i="2"/>
  <c r="AU366" i="2" s="1"/>
  <c r="AR366" i="2"/>
  <c r="AO366" i="2"/>
  <c r="AP366" i="2" s="1"/>
  <c r="AM366" i="2"/>
  <c r="AJ366" i="2"/>
  <c r="AK366" i="2" s="1"/>
  <c r="AH366" i="2"/>
  <c r="S366" i="2"/>
  <c r="I366" i="2"/>
  <c r="A366" i="2"/>
  <c r="CC365" i="2"/>
  <c r="CD365" i="2" s="1"/>
  <c r="CA365" i="2"/>
  <c r="BX365" i="2"/>
  <c r="BY365" i="2" s="1"/>
  <c r="BV365" i="2"/>
  <c r="BS365" i="2"/>
  <c r="BT365" i="2" s="1"/>
  <c r="BQ365" i="2"/>
  <c r="BN365" i="2"/>
  <c r="BO365" i="2" s="1"/>
  <c r="BL365" i="2"/>
  <c r="BI365" i="2"/>
  <c r="BJ365" i="2" s="1"/>
  <c r="BG365" i="2"/>
  <c r="BD365" i="2"/>
  <c r="BE365" i="2" s="1"/>
  <c r="BB365" i="2"/>
  <c r="AY365" i="2"/>
  <c r="AZ365" i="2" s="1"/>
  <c r="AW365" i="2"/>
  <c r="AT365" i="2"/>
  <c r="AU365" i="2" s="1"/>
  <c r="AR365" i="2"/>
  <c r="AO365" i="2"/>
  <c r="AP365" i="2" s="1"/>
  <c r="AM365" i="2"/>
  <c r="AJ365" i="2"/>
  <c r="AK365" i="2" s="1"/>
  <c r="AH365" i="2"/>
  <c r="S365" i="2"/>
  <c r="I365" i="2"/>
  <c r="A365" i="2"/>
  <c r="CC364" i="2"/>
  <c r="CD364" i="2" s="1"/>
  <c r="CA364" i="2"/>
  <c r="BX364" i="2"/>
  <c r="BY364" i="2" s="1"/>
  <c r="BV364" i="2"/>
  <c r="BS364" i="2"/>
  <c r="BT364" i="2" s="1"/>
  <c r="BQ364" i="2"/>
  <c r="BN364" i="2"/>
  <c r="BO364" i="2" s="1"/>
  <c r="BL364" i="2"/>
  <c r="BI364" i="2"/>
  <c r="BJ364" i="2" s="1"/>
  <c r="BG364" i="2"/>
  <c r="BD364" i="2"/>
  <c r="BE364" i="2" s="1"/>
  <c r="BB364" i="2"/>
  <c r="AY364" i="2"/>
  <c r="AZ364" i="2" s="1"/>
  <c r="AW364" i="2"/>
  <c r="AT364" i="2"/>
  <c r="AU364" i="2" s="1"/>
  <c r="AR364" i="2"/>
  <c r="AO364" i="2"/>
  <c r="AP364" i="2" s="1"/>
  <c r="AM364" i="2"/>
  <c r="AJ364" i="2"/>
  <c r="AK364" i="2" s="1"/>
  <c r="AH364" i="2"/>
  <c r="S364" i="2"/>
  <c r="I364" i="2"/>
  <c r="A364" i="2"/>
  <c r="CC363" i="2"/>
  <c r="CD363" i="2" s="1"/>
  <c r="CA363" i="2"/>
  <c r="BX363" i="2"/>
  <c r="BY363" i="2" s="1"/>
  <c r="BV363" i="2"/>
  <c r="BS363" i="2"/>
  <c r="BT363" i="2" s="1"/>
  <c r="BQ363" i="2"/>
  <c r="BN363" i="2"/>
  <c r="BO363" i="2" s="1"/>
  <c r="BL363" i="2"/>
  <c r="BI363" i="2"/>
  <c r="BJ363" i="2" s="1"/>
  <c r="BG363" i="2"/>
  <c r="BD363" i="2"/>
  <c r="BE363" i="2" s="1"/>
  <c r="BB363" i="2"/>
  <c r="AY363" i="2"/>
  <c r="AZ363" i="2" s="1"/>
  <c r="AW363" i="2"/>
  <c r="AT363" i="2"/>
  <c r="AU363" i="2" s="1"/>
  <c r="AR363" i="2"/>
  <c r="AO363" i="2"/>
  <c r="AP363" i="2" s="1"/>
  <c r="AM363" i="2"/>
  <c r="AJ363" i="2"/>
  <c r="AK363" i="2" s="1"/>
  <c r="AH363" i="2"/>
  <c r="S363" i="2"/>
  <c r="I363" i="2"/>
  <c r="A363" i="2"/>
  <c r="CC362" i="2"/>
  <c r="CD362" i="2" s="1"/>
  <c r="CA362" i="2"/>
  <c r="BX362" i="2"/>
  <c r="BY362" i="2" s="1"/>
  <c r="BV362" i="2"/>
  <c r="BS362" i="2"/>
  <c r="BT362" i="2" s="1"/>
  <c r="BQ362" i="2"/>
  <c r="BN362" i="2"/>
  <c r="BO362" i="2" s="1"/>
  <c r="BL362" i="2"/>
  <c r="BI362" i="2"/>
  <c r="BJ362" i="2" s="1"/>
  <c r="BG362" i="2"/>
  <c r="BD362" i="2"/>
  <c r="BE362" i="2" s="1"/>
  <c r="BB362" i="2"/>
  <c r="AY362" i="2"/>
  <c r="AZ362" i="2" s="1"/>
  <c r="AW362" i="2"/>
  <c r="AT362" i="2"/>
  <c r="AU362" i="2" s="1"/>
  <c r="AR362" i="2"/>
  <c r="AO362" i="2"/>
  <c r="AP362" i="2" s="1"/>
  <c r="AM362" i="2"/>
  <c r="AJ362" i="2"/>
  <c r="AK362" i="2" s="1"/>
  <c r="AH362" i="2"/>
  <c r="S362" i="2"/>
  <c r="I362" i="2"/>
  <c r="A362" i="2"/>
  <c r="CC361" i="2"/>
  <c r="CD361" i="2" s="1"/>
  <c r="CA361" i="2"/>
  <c r="BX361" i="2"/>
  <c r="BY361" i="2" s="1"/>
  <c r="BV361" i="2"/>
  <c r="BS361" i="2"/>
  <c r="BT361" i="2" s="1"/>
  <c r="BQ361" i="2"/>
  <c r="BN361" i="2"/>
  <c r="BO361" i="2" s="1"/>
  <c r="BL361" i="2"/>
  <c r="BI361" i="2"/>
  <c r="BJ361" i="2" s="1"/>
  <c r="BG361" i="2"/>
  <c r="BD361" i="2"/>
  <c r="BE361" i="2" s="1"/>
  <c r="BB361" i="2"/>
  <c r="AY361" i="2"/>
  <c r="AZ361" i="2" s="1"/>
  <c r="AW361" i="2"/>
  <c r="AT361" i="2"/>
  <c r="AU361" i="2" s="1"/>
  <c r="AR361" i="2"/>
  <c r="AO361" i="2"/>
  <c r="AP361" i="2" s="1"/>
  <c r="AM361" i="2"/>
  <c r="AJ361" i="2"/>
  <c r="AK361" i="2" s="1"/>
  <c r="AH361" i="2"/>
  <c r="S361" i="2"/>
  <c r="I361" i="2"/>
  <c r="A361" i="2"/>
  <c r="CC360" i="2"/>
  <c r="CD360" i="2" s="1"/>
  <c r="CA360" i="2"/>
  <c r="BX360" i="2"/>
  <c r="BY360" i="2" s="1"/>
  <c r="BV360" i="2"/>
  <c r="BS360" i="2"/>
  <c r="BT360" i="2" s="1"/>
  <c r="BQ360" i="2"/>
  <c r="BN360" i="2"/>
  <c r="BO360" i="2" s="1"/>
  <c r="BL360" i="2"/>
  <c r="BI360" i="2"/>
  <c r="BJ360" i="2" s="1"/>
  <c r="BG360" i="2"/>
  <c r="BD360" i="2"/>
  <c r="BE360" i="2" s="1"/>
  <c r="BB360" i="2"/>
  <c r="AY360" i="2"/>
  <c r="AZ360" i="2" s="1"/>
  <c r="AW360" i="2"/>
  <c r="AT360" i="2"/>
  <c r="AU360" i="2" s="1"/>
  <c r="AR360" i="2"/>
  <c r="AO360" i="2"/>
  <c r="AP360" i="2" s="1"/>
  <c r="AM360" i="2"/>
  <c r="AJ360" i="2"/>
  <c r="AK360" i="2" s="1"/>
  <c r="AH360" i="2"/>
  <c r="S360" i="2"/>
  <c r="I360" i="2"/>
  <c r="A360" i="2"/>
  <c r="CC359" i="2"/>
  <c r="CD359" i="2" s="1"/>
  <c r="CA359" i="2"/>
  <c r="BX359" i="2"/>
  <c r="BY359" i="2" s="1"/>
  <c r="BV359" i="2"/>
  <c r="BS359" i="2"/>
  <c r="BT359" i="2" s="1"/>
  <c r="BQ359" i="2"/>
  <c r="BN359" i="2"/>
  <c r="BO359" i="2" s="1"/>
  <c r="BL359" i="2"/>
  <c r="BI359" i="2"/>
  <c r="BJ359" i="2" s="1"/>
  <c r="BG359" i="2"/>
  <c r="BD359" i="2"/>
  <c r="BE359" i="2" s="1"/>
  <c r="BB359" i="2"/>
  <c r="AY359" i="2"/>
  <c r="AZ359" i="2" s="1"/>
  <c r="AW359" i="2"/>
  <c r="AT359" i="2"/>
  <c r="AU359" i="2" s="1"/>
  <c r="AR359" i="2"/>
  <c r="AO359" i="2"/>
  <c r="AP359" i="2" s="1"/>
  <c r="AM359" i="2"/>
  <c r="AJ359" i="2"/>
  <c r="AK359" i="2" s="1"/>
  <c r="AH359" i="2"/>
  <c r="S359" i="2"/>
  <c r="I359" i="2"/>
  <c r="A359" i="2"/>
  <c r="CC358" i="2"/>
  <c r="CD358" i="2" s="1"/>
  <c r="CA358" i="2"/>
  <c r="BX358" i="2"/>
  <c r="BY358" i="2" s="1"/>
  <c r="BV358" i="2"/>
  <c r="BS358" i="2"/>
  <c r="BT358" i="2" s="1"/>
  <c r="BQ358" i="2"/>
  <c r="BN358" i="2"/>
  <c r="BO358" i="2" s="1"/>
  <c r="BL358" i="2"/>
  <c r="BI358" i="2"/>
  <c r="BJ358" i="2" s="1"/>
  <c r="BG358" i="2"/>
  <c r="BD358" i="2"/>
  <c r="BE358" i="2" s="1"/>
  <c r="BB358" i="2"/>
  <c r="AY358" i="2"/>
  <c r="AZ358" i="2" s="1"/>
  <c r="AW358" i="2"/>
  <c r="AT358" i="2"/>
  <c r="AU358" i="2" s="1"/>
  <c r="AR358" i="2"/>
  <c r="AO358" i="2"/>
  <c r="AP358" i="2" s="1"/>
  <c r="AM358" i="2"/>
  <c r="AJ358" i="2"/>
  <c r="AK358" i="2" s="1"/>
  <c r="AH358" i="2"/>
  <c r="S358" i="2"/>
  <c r="I358" i="2"/>
  <c r="A358" i="2"/>
  <c r="CC357" i="2"/>
  <c r="CD357" i="2" s="1"/>
  <c r="CA357" i="2"/>
  <c r="BX357" i="2"/>
  <c r="BY357" i="2" s="1"/>
  <c r="BV357" i="2"/>
  <c r="BS357" i="2"/>
  <c r="BT357" i="2" s="1"/>
  <c r="BQ357" i="2"/>
  <c r="BN357" i="2"/>
  <c r="BO357" i="2" s="1"/>
  <c r="BL357" i="2"/>
  <c r="BI357" i="2"/>
  <c r="BJ357" i="2" s="1"/>
  <c r="BG357" i="2"/>
  <c r="BD357" i="2"/>
  <c r="BE357" i="2" s="1"/>
  <c r="BB357" i="2"/>
  <c r="AY357" i="2"/>
  <c r="AZ357" i="2" s="1"/>
  <c r="AW357" i="2"/>
  <c r="AT357" i="2"/>
  <c r="AU357" i="2" s="1"/>
  <c r="AR357" i="2"/>
  <c r="AO357" i="2"/>
  <c r="AP357" i="2" s="1"/>
  <c r="AM357" i="2"/>
  <c r="AJ357" i="2"/>
  <c r="AK357" i="2" s="1"/>
  <c r="AH357" i="2"/>
  <c r="S357" i="2"/>
  <c r="I357" i="2"/>
  <c r="A357" i="2"/>
  <c r="CC356" i="2"/>
  <c r="CD356" i="2" s="1"/>
  <c r="CA356" i="2"/>
  <c r="BX356" i="2"/>
  <c r="BY356" i="2" s="1"/>
  <c r="BV356" i="2"/>
  <c r="BS356" i="2"/>
  <c r="BT356" i="2" s="1"/>
  <c r="BQ356" i="2"/>
  <c r="BN356" i="2"/>
  <c r="BO356" i="2" s="1"/>
  <c r="BL356" i="2"/>
  <c r="BI356" i="2"/>
  <c r="BJ356" i="2" s="1"/>
  <c r="BG356" i="2"/>
  <c r="BD356" i="2"/>
  <c r="BE356" i="2" s="1"/>
  <c r="BB356" i="2"/>
  <c r="AY356" i="2"/>
  <c r="AZ356" i="2" s="1"/>
  <c r="AW356" i="2"/>
  <c r="AT356" i="2"/>
  <c r="AU356" i="2" s="1"/>
  <c r="AR356" i="2"/>
  <c r="AO356" i="2"/>
  <c r="AP356" i="2" s="1"/>
  <c r="AM356" i="2"/>
  <c r="AJ356" i="2"/>
  <c r="AK356" i="2" s="1"/>
  <c r="AH356" i="2"/>
  <c r="AE356" i="2"/>
  <c r="AF356" i="2" s="1"/>
  <c r="AC356" i="2"/>
  <c r="S356" i="2"/>
  <c r="I356" i="2"/>
  <c r="A356" i="2"/>
  <c r="CC355" i="2"/>
  <c r="CD355" i="2" s="1"/>
  <c r="CA355" i="2"/>
  <c r="BX355" i="2"/>
  <c r="BY355" i="2" s="1"/>
  <c r="BV355" i="2"/>
  <c r="BS355" i="2"/>
  <c r="BT355" i="2" s="1"/>
  <c r="BQ355" i="2"/>
  <c r="BN355" i="2"/>
  <c r="BO355" i="2" s="1"/>
  <c r="BL355" i="2"/>
  <c r="BI355" i="2"/>
  <c r="BJ355" i="2" s="1"/>
  <c r="BG355" i="2"/>
  <c r="BD355" i="2"/>
  <c r="BE355" i="2" s="1"/>
  <c r="BB355" i="2"/>
  <c r="AY355" i="2"/>
  <c r="AZ355" i="2" s="1"/>
  <c r="AW355" i="2"/>
  <c r="AT355" i="2"/>
  <c r="AU355" i="2" s="1"/>
  <c r="AR355" i="2"/>
  <c r="AO355" i="2"/>
  <c r="AP355" i="2" s="1"/>
  <c r="AM355" i="2"/>
  <c r="AJ355" i="2"/>
  <c r="AK355" i="2" s="1"/>
  <c r="AH355" i="2"/>
  <c r="S355" i="2"/>
  <c r="I355" i="2"/>
  <c r="A355" i="2"/>
  <c r="CC354" i="2"/>
  <c r="CD354" i="2" s="1"/>
  <c r="CA354" i="2"/>
  <c r="BX354" i="2"/>
  <c r="BY354" i="2" s="1"/>
  <c r="BV354" i="2"/>
  <c r="BS354" i="2"/>
  <c r="BT354" i="2" s="1"/>
  <c r="BQ354" i="2"/>
  <c r="BN354" i="2"/>
  <c r="BO354" i="2" s="1"/>
  <c r="BL354" i="2"/>
  <c r="BI354" i="2"/>
  <c r="BJ354" i="2" s="1"/>
  <c r="BG354" i="2"/>
  <c r="BD354" i="2"/>
  <c r="BE354" i="2" s="1"/>
  <c r="BB354" i="2"/>
  <c r="AY354" i="2"/>
  <c r="AZ354" i="2" s="1"/>
  <c r="AW354" i="2"/>
  <c r="AT354" i="2"/>
  <c r="AU354" i="2" s="1"/>
  <c r="AR354" i="2"/>
  <c r="AO354" i="2"/>
  <c r="AP354" i="2" s="1"/>
  <c r="AM354" i="2"/>
  <c r="AJ354" i="2"/>
  <c r="AK354" i="2" s="1"/>
  <c r="AH354" i="2"/>
  <c r="S354" i="2"/>
  <c r="I354" i="2"/>
  <c r="A354" i="2"/>
  <c r="CC353" i="2"/>
  <c r="CD353" i="2" s="1"/>
  <c r="CA353" i="2"/>
  <c r="BX353" i="2"/>
  <c r="BY353" i="2" s="1"/>
  <c r="BV353" i="2"/>
  <c r="BS353" i="2"/>
  <c r="BT353" i="2" s="1"/>
  <c r="BQ353" i="2"/>
  <c r="BN353" i="2"/>
  <c r="BO353" i="2" s="1"/>
  <c r="BL353" i="2"/>
  <c r="BI353" i="2"/>
  <c r="BJ353" i="2" s="1"/>
  <c r="BG353" i="2"/>
  <c r="BD353" i="2"/>
  <c r="BE353" i="2" s="1"/>
  <c r="BB353" i="2"/>
  <c r="AY353" i="2"/>
  <c r="AZ353" i="2" s="1"/>
  <c r="AW353" i="2"/>
  <c r="AT353" i="2"/>
  <c r="AU353" i="2" s="1"/>
  <c r="AR353" i="2"/>
  <c r="AO353" i="2"/>
  <c r="AP353" i="2" s="1"/>
  <c r="AM353" i="2"/>
  <c r="AJ353" i="2"/>
  <c r="AK353" i="2" s="1"/>
  <c r="AH353" i="2"/>
  <c r="AE353" i="2"/>
  <c r="AF353" i="2" s="1"/>
  <c r="AC353" i="2"/>
  <c r="S353" i="2"/>
  <c r="I353" i="2"/>
  <c r="A353" i="2"/>
  <c r="CC352" i="2"/>
  <c r="CD352" i="2" s="1"/>
  <c r="CA352" i="2"/>
  <c r="BX352" i="2"/>
  <c r="BY352" i="2" s="1"/>
  <c r="BV352" i="2"/>
  <c r="BS352" i="2"/>
  <c r="BT352" i="2" s="1"/>
  <c r="BQ352" i="2"/>
  <c r="BN352" i="2"/>
  <c r="BO352" i="2" s="1"/>
  <c r="BL352" i="2"/>
  <c r="BI352" i="2"/>
  <c r="BJ352" i="2" s="1"/>
  <c r="BG352" i="2"/>
  <c r="BD352" i="2"/>
  <c r="BE352" i="2" s="1"/>
  <c r="BB352" i="2"/>
  <c r="AY352" i="2"/>
  <c r="AZ352" i="2" s="1"/>
  <c r="AW352" i="2"/>
  <c r="AT352" i="2"/>
  <c r="AU352" i="2" s="1"/>
  <c r="AR352" i="2"/>
  <c r="AO352" i="2"/>
  <c r="AP352" i="2" s="1"/>
  <c r="AM352" i="2"/>
  <c r="AJ352" i="2"/>
  <c r="AK352" i="2" s="1"/>
  <c r="AH352" i="2"/>
  <c r="S352" i="2"/>
  <c r="I352" i="2"/>
  <c r="A352" i="2"/>
  <c r="CC351" i="2"/>
  <c r="CD351" i="2" s="1"/>
  <c r="CA351" i="2"/>
  <c r="BX351" i="2"/>
  <c r="BY351" i="2" s="1"/>
  <c r="BV351" i="2"/>
  <c r="BS351" i="2"/>
  <c r="BT351" i="2" s="1"/>
  <c r="BQ351" i="2"/>
  <c r="BN351" i="2"/>
  <c r="BO351" i="2" s="1"/>
  <c r="BL351" i="2"/>
  <c r="BI351" i="2"/>
  <c r="BJ351" i="2" s="1"/>
  <c r="BG351" i="2"/>
  <c r="BD351" i="2"/>
  <c r="BE351" i="2" s="1"/>
  <c r="BB351" i="2"/>
  <c r="AY351" i="2"/>
  <c r="AZ351" i="2" s="1"/>
  <c r="AW351" i="2"/>
  <c r="AT351" i="2"/>
  <c r="AU351" i="2" s="1"/>
  <c r="AR351" i="2"/>
  <c r="AO351" i="2"/>
  <c r="AP351" i="2" s="1"/>
  <c r="AM351" i="2"/>
  <c r="AJ351" i="2"/>
  <c r="AK351" i="2" s="1"/>
  <c r="AH351" i="2"/>
  <c r="S351" i="2"/>
  <c r="I351" i="2"/>
  <c r="A351" i="2"/>
  <c r="CC350" i="2"/>
  <c r="CD350" i="2" s="1"/>
  <c r="CA350" i="2"/>
  <c r="BX350" i="2"/>
  <c r="BY350" i="2" s="1"/>
  <c r="BV350" i="2"/>
  <c r="BS350" i="2"/>
  <c r="BT350" i="2" s="1"/>
  <c r="BQ350" i="2"/>
  <c r="BN350" i="2"/>
  <c r="BO350" i="2" s="1"/>
  <c r="BL350" i="2"/>
  <c r="BI350" i="2"/>
  <c r="BJ350" i="2" s="1"/>
  <c r="BG350" i="2"/>
  <c r="BD350" i="2"/>
  <c r="BE350" i="2" s="1"/>
  <c r="BB350" i="2"/>
  <c r="AY350" i="2"/>
  <c r="AZ350" i="2" s="1"/>
  <c r="AW350" i="2"/>
  <c r="AT350" i="2"/>
  <c r="AU350" i="2" s="1"/>
  <c r="AR350" i="2"/>
  <c r="AO350" i="2"/>
  <c r="AP350" i="2" s="1"/>
  <c r="AM350" i="2"/>
  <c r="AJ350" i="2"/>
  <c r="AK350" i="2" s="1"/>
  <c r="AH350" i="2"/>
  <c r="AE350" i="2"/>
  <c r="AF350" i="2" s="1"/>
  <c r="AC350" i="2"/>
  <c r="S350" i="2"/>
  <c r="I350" i="2"/>
  <c r="A350" i="2"/>
  <c r="CC349" i="2"/>
  <c r="CD349" i="2" s="1"/>
  <c r="CA349" i="2"/>
  <c r="BX349" i="2"/>
  <c r="BY349" i="2" s="1"/>
  <c r="BV349" i="2"/>
  <c r="BS349" i="2"/>
  <c r="BT349" i="2" s="1"/>
  <c r="BQ349" i="2"/>
  <c r="BN349" i="2"/>
  <c r="BO349" i="2" s="1"/>
  <c r="BL349" i="2"/>
  <c r="BI349" i="2"/>
  <c r="BJ349" i="2" s="1"/>
  <c r="BG349" i="2"/>
  <c r="BD349" i="2"/>
  <c r="BE349" i="2" s="1"/>
  <c r="BB349" i="2"/>
  <c r="AY349" i="2"/>
  <c r="AZ349" i="2" s="1"/>
  <c r="AW349" i="2"/>
  <c r="AT349" i="2"/>
  <c r="AU349" i="2" s="1"/>
  <c r="AR349" i="2"/>
  <c r="AO349" i="2"/>
  <c r="AP349" i="2" s="1"/>
  <c r="AM349" i="2"/>
  <c r="AJ349" i="2"/>
  <c r="AK349" i="2" s="1"/>
  <c r="AH349" i="2"/>
  <c r="S349" i="2"/>
  <c r="I349" i="2"/>
  <c r="A349" i="2"/>
  <c r="CC348" i="2"/>
  <c r="CD348" i="2" s="1"/>
  <c r="CA348" i="2"/>
  <c r="BX348" i="2"/>
  <c r="BY348" i="2" s="1"/>
  <c r="BV348" i="2"/>
  <c r="BS348" i="2"/>
  <c r="BT348" i="2" s="1"/>
  <c r="BQ348" i="2"/>
  <c r="BN348" i="2"/>
  <c r="BO348" i="2" s="1"/>
  <c r="BL348" i="2"/>
  <c r="BI348" i="2"/>
  <c r="BJ348" i="2" s="1"/>
  <c r="BG348" i="2"/>
  <c r="BD348" i="2"/>
  <c r="BE348" i="2" s="1"/>
  <c r="BB348" i="2"/>
  <c r="AY348" i="2"/>
  <c r="AZ348" i="2" s="1"/>
  <c r="AW348" i="2"/>
  <c r="AT348" i="2"/>
  <c r="AU348" i="2" s="1"/>
  <c r="AR348" i="2"/>
  <c r="AO348" i="2"/>
  <c r="AP348" i="2" s="1"/>
  <c r="AM348" i="2"/>
  <c r="AJ348" i="2"/>
  <c r="AK348" i="2" s="1"/>
  <c r="AH348" i="2"/>
  <c r="S348" i="2"/>
  <c r="I348" i="2"/>
  <c r="A348" i="2"/>
  <c r="CC347" i="2"/>
  <c r="CD347" i="2" s="1"/>
  <c r="CA347" i="2"/>
  <c r="BX347" i="2"/>
  <c r="BY347" i="2" s="1"/>
  <c r="BV347" i="2"/>
  <c r="BS347" i="2"/>
  <c r="BT347" i="2" s="1"/>
  <c r="BQ347" i="2"/>
  <c r="BN347" i="2"/>
  <c r="BO347" i="2" s="1"/>
  <c r="BL347" i="2"/>
  <c r="BI347" i="2"/>
  <c r="BJ347" i="2" s="1"/>
  <c r="BG347" i="2"/>
  <c r="BD347" i="2"/>
  <c r="BE347" i="2" s="1"/>
  <c r="BB347" i="2"/>
  <c r="AY347" i="2"/>
  <c r="AZ347" i="2" s="1"/>
  <c r="AW347" i="2"/>
  <c r="AT347" i="2"/>
  <c r="AU347" i="2" s="1"/>
  <c r="AR347" i="2"/>
  <c r="AO347" i="2"/>
  <c r="AP347" i="2" s="1"/>
  <c r="AM347" i="2"/>
  <c r="AJ347" i="2"/>
  <c r="AK347" i="2" s="1"/>
  <c r="AH347" i="2"/>
  <c r="S347" i="2"/>
  <c r="I347" i="2"/>
  <c r="A347" i="2"/>
  <c r="CC346" i="2"/>
  <c r="CD346" i="2" s="1"/>
  <c r="CA346" i="2"/>
  <c r="BX346" i="2"/>
  <c r="BY346" i="2" s="1"/>
  <c r="BV346" i="2"/>
  <c r="BS346" i="2"/>
  <c r="BT346" i="2" s="1"/>
  <c r="BQ346" i="2"/>
  <c r="BN346" i="2"/>
  <c r="BO346" i="2" s="1"/>
  <c r="BL346" i="2"/>
  <c r="BI346" i="2"/>
  <c r="BJ346" i="2" s="1"/>
  <c r="BG346" i="2"/>
  <c r="BD346" i="2"/>
  <c r="BE346" i="2" s="1"/>
  <c r="BB346" i="2"/>
  <c r="AY346" i="2"/>
  <c r="AZ346" i="2" s="1"/>
  <c r="AW346" i="2"/>
  <c r="AT346" i="2"/>
  <c r="AU346" i="2" s="1"/>
  <c r="AR346" i="2"/>
  <c r="AO346" i="2"/>
  <c r="AP346" i="2" s="1"/>
  <c r="AM346" i="2"/>
  <c r="AJ346" i="2"/>
  <c r="AK346" i="2" s="1"/>
  <c r="AH346" i="2"/>
  <c r="S346" i="2"/>
  <c r="I346" i="2"/>
  <c r="A346" i="2"/>
  <c r="CC345" i="2"/>
  <c r="CD345" i="2" s="1"/>
  <c r="CA345" i="2"/>
  <c r="BX345" i="2"/>
  <c r="BY345" i="2" s="1"/>
  <c r="BV345" i="2"/>
  <c r="BS345" i="2"/>
  <c r="BT345" i="2" s="1"/>
  <c r="BQ345" i="2"/>
  <c r="BN345" i="2"/>
  <c r="BO345" i="2" s="1"/>
  <c r="BL345" i="2"/>
  <c r="BI345" i="2"/>
  <c r="BJ345" i="2" s="1"/>
  <c r="BG345" i="2"/>
  <c r="BD345" i="2"/>
  <c r="BE345" i="2" s="1"/>
  <c r="BB345" i="2"/>
  <c r="AY345" i="2"/>
  <c r="AZ345" i="2" s="1"/>
  <c r="AW345" i="2"/>
  <c r="AT345" i="2"/>
  <c r="AU345" i="2" s="1"/>
  <c r="AR345" i="2"/>
  <c r="AO345" i="2"/>
  <c r="AP345" i="2" s="1"/>
  <c r="AM345" i="2"/>
  <c r="AJ345" i="2"/>
  <c r="AK345" i="2" s="1"/>
  <c r="AH345" i="2"/>
  <c r="S345" i="2"/>
  <c r="I345" i="2"/>
  <c r="A345" i="2"/>
  <c r="R509" i="2" l="1"/>
  <c r="R505" i="2"/>
  <c r="U505" i="2" s="1"/>
  <c r="R519" i="2"/>
  <c r="R515" i="2"/>
  <c r="R520" i="2"/>
  <c r="U520" i="2" s="1"/>
  <c r="R516" i="2"/>
  <c r="U516" i="2" s="1"/>
  <c r="U484" i="2"/>
  <c r="R528" i="2"/>
  <c r="U519" i="2"/>
  <c r="U515" i="2"/>
  <c r="U486" i="2"/>
  <c r="R512" i="2"/>
  <c r="U512" i="2" s="1"/>
  <c r="R508" i="2"/>
  <c r="U508" i="2" s="1"/>
  <c r="R530" i="2"/>
  <c r="U530" i="2" s="1"/>
  <c r="R513" i="2"/>
  <c r="U513" i="2" s="1"/>
  <c r="U528" i="2"/>
  <c r="U482" i="2"/>
  <c r="U478" i="2"/>
  <c r="U474" i="2"/>
  <c r="U470" i="2"/>
  <c r="R501" i="2"/>
  <c r="U501" i="2" s="1"/>
  <c r="R493" i="2"/>
  <c r="U493" i="2" s="1"/>
  <c r="R485" i="2"/>
  <c r="R477" i="2"/>
  <c r="U477" i="2" s="1"/>
  <c r="R469" i="2"/>
  <c r="U469" i="2" s="1"/>
  <c r="R518" i="2"/>
  <c r="U518" i="2" s="1"/>
  <c r="R497" i="2"/>
  <c r="U497" i="2" s="1"/>
  <c r="U494" i="2"/>
  <c r="U490" i="2"/>
  <c r="R487" i="2"/>
  <c r="U487" i="2" s="1"/>
  <c r="R495" i="2"/>
  <c r="U479" i="2"/>
  <c r="U471" i="2"/>
  <c r="R521" i="2"/>
  <c r="U521" i="2" s="1"/>
  <c r="U495" i="2"/>
  <c r="R524" i="2"/>
  <c r="U524" i="2" s="1"/>
  <c r="U499" i="2"/>
  <c r="U485" i="2"/>
  <c r="R531" i="2"/>
  <c r="U531" i="2" s="1"/>
  <c r="R529" i="2"/>
  <c r="U529" i="2" s="1"/>
  <c r="R527" i="2"/>
  <c r="U527" i="2" s="1"/>
  <c r="R525" i="2"/>
  <c r="U525" i="2" s="1"/>
  <c r="U517" i="2"/>
  <c r="U509" i="2"/>
  <c r="U500" i="2"/>
  <c r="R526" i="2"/>
  <c r="U526" i="2" s="1"/>
  <c r="R522" i="2"/>
  <c r="U522" i="2" s="1"/>
  <c r="R514" i="2"/>
  <c r="U514" i="2" s="1"/>
  <c r="R510" i="2"/>
  <c r="U510" i="2" s="1"/>
  <c r="R502" i="2"/>
  <c r="U502" i="2" s="1"/>
  <c r="R506" i="2"/>
  <c r="U506" i="2" s="1"/>
  <c r="R489" i="2"/>
  <c r="U489" i="2" s="1"/>
  <c r="R481" i="2"/>
  <c r="U481" i="2" s="1"/>
  <c r="R473" i="2"/>
  <c r="U473" i="2" s="1"/>
  <c r="U496" i="2"/>
  <c r="U492" i="2"/>
  <c r="U488" i="2"/>
  <c r="U480" i="2"/>
  <c r="U472" i="2"/>
  <c r="U483" i="2"/>
  <c r="U475" i="2"/>
  <c r="U467" i="2"/>
  <c r="CC344" i="2"/>
  <c r="CD344" i="2" s="1"/>
  <c r="CA344" i="2"/>
  <c r="BX344" i="2"/>
  <c r="BY344" i="2" s="1"/>
  <c r="BV344" i="2"/>
  <c r="BS344" i="2"/>
  <c r="BT344" i="2" s="1"/>
  <c r="BQ344" i="2"/>
  <c r="BN344" i="2"/>
  <c r="BO344" i="2" s="1"/>
  <c r="BL344" i="2"/>
  <c r="BI344" i="2"/>
  <c r="BJ344" i="2" s="1"/>
  <c r="BG344" i="2"/>
  <c r="BD344" i="2"/>
  <c r="BE344" i="2" s="1"/>
  <c r="BB344" i="2"/>
  <c r="AY344" i="2"/>
  <c r="AZ344" i="2" s="1"/>
  <c r="AW344" i="2"/>
  <c r="AT344" i="2"/>
  <c r="AU344" i="2" s="1"/>
  <c r="AR344" i="2"/>
  <c r="AO344" i="2"/>
  <c r="AP344" i="2" s="1"/>
  <c r="AM344" i="2"/>
  <c r="AJ344" i="2"/>
  <c r="AK344" i="2" s="1"/>
  <c r="AH344" i="2"/>
  <c r="S344" i="2"/>
  <c r="I344" i="2"/>
  <c r="A344" i="2"/>
  <c r="CC343" i="2"/>
  <c r="CD343" i="2" s="1"/>
  <c r="CA343" i="2"/>
  <c r="BX343" i="2"/>
  <c r="BY343" i="2" s="1"/>
  <c r="BV343" i="2"/>
  <c r="BS343" i="2"/>
  <c r="BT343" i="2" s="1"/>
  <c r="BQ343" i="2"/>
  <c r="BN343" i="2"/>
  <c r="BO343" i="2" s="1"/>
  <c r="BL343" i="2"/>
  <c r="BI343" i="2"/>
  <c r="BJ343" i="2" s="1"/>
  <c r="BG343" i="2"/>
  <c r="BD343" i="2"/>
  <c r="BE343" i="2" s="1"/>
  <c r="BB343" i="2"/>
  <c r="AY343" i="2"/>
  <c r="AZ343" i="2" s="1"/>
  <c r="AW343" i="2"/>
  <c r="AT343" i="2"/>
  <c r="AU343" i="2" s="1"/>
  <c r="AR343" i="2"/>
  <c r="AO343" i="2"/>
  <c r="AP343" i="2" s="1"/>
  <c r="AM343" i="2"/>
  <c r="AJ343" i="2"/>
  <c r="AK343" i="2" s="1"/>
  <c r="AH343" i="2"/>
  <c r="S343" i="2"/>
  <c r="I343" i="2"/>
  <c r="A343" i="2"/>
  <c r="CC342" i="2"/>
  <c r="CD342" i="2" s="1"/>
  <c r="CA342" i="2"/>
  <c r="BX342" i="2"/>
  <c r="BY342" i="2" s="1"/>
  <c r="BV342" i="2"/>
  <c r="BS342" i="2"/>
  <c r="BT342" i="2" s="1"/>
  <c r="BQ342" i="2"/>
  <c r="BN342" i="2"/>
  <c r="BO342" i="2" s="1"/>
  <c r="BL342" i="2"/>
  <c r="BI342" i="2"/>
  <c r="BJ342" i="2" s="1"/>
  <c r="BG342" i="2"/>
  <c r="BD342" i="2"/>
  <c r="BE342" i="2" s="1"/>
  <c r="BB342" i="2"/>
  <c r="AY342" i="2"/>
  <c r="AZ342" i="2" s="1"/>
  <c r="AW342" i="2"/>
  <c r="AT342" i="2"/>
  <c r="AU342" i="2" s="1"/>
  <c r="AR342" i="2"/>
  <c r="AO342" i="2"/>
  <c r="AP342" i="2" s="1"/>
  <c r="AM342" i="2"/>
  <c r="AJ342" i="2"/>
  <c r="AK342" i="2" s="1"/>
  <c r="AH342" i="2"/>
  <c r="S342" i="2"/>
  <c r="I342" i="2"/>
  <c r="A342" i="2"/>
  <c r="CC341" i="2"/>
  <c r="CD341" i="2" s="1"/>
  <c r="CA341" i="2"/>
  <c r="BX341" i="2"/>
  <c r="BY341" i="2" s="1"/>
  <c r="BV341" i="2"/>
  <c r="BS341" i="2"/>
  <c r="BT341" i="2" s="1"/>
  <c r="BQ341" i="2"/>
  <c r="BN341" i="2"/>
  <c r="BO341" i="2" s="1"/>
  <c r="BL341" i="2"/>
  <c r="BI341" i="2"/>
  <c r="BJ341" i="2" s="1"/>
  <c r="BG341" i="2"/>
  <c r="BD341" i="2"/>
  <c r="BE341" i="2" s="1"/>
  <c r="BB341" i="2"/>
  <c r="AY341" i="2"/>
  <c r="AZ341" i="2" s="1"/>
  <c r="AW341" i="2"/>
  <c r="AT341" i="2"/>
  <c r="AU341" i="2" s="1"/>
  <c r="AR341" i="2"/>
  <c r="AO341" i="2"/>
  <c r="AP341" i="2" s="1"/>
  <c r="AM341" i="2"/>
  <c r="AJ341" i="2"/>
  <c r="AK341" i="2" s="1"/>
  <c r="AH341" i="2"/>
  <c r="S341" i="2"/>
  <c r="I341" i="2"/>
  <c r="A341" i="2"/>
  <c r="CC340" i="2"/>
  <c r="CD340" i="2" s="1"/>
  <c r="CA340" i="2"/>
  <c r="BX340" i="2"/>
  <c r="BY340" i="2" s="1"/>
  <c r="BV340" i="2"/>
  <c r="BS340" i="2"/>
  <c r="BT340" i="2" s="1"/>
  <c r="BQ340" i="2"/>
  <c r="BN340" i="2"/>
  <c r="BO340" i="2" s="1"/>
  <c r="BL340" i="2"/>
  <c r="BI340" i="2"/>
  <c r="BJ340" i="2" s="1"/>
  <c r="BG340" i="2"/>
  <c r="BD340" i="2"/>
  <c r="BE340" i="2" s="1"/>
  <c r="BB340" i="2"/>
  <c r="AY340" i="2"/>
  <c r="AZ340" i="2" s="1"/>
  <c r="AW340" i="2"/>
  <c r="AT340" i="2"/>
  <c r="AU340" i="2" s="1"/>
  <c r="AR340" i="2"/>
  <c r="AO340" i="2"/>
  <c r="AP340" i="2" s="1"/>
  <c r="AM340" i="2"/>
  <c r="AJ340" i="2"/>
  <c r="AK340" i="2" s="1"/>
  <c r="AH340" i="2"/>
  <c r="S340" i="2"/>
  <c r="I340" i="2"/>
  <c r="A340" i="2"/>
  <c r="CC339" i="2"/>
  <c r="CD339" i="2" s="1"/>
  <c r="CA339" i="2"/>
  <c r="BX339" i="2"/>
  <c r="BY339" i="2" s="1"/>
  <c r="BV339" i="2"/>
  <c r="BS339" i="2"/>
  <c r="BT339" i="2" s="1"/>
  <c r="BQ339" i="2"/>
  <c r="BN339" i="2"/>
  <c r="BO339" i="2" s="1"/>
  <c r="BL339" i="2"/>
  <c r="BI339" i="2"/>
  <c r="BJ339" i="2" s="1"/>
  <c r="BG339" i="2"/>
  <c r="BD339" i="2"/>
  <c r="BE339" i="2" s="1"/>
  <c r="BB339" i="2"/>
  <c r="AY339" i="2"/>
  <c r="AZ339" i="2" s="1"/>
  <c r="AW339" i="2"/>
  <c r="AT339" i="2"/>
  <c r="AU339" i="2" s="1"/>
  <c r="AR339" i="2"/>
  <c r="AO339" i="2"/>
  <c r="AP339" i="2" s="1"/>
  <c r="AM339" i="2"/>
  <c r="AJ339" i="2"/>
  <c r="AK339" i="2" s="1"/>
  <c r="AH339" i="2"/>
  <c r="S339" i="2"/>
  <c r="I339" i="2"/>
  <c r="A339" i="2"/>
  <c r="CC338" i="2"/>
  <c r="CD338" i="2" s="1"/>
  <c r="CA338" i="2"/>
  <c r="BX338" i="2"/>
  <c r="BY338" i="2" s="1"/>
  <c r="BV338" i="2"/>
  <c r="BS338" i="2"/>
  <c r="BT338" i="2" s="1"/>
  <c r="BQ338" i="2"/>
  <c r="BN338" i="2"/>
  <c r="BO338" i="2" s="1"/>
  <c r="BL338" i="2"/>
  <c r="BI338" i="2"/>
  <c r="BJ338" i="2" s="1"/>
  <c r="BG338" i="2"/>
  <c r="BD338" i="2"/>
  <c r="BE338" i="2" s="1"/>
  <c r="BB338" i="2"/>
  <c r="AY338" i="2"/>
  <c r="AZ338" i="2" s="1"/>
  <c r="AW338" i="2"/>
  <c r="AT338" i="2"/>
  <c r="AU338" i="2" s="1"/>
  <c r="AR338" i="2"/>
  <c r="AO338" i="2"/>
  <c r="AP338" i="2" s="1"/>
  <c r="AM338" i="2"/>
  <c r="AJ338" i="2"/>
  <c r="AK338" i="2" s="1"/>
  <c r="AH338" i="2"/>
  <c r="S338" i="2"/>
  <c r="I338" i="2"/>
  <c r="A338" i="2"/>
  <c r="CC337" i="2"/>
  <c r="CD337" i="2" s="1"/>
  <c r="CA337" i="2"/>
  <c r="BX337" i="2"/>
  <c r="BY337" i="2" s="1"/>
  <c r="BV337" i="2"/>
  <c r="BS337" i="2"/>
  <c r="BT337" i="2" s="1"/>
  <c r="BQ337" i="2"/>
  <c r="BN337" i="2"/>
  <c r="BO337" i="2" s="1"/>
  <c r="BL337" i="2"/>
  <c r="BI337" i="2"/>
  <c r="BJ337" i="2" s="1"/>
  <c r="BG337" i="2"/>
  <c r="BD337" i="2"/>
  <c r="BE337" i="2" s="1"/>
  <c r="BB337" i="2"/>
  <c r="AY337" i="2"/>
  <c r="AZ337" i="2" s="1"/>
  <c r="AW337" i="2"/>
  <c r="AT337" i="2"/>
  <c r="AU337" i="2" s="1"/>
  <c r="AR337" i="2"/>
  <c r="AO337" i="2"/>
  <c r="AP337" i="2" s="1"/>
  <c r="AM337" i="2"/>
  <c r="AJ337" i="2"/>
  <c r="AK337" i="2" s="1"/>
  <c r="AH337" i="2"/>
  <c r="S337" i="2"/>
  <c r="I337" i="2"/>
  <c r="A337" i="2"/>
  <c r="CC336" i="2"/>
  <c r="CD336" i="2" s="1"/>
  <c r="CA336" i="2"/>
  <c r="BX336" i="2"/>
  <c r="BY336" i="2" s="1"/>
  <c r="BV336" i="2"/>
  <c r="BS336" i="2"/>
  <c r="BT336" i="2" s="1"/>
  <c r="BQ336" i="2"/>
  <c r="BN336" i="2"/>
  <c r="BO336" i="2" s="1"/>
  <c r="BL336" i="2"/>
  <c r="BI336" i="2"/>
  <c r="BJ336" i="2" s="1"/>
  <c r="BG336" i="2"/>
  <c r="BD336" i="2"/>
  <c r="BE336" i="2" s="1"/>
  <c r="BB336" i="2"/>
  <c r="AY336" i="2"/>
  <c r="AZ336" i="2" s="1"/>
  <c r="AW336" i="2"/>
  <c r="AT336" i="2"/>
  <c r="AU336" i="2" s="1"/>
  <c r="AR336" i="2"/>
  <c r="AO336" i="2"/>
  <c r="AP336" i="2" s="1"/>
  <c r="AM336" i="2"/>
  <c r="AJ336" i="2"/>
  <c r="AK336" i="2" s="1"/>
  <c r="AH336" i="2"/>
  <c r="S336" i="2"/>
  <c r="I336" i="2"/>
  <c r="A336" i="2"/>
  <c r="CC335" i="2"/>
  <c r="CD335" i="2" s="1"/>
  <c r="CA335" i="2"/>
  <c r="BX335" i="2"/>
  <c r="BY335" i="2" s="1"/>
  <c r="BV335" i="2"/>
  <c r="BS335" i="2"/>
  <c r="BT335" i="2" s="1"/>
  <c r="BQ335" i="2"/>
  <c r="BN335" i="2"/>
  <c r="BO335" i="2" s="1"/>
  <c r="BL335" i="2"/>
  <c r="BI335" i="2"/>
  <c r="BJ335" i="2" s="1"/>
  <c r="BG335" i="2"/>
  <c r="BD335" i="2"/>
  <c r="BE335" i="2" s="1"/>
  <c r="BB335" i="2"/>
  <c r="AY335" i="2"/>
  <c r="AZ335" i="2" s="1"/>
  <c r="AW335" i="2"/>
  <c r="AT335" i="2"/>
  <c r="AU335" i="2" s="1"/>
  <c r="AR335" i="2"/>
  <c r="AO335" i="2"/>
  <c r="AP335" i="2" s="1"/>
  <c r="AM335" i="2"/>
  <c r="AJ335" i="2"/>
  <c r="AK335" i="2" s="1"/>
  <c r="AH335" i="2"/>
  <c r="S335" i="2"/>
  <c r="I335" i="2"/>
  <c r="A335" i="2"/>
  <c r="CC334" i="2"/>
  <c r="CD334" i="2" s="1"/>
  <c r="CA334" i="2"/>
  <c r="BX334" i="2"/>
  <c r="BY334" i="2" s="1"/>
  <c r="BV334" i="2"/>
  <c r="BS334" i="2"/>
  <c r="BT334" i="2" s="1"/>
  <c r="BQ334" i="2"/>
  <c r="BN334" i="2"/>
  <c r="BO334" i="2" s="1"/>
  <c r="BL334" i="2"/>
  <c r="BI334" i="2"/>
  <c r="BJ334" i="2" s="1"/>
  <c r="BG334" i="2"/>
  <c r="BD334" i="2"/>
  <c r="BE334" i="2" s="1"/>
  <c r="BB334" i="2"/>
  <c r="AY334" i="2"/>
  <c r="AZ334" i="2" s="1"/>
  <c r="AW334" i="2"/>
  <c r="AT334" i="2"/>
  <c r="AU334" i="2" s="1"/>
  <c r="AR334" i="2"/>
  <c r="AO334" i="2"/>
  <c r="AP334" i="2" s="1"/>
  <c r="AM334" i="2"/>
  <c r="AJ334" i="2"/>
  <c r="AK334" i="2" s="1"/>
  <c r="AH334" i="2"/>
  <c r="S334" i="2"/>
  <c r="I334" i="2"/>
  <c r="A334" i="2"/>
  <c r="CC333" i="2"/>
  <c r="CD333" i="2" s="1"/>
  <c r="CA333" i="2"/>
  <c r="BX333" i="2"/>
  <c r="BY333" i="2" s="1"/>
  <c r="BV333" i="2"/>
  <c r="BS333" i="2"/>
  <c r="BT333" i="2" s="1"/>
  <c r="BQ333" i="2"/>
  <c r="BN333" i="2"/>
  <c r="BO333" i="2" s="1"/>
  <c r="BL333" i="2"/>
  <c r="BI333" i="2"/>
  <c r="BJ333" i="2" s="1"/>
  <c r="BG333" i="2"/>
  <c r="BD333" i="2"/>
  <c r="BE333" i="2" s="1"/>
  <c r="BB333" i="2"/>
  <c r="AY333" i="2"/>
  <c r="AZ333" i="2" s="1"/>
  <c r="AW333" i="2"/>
  <c r="AT333" i="2"/>
  <c r="AU333" i="2" s="1"/>
  <c r="AR333" i="2"/>
  <c r="AO333" i="2"/>
  <c r="AP333" i="2" s="1"/>
  <c r="AM333" i="2"/>
  <c r="AJ333" i="2"/>
  <c r="AK333" i="2" s="1"/>
  <c r="AH333" i="2"/>
  <c r="S333" i="2"/>
  <c r="I333" i="2"/>
  <c r="A333" i="2"/>
  <c r="CC332" i="2"/>
  <c r="CD332" i="2" s="1"/>
  <c r="CA332" i="2"/>
  <c r="BX332" i="2"/>
  <c r="BY332" i="2" s="1"/>
  <c r="BV332" i="2"/>
  <c r="BS332" i="2"/>
  <c r="BT332" i="2" s="1"/>
  <c r="BQ332" i="2"/>
  <c r="BN332" i="2"/>
  <c r="BO332" i="2" s="1"/>
  <c r="BL332" i="2"/>
  <c r="BI332" i="2"/>
  <c r="BJ332" i="2" s="1"/>
  <c r="BG332" i="2"/>
  <c r="BD332" i="2"/>
  <c r="BE332" i="2" s="1"/>
  <c r="BB332" i="2"/>
  <c r="AY332" i="2"/>
  <c r="AZ332" i="2" s="1"/>
  <c r="AW332" i="2"/>
  <c r="AT332" i="2"/>
  <c r="AU332" i="2" s="1"/>
  <c r="AR332" i="2"/>
  <c r="AO332" i="2"/>
  <c r="AP332" i="2" s="1"/>
  <c r="AM332" i="2"/>
  <c r="AJ332" i="2"/>
  <c r="AK332" i="2" s="1"/>
  <c r="AH332" i="2"/>
  <c r="S332" i="2"/>
  <c r="I332" i="2"/>
  <c r="A332" i="2"/>
  <c r="CC331" i="2"/>
  <c r="CD331" i="2" s="1"/>
  <c r="CA331" i="2"/>
  <c r="BX331" i="2"/>
  <c r="BY331" i="2" s="1"/>
  <c r="BV331" i="2"/>
  <c r="BS331" i="2"/>
  <c r="BT331" i="2" s="1"/>
  <c r="BQ331" i="2"/>
  <c r="BN331" i="2"/>
  <c r="BO331" i="2" s="1"/>
  <c r="BL331" i="2"/>
  <c r="BI331" i="2"/>
  <c r="BJ331" i="2" s="1"/>
  <c r="BG331" i="2"/>
  <c r="BD331" i="2"/>
  <c r="BE331" i="2" s="1"/>
  <c r="BB331" i="2"/>
  <c r="AY331" i="2"/>
  <c r="AZ331" i="2" s="1"/>
  <c r="AW331" i="2"/>
  <c r="AT331" i="2"/>
  <c r="AU331" i="2" s="1"/>
  <c r="AR331" i="2"/>
  <c r="AO331" i="2"/>
  <c r="AP331" i="2" s="1"/>
  <c r="AM331" i="2"/>
  <c r="AJ331" i="2"/>
  <c r="AK331" i="2" s="1"/>
  <c r="AH331" i="2"/>
  <c r="S331" i="2"/>
  <c r="I331" i="2"/>
  <c r="A331" i="2"/>
  <c r="CC330" i="2"/>
  <c r="CD330" i="2" s="1"/>
  <c r="CA330" i="2"/>
  <c r="BX330" i="2"/>
  <c r="BY330" i="2" s="1"/>
  <c r="BV330" i="2"/>
  <c r="BS330" i="2"/>
  <c r="BT330" i="2" s="1"/>
  <c r="BQ330" i="2"/>
  <c r="BN330" i="2"/>
  <c r="BO330" i="2" s="1"/>
  <c r="BL330" i="2"/>
  <c r="BI330" i="2"/>
  <c r="BJ330" i="2" s="1"/>
  <c r="BG330" i="2"/>
  <c r="BD330" i="2"/>
  <c r="BE330" i="2" s="1"/>
  <c r="BB330" i="2"/>
  <c r="AY330" i="2"/>
  <c r="AZ330" i="2" s="1"/>
  <c r="AW330" i="2"/>
  <c r="AT330" i="2"/>
  <c r="AU330" i="2" s="1"/>
  <c r="AR330" i="2"/>
  <c r="AO330" i="2"/>
  <c r="AP330" i="2" s="1"/>
  <c r="AM330" i="2"/>
  <c r="AJ330" i="2"/>
  <c r="AK330" i="2" s="1"/>
  <c r="AH330" i="2"/>
  <c r="S330" i="2"/>
  <c r="I330" i="2"/>
  <c r="A330" i="2"/>
  <c r="CC329" i="2"/>
  <c r="CD329" i="2" s="1"/>
  <c r="CA329" i="2"/>
  <c r="BX329" i="2"/>
  <c r="BY329" i="2" s="1"/>
  <c r="BV329" i="2"/>
  <c r="BS329" i="2"/>
  <c r="BT329" i="2" s="1"/>
  <c r="BQ329" i="2"/>
  <c r="BN329" i="2"/>
  <c r="BO329" i="2" s="1"/>
  <c r="BL329" i="2"/>
  <c r="BI329" i="2"/>
  <c r="BJ329" i="2" s="1"/>
  <c r="BG329" i="2"/>
  <c r="BD329" i="2"/>
  <c r="BE329" i="2" s="1"/>
  <c r="BB329" i="2"/>
  <c r="AY329" i="2"/>
  <c r="AZ329" i="2" s="1"/>
  <c r="AW329" i="2"/>
  <c r="AT329" i="2"/>
  <c r="AU329" i="2" s="1"/>
  <c r="AR329" i="2"/>
  <c r="AO329" i="2"/>
  <c r="AP329" i="2" s="1"/>
  <c r="AM329" i="2"/>
  <c r="AJ329" i="2"/>
  <c r="AK329" i="2" s="1"/>
  <c r="AH329" i="2"/>
  <c r="S329" i="2"/>
  <c r="I329" i="2"/>
  <c r="A329" i="2"/>
  <c r="CC328" i="2"/>
  <c r="CD328" i="2" s="1"/>
  <c r="CA328" i="2"/>
  <c r="BX328" i="2"/>
  <c r="BY328" i="2" s="1"/>
  <c r="BV328" i="2"/>
  <c r="BS328" i="2"/>
  <c r="BT328" i="2" s="1"/>
  <c r="BQ328" i="2"/>
  <c r="BN328" i="2"/>
  <c r="BO328" i="2" s="1"/>
  <c r="BL328" i="2"/>
  <c r="BI328" i="2"/>
  <c r="BJ328" i="2" s="1"/>
  <c r="BG328" i="2"/>
  <c r="BD328" i="2"/>
  <c r="BE328" i="2" s="1"/>
  <c r="BB328" i="2"/>
  <c r="AY328" i="2"/>
  <c r="AZ328" i="2" s="1"/>
  <c r="AW328" i="2"/>
  <c r="AT328" i="2"/>
  <c r="AU328" i="2" s="1"/>
  <c r="AR328" i="2"/>
  <c r="AO328" i="2"/>
  <c r="AP328" i="2" s="1"/>
  <c r="AM328" i="2"/>
  <c r="AJ328" i="2"/>
  <c r="AK328" i="2" s="1"/>
  <c r="AH328" i="2"/>
  <c r="S328" i="2"/>
  <c r="I328" i="2"/>
  <c r="A328" i="2"/>
  <c r="CC327" i="2"/>
  <c r="CD327" i="2" s="1"/>
  <c r="CA327" i="2"/>
  <c r="BX327" i="2"/>
  <c r="BY327" i="2" s="1"/>
  <c r="BV327" i="2"/>
  <c r="BS327" i="2"/>
  <c r="BT327" i="2" s="1"/>
  <c r="BQ327" i="2"/>
  <c r="BN327" i="2"/>
  <c r="BO327" i="2" s="1"/>
  <c r="BL327" i="2"/>
  <c r="BI327" i="2"/>
  <c r="BJ327" i="2" s="1"/>
  <c r="BG327" i="2"/>
  <c r="BD327" i="2"/>
  <c r="BE327" i="2" s="1"/>
  <c r="BB327" i="2"/>
  <c r="AY327" i="2"/>
  <c r="AZ327" i="2" s="1"/>
  <c r="AW327" i="2"/>
  <c r="AT327" i="2"/>
  <c r="AU327" i="2" s="1"/>
  <c r="AR327" i="2"/>
  <c r="AO327" i="2"/>
  <c r="AP327" i="2" s="1"/>
  <c r="AM327" i="2"/>
  <c r="S327" i="2"/>
  <c r="I327" i="2"/>
  <c r="A327" i="2"/>
  <c r="CC326" i="2"/>
  <c r="CD326" i="2" s="1"/>
  <c r="CA326" i="2"/>
  <c r="BX326" i="2"/>
  <c r="BY326" i="2" s="1"/>
  <c r="BV326" i="2"/>
  <c r="BS326" i="2"/>
  <c r="BT326" i="2" s="1"/>
  <c r="BQ326" i="2"/>
  <c r="BN326" i="2"/>
  <c r="BO326" i="2" s="1"/>
  <c r="BL326" i="2"/>
  <c r="BI326" i="2"/>
  <c r="BJ326" i="2" s="1"/>
  <c r="BG326" i="2"/>
  <c r="BD326" i="2"/>
  <c r="BE326" i="2" s="1"/>
  <c r="BB326" i="2"/>
  <c r="AY326" i="2"/>
  <c r="AZ326" i="2" s="1"/>
  <c r="AW326" i="2"/>
  <c r="AT326" i="2"/>
  <c r="AU326" i="2" s="1"/>
  <c r="AR326" i="2"/>
  <c r="AO326" i="2"/>
  <c r="AP326" i="2" s="1"/>
  <c r="AM326" i="2"/>
  <c r="AJ326" i="2"/>
  <c r="AK326" i="2" s="1"/>
  <c r="AH326" i="2"/>
  <c r="S326" i="2"/>
  <c r="I326" i="2"/>
  <c r="A326" i="2"/>
  <c r="CC325" i="2"/>
  <c r="CD325" i="2" s="1"/>
  <c r="CA325" i="2"/>
  <c r="BX325" i="2"/>
  <c r="BY325" i="2" s="1"/>
  <c r="BV325" i="2"/>
  <c r="BS325" i="2"/>
  <c r="BT325" i="2" s="1"/>
  <c r="BQ325" i="2"/>
  <c r="BN325" i="2"/>
  <c r="BO325" i="2" s="1"/>
  <c r="BL325" i="2"/>
  <c r="BI325" i="2"/>
  <c r="BJ325" i="2" s="1"/>
  <c r="BG325" i="2"/>
  <c r="BD325" i="2"/>
  <c r="BE325" i="2" s="1"/>
  <c r="BB325" i="2"/>
  <c r="AY325" i="2"/>
  <c r="AZ325" i="2" s="1"/>
  <c r="AW325" i="2"/>
  <c r="AT325" i="2"/>
  <c r="AU325" i="2" s="1"/>
  <c r="AR325" i="2"/>
  <c r="AO325" i="2"/>
  <c r="AP325" i="2" s="1"/>
  <c r="AM325" i="2"/>
  <c r="AJ325" i="2"/>
  <c r="AK325" i="2" s="1"/>
  <c r="AH325" i="2"/>
  <c r="S325" i="2"/>
  <c r="I325" i="2"/>
  <c r="A325" i="2"/>
  <c r="CC324" i="2"/>
  <c r="CD324" i="2" s="1"/>
  <c r="CA324" i="2"/>
  <c r="BX324" i="2"/>
  <c r="BY324" i="2" s="1"/>
  <c r="BV324" i="2"/>
  <c r="BS324" i="2"/>
  <c r="BT324" i="2" s="1"/>
  <c r="BQ324" i="2"/>
  <c r="BN324" i="2"/>
  <c r="BO324" i="2" s="1"/>
  <c r="BL324" i="2"/>
  <c r="BI324" i="2"/>
  <c r="BJ324" i="2" s="1"/>
  <c r="BG324" i="2"/>
  <c r="BD324" i="2"/>
  <c r="BE324" i="2" s="1"/>
  <c r="BB324" i="2"/>
  <c r="AY324" i="2"/>
  <c r="AZ324" i="2" s="1"/>
  <c r="AW324" i="2"/>
  <c r="AT324" i="2"/>
  <c r="AU324" i="2" s="1"/>
  <c r="AR324" i="2"/>
  <c r="AO324" i="2"/>
  <c r="AP324" i="2" s="1"/>
  <c r="AM324" i="2"/>
  <c r="AJ324" i="2"/>
  <c r="AK324" i="2" s="1"/>
  <c r="AH324" i="2"/>
  <c r="S324" i="2"/>
  <c r="I324" i="2"/>
  <c r="A324" i="2"/>
  <c r="CC323" i="2"/>
  <c r="CD323" i="2" s="1"/>
  <c r="CA323" i="2"/>
  <c r="BX323" i="2"/>
  <c r="BY323" i="2" s="1"/>
  <c r="BV323" i="2"/>
  <c r="BS323" i="2"/>
  <c r="BT323" i="2" s="1"/>
  <c r="BQ323" i="2"/>
  <c r="BN323" i="2"/>
  <c r="BO323" i="2" s="1"/>
  <c r="BL323" i="2"/>
  <c r="BI323" i="2"/>
  <c r="BJ323" i="2" s="1"/>
  <c r="BG323" i="2"/>
  <c r="BD323" i="2"/>
  <c r="BE323" i="2" s="1"/>
  <c r="BB323" i="2"/>
  <c r="AY323" i="2"/>
  <c r="AZ323" i="2" s="1"/>
  <c r="AW323" i="2"/>
  <c r="AT323" i="2"/>
  <c r="AU323" i="2" s="1"/>
  <c r="AR323" i="2"/>
  <c r="AO323" i="2"/>
  <c r="AP323" i="2" s="1"/>
  <c r="AM323" i="2"/>
  <c r="AJ323" i="2"/>
  <c r="AK323" i="2" s="1"/>
  <c r="AH323" i="2"/>
  <c r="S323" i="2"/>
  <c r="I323" i="2"/>
  <c r="A323" i="2"/>
  <c r="CC322" i="2"/>
  <c r="CD322" i="2" s="1"/>
  <c r="CA322" i="2"/>
  <c r="BX322" i="2"/>
  <c r="BY322" i="2" s="1"/>
  <c r="BV322" i="2"/>
  <c r="BS322" i="2"/>
  <c r="BT322" i="2" s="1"/>
  <c r="BQ322" i="2"/>
  <c r="BN322" i="2"/>
  <c r="BO322" i="2" s="1"/>
  <c r="BL322" i="2"/>
  <c r="BI322" i="2"/>
  <c r="BJ322" i="2" s="1"/>
  <c r="BG322" i="2"/>
  <c r="BD322" i="2"/>
  <c r="BE322" i="2" s="1"/>
  <c r="BB322" i="2"/>
  <c r="AY322" i="2"/>
  <c r="AZ322" i="2" s="1"/>
  <c r="AW322" i="2"/>
  <c r="AT322" i="2"/>
  <c r="AU322" i="2" s="1"/>
  <c r="AR322" i="2"/>
  <c r="AO322" i="2"/>
  <c r="AP322" i="2" s="1"/>
  <c r="AM322" i="2"/>
  <c r="AJ322" i="2"/>
  <c r="AK322" i="2" s="1"/>
  <c r="AH322" i="2"/>
  <c r="S322" i="2"/>
  <c r="I322" i="2"/>
  <c r="A322" i="2"/>
  <c r="CC321" i="2"/>
  <c r="CD321" i="2" s="1"/>
  <c r="CA321" i="2"/>
  <c r="BX321" i="2"/>
  <c r="BY321" i="2" s="1"/>
  <c r="BV321" i="2"/>
  <c r="BS321" i="2"/>
  <c r="BT321" i="2" s="1"/>
  <c r="BQ321" i="2"/>
  <c r="BN321" i="2"/>
  <c r="BO321" i="2" s="1"/>
  <c r="BL321" i="2"/>
  <c r="BI321" i="2"/>
  <c r="BJ321" i="2" s="1"/>
  <c r="BG321" i="2"/>
  <c r="BD321" i="2"/>
  <c r="BE321" i="2" s="1"/>
  <c r="BB321" i="2"/>
  <c r="AY321" i="2"/>
  <c r="AZ321" i="2" s="1"/>
  <c r="AW321" i="2"/>
  <c r="AT321" i="2"/>
  <c r="AU321" i="2" s="1"/>
  <c r="AR321" i="2"/>
  <c r="AO321" i="2"/>
  <c r="AP321" i="2" s="1"/>
  <c r="AM321" i="2"/>
  <c r="AJ321" i="2"/>
  <c r="AK321" i="2" s="1"/>
  <c r="AH321" i="2"/>
  <c r="S321" i="2"/>
  <c r="I321" i="2"/>
  <c r="A321" i="2"/>
  <c r="CC320" i="2"/>
  <c r="CD320" i="2" s="1"/>
  <c r="CA320" i="2"/>
  <c r="BX320" i="2"/>
  <c r="BY320" i="2" s="1"/>
  <c r="BV320" i="2"/>
  <c r="BS320" i="2"/>
  <c r="BT320" i="2" s="1"/>
  <c r="BQ320" i="2"/>
  <c r="BN320" i="2"/>
  <c r="BO320" i="2" s="1"/>
  <c r="BL320" i="2"/>
  <c r="BI320" i="2"/>
  <c r="BJ320" i="2" s="1"/>
  <c r="BG320" i="2"/>
  <c r="BD320" i="2"/>
  <c r="BE320" i="2" s="1"/>
  <c r="BB320" i="2"/>
  <c r="AY320" i="2"/>
  <c r="AZ320" i="2" s="1"/>
  <c r="AW320" i="2"/>
  <c r="AT320" i="2"/>
  <c r="AU320" i="2" s="1"/>
  <c r="AR320" i="2"/>
  <c r="AO320" i="2"/>
  <c r="AP320" i="2" s="1"/>
  <c r="AM320" i="2"/>
  <c r="AJ320" i="2"/>
  <c r="AK320" i="2" s="1"/>
  <c r="AH320" i="2"/>
  <c r="S320" i="2"/>
  <c r="I320" i="2"/>
  <c r="A320" i="2"/>
  <c r="CC319" i="2"/>
  <c r="CD319" i="2" s="1"/>
  <c r="CA319" i="2"/>
  <c r="BX319" i="2"/>
  <c r="BY319" i="2" s="1"/>
  <c r="BV319" i="2"/>
  <c r="BS319" i="2"/>
  <c r="BT319" i="2" s="1"/>
  <c r="BQ319" i="2"/>
  <c r="BN319" i="2"/>
  <c r="BO319" i="2" s="1"/>
  <c r="BL319" i="2"/>
  <c r="BI319" i="2"/>
  <c r="BJ319" i="2" s="1"/>
  <c r="BG319" i="2"/>
  <c r="BD319" i="2"/>
  <c r="BE319" i="2" s="1"/>
  <c r="BB319" i="2"/>
  <c r="AY319" i="2"/>
  <c r="AZ319" i="2" s="1"/>
  <c r="AW319" i="2"/>
  <c r="AT319" i="2"/>
  <c r="AU319" i="2" s="1"/>
  <c r="AR319" i="2"/>
  <c r="AO319" i="2"/>
  <c r="AP319" i="2" s="1"/>
  <c r="AM319" i="2"/>
  <c r="AJ319" i="2"/>
  <c r="AK319" i="2" s="1"/>
  <c r="AH319" i="2"/>
  <c r="S319" i="2"/>
  <c r="I319" i="2"/>
  <c r="A319" i="2"/>
  <c r="CC318" i="2"/>
  <c r="CD318" i="2" s="1"/>
  <c r="CA318" i="2"/>
  <c r="BX318" i="2"/>
  <c r="BY318" i="2" s="1"/>
  <c r="BV318" i="2"/>
  <c r="BS318" i="2"/>
  <c r="BT318" i="2" s="1"/>
  <c r="BQ318" i="2"/>
  <c r="BN318" i="2"/>
  <c r="BO318" i="2" s="1"/>
  <c r="BL318" i="2"/>
  <c r="BI318" i="2"/>
  <c r="BJ318" i="2" s="1"/>
  <c r="BG318" i="2"/>
  <c r="BD318" i="2"/>
  <c r="BE318" i="2" s="1"/>
  <c r="BB318" i="2"/>
  <c r="AY318" i="2"/>
  <c r="AZ318" i="2" s="1"/>
  <c r="AW318" i="2"/>
  <c r="AT318" i="2"/>
  <c r="AU318" i="2" s="1"/>
  <c r="AR318" i="2"/>
  <c r="AO318" i="2"/>
  <c r="AP318" i="2" s="1"/>
  <c r="AM318" i="2"/>
  <c r="AJ318" i="2"/>
  <c r="AK318" i="2" s="1"/>
  <c r="AH318" i="2"/>
  <c r="S318" i="2"/>
  <c r="I318" i="2"/>
  <c r="A318" i="2"/>
  <c r="CC317" i="2"/>
  <c r="CD317" i="2" s="1"/>
  <c r="CA317" i="2"/>
  <c r="BX317" i="2"/>
  <c r="BY317" i="2" s="1"/>
  <c r="BV317" i="2"/>
  <c r="BS317" i="2"/>
  <c r="BT317" i="2" s="1"/>
  <c r="BQ317" i="2"/>
  <c r="BN317" i="2"/>
  <c r="BO317" i="2" s="1"/>
  <c r="BL317" i="2"/>
  <c r="BI317" i="2"/>
  <c r="BJ317" i="2" s="1"/>
  <c r="BG317" i="2"/>
  <c r="BD317" i="2"/>
  <c r="BE317" i="2" s="1"/>
  <c r="BB317" i="2"/>
  <c r="AY317" i="2"/>
  <c r="AZ317" i="2" s="1"/>
  <c r="AW317" i="2"/>
  <c r="AT317" i="2"/>
  <c r="AU317" i="2" s="1"/>
  <c r="AR317" i="2"/>
  <c r="AO317" i="2"/>
  <c r="AP317" i="2" s="1"/>
  <c r="AM317" i="2"/>
  <c r="AJ317" i="2"/>
  <c r="AK317" i="2" s="1"/>
  <c r="AH317" i="2"/>
  <c r="S317" i="2"/>
  <c r="I317" i="2"/>
  <c r="A317" i="2"/>
  <c r="CC316" i="2"/>
  <c r="CD316" i="2" s="1"/>
  <c r="CA316" i="2"/>
  <c r="BX316" i="2"/>
  <c r="BY316" i="2" s="1"/>
  <c r="BV316" i="2"/>
  <c r="BS316" i="2"/>
  <c r="BT316" i="2" s="1"/>
  <c r="BQ316" i="2"/>
  <c r="BN316" i="2"/>
  <c r="BO316" i="2" s="1"/>
  <c r="BL316" i="2"/>
  <c r="BI316" i="2"/>
  <c r="BJ316" i="2" s="1"/>
  <c r="BG316" i="2"/>
  <c r="BD316" i="2"/>
  <c r="BE316" i="2" s="1"/>
  <c r="BB316" i="2"/>
  <c r="AY316" i="2"/>
  <c r="AZ316" i="2" s="1"/>
  <c r="AW316" i="2"/>
  <c r="AT316" i="2"/>
  <c r="AU316" i="2" s="1"/>
  <c r="AR316" i="2"/>
  <c r="AO316" i="2"/>
  <c r="AP316" i="2" s="1"/>
  <c r="AM316" i="2"/>
  <c r="AJ316" i="2"/>
  <c r="AK316" i="2" s="1"/>
  <c r="AH316" i="2"/>
  <c r="S316" i="2"/>
  <c r="I316" i="2"/>
  <c r="A316" i="2"/>
  <c r="CC315" i="2"/>
  <c r="CD315" i="2" s="1"/>
  <c r="CA315" i="2"/>
  <c r="BX315" i="2"/>
  <c r="BY315" i="2" s="1"/>
  <c r="BV315" i="2"/>
  <c r="BS315" i="2"/>
  <c r="BT315" i="2" s="1"/>
  <c r="BQ315" i="2"/>
  <c r="BN315" i="2"/>
  <c r="BO315" i="2" s="1"/>
  <c r="BL315" i="2"/>
  <c r="BI315" i="2"/>
  <c r="BJ315" i="2" s="1"/>
  <c r="BG315" i="2"/>
  <c r="BD315" i="2"/>
  <c r="BE315" i="2" s="1"/>
  <c r="BB315" i="2"/>
  <c r="AY315" i="2"/>
  <c r="AZ315" i="2" s="1"/>
  <c r="AW315" i="2"/>
  <c r="AT315" i="2"/>
  <c r="AU315" i="2" s="1"/>
  <c r="AR315" i="2"/>
  <c r="AO315" i="2"/>
  <c r="AP315" i="2" s="1"/>
  <c r="AM315" i="2"/>
  <c r="AJ315" i="2"/>
  <c r="AK315" i="2" s="1"/>
  <c r="AH315" i="2"/>
  <c r="S315" i="2"/>
  <c r="I315" i="2"/>
  <c r="A315" i="2"/>
  <c r="CC314" i="2"/>
  <c r="CD314" i="2" s="1"/>
  <c r="CA314" i="2"/>
  <c r="BX314" i="2"/>
  <c r="BY314" i="2" s="1"/>
  <c r="BV314" i="2"/>
  <c r="BS314" i="2"/>
  <c r="BT314" i="2" s="1"/>
  <c r="BQ314" i="2"/>
  <c r="BN314" i="2"/>
  <c r="BO314" i="2" s="1"/>
  <c r="BL314" i="2"/>
  <c r="BI314" i="2"/>
  <c r="BJ314" i="2" s="1"/>
  <c r="BG314" i="2"/>
  <c r="BD314" i="2"/>
  <c r="BE314" i="2" s="1"/>
  <c r="BB314" i="2"/>
  <c r="AY314" i="2"/>
  <c r="AZ314" i="2" s="1"/>
  <c r="AW314" i="2"/>
  <c r="AT314" i="2"/>
  <c r="AU314" i="2" s="1"/>
  <c r="AR314" i="2"/>
  <c r="AO314" i="2"/>
  <c r="AP314" i="2" s="1"/>
  <c r="AM314" i="2"/>
  <c r="AJ314" i="2"/>
  <c r="AK314" i="2" s="1"/>
  <c r="AH314" i="2"/>
  <c r="S314" i="2"/>
  <c r="I314" i="2"/>
  <c r="A314" i="2"/>
  <c r="CC313" i="2"/>
  <c r="CD313" i="2" s="1"/>
  <c r="CA313" i="2"/>
  <c r="BX313" i="2"/>
  <c r="BY313" i="2" s="1"/>
  <c r="BV313" i="2"/>
  <c r="BS313" i="2"/>
  <c r="BT313" i="2" s="1"/>
  <c r="BQ313" i="2"/>
  <c r="BN313" i="2"/>
  <c r="BO313" i="2" s="1"/>
  <c r="BL313" i="2"/>
  <c r="BI313" i="2"/>
  <c r="BJ313" i="2" s="1"/>
  <c r="BG313" i="2"/>
  <c r="BD313" i="2"/>
  <c r="BE313" i="2" s="1"/>
  <c r="BB313" i="2"/>
  <c r="AY313" i="2"/>
  <c r="AZ313" i="2" s="1"/>
  <c r="AW313" i="2"/>
  <c r="AT313" i="2"/>
  <c r="AU313" i="2" s="1"/>
  <c r="AR313" i="2"/>
  <c r="AO313" i="2"/>
  <c r="AP313" i="2" s="1"/>
  <c r="AM313" i="2"/>
  <c r="AJ313" i="2"/>
  <c r="AK313" i="2" s="1"/>
  <c r="AH313" i="2"/>
  <c r="S313" i="2"/>
  <c r="I313" i="2"/>
  <c r="A313" i="2"/>
  <c r="CC312" i="2"/>
  <c r="CD312" i="2" s="1"/>
  <c r="CA312" i="2"/>
  <c r="BX312" i="2"/>
  <c r="BY312" i="2" s="1"/>
  <c r="BV312" i="2"/>
  <c r="BS312" i="2"/>
  <c r="BT312" i="2" s="1"/>
  <c r="BQ312" i="2"/>
  <c r="BN312" i="2"/>
  <c r="BO312" i="2" s="1"/>
  <c r="BL312" i="2"/>
  <c r="BI312" i="2"/>
  <c r="BJ312" i="2" s="1"/>
  <c r="BG312" i="2"/>
  <c r="BD312" i="2"/>
  <c r="BE312" i="2" s="1"/>
  <c r="BB312" i="2"/>
  <c r="AY312" i="2"/>
  <c r="AZ312" i="2" s="1"/>
  <c r="AW312" i="2"/>
  <c r="AT312" i="2"/>
  <c r="AU312" i="2" s="1"/>
  <c r="AR312" i="2"/>
  <c r="AO312" i="2"/>
  <c r="AP312" i="2" s="1"/>
  <c r="AM312" i="2"/>
  <c r="AJ312" i="2"/>
  <c r="AK312" i="2" s="1"/>
  <c r="AH312" i="2"/>
  <c r="S312" i="2"/>
  <c r="I312" i="2"/>
  <c r="A312" i="2"/>
  <c r="CC311" i="2"/>
  <c r="CD311" i="2" s="1"/>
  <c r="CA311" i="2"/>
  <c r="BX311" i="2"/>
  <c r="BY311" i="2" s="1"/>
  <c r="BV311" i="2"/>
  <c r="BS311" i="2"/>
  <c r="BT311" i="2" s="1"/>
  <c r="BQ311" i="2"/>
  <c r="BN311" i="2"/>
  <c r="BO311" i="2" s="1"/>
  <c r="BL311" i="2"/>
  <c r="BI311" i="2"/>
  <c r="BJ311" i="2" s="1"/>
  <c r="BG311" i="2"/>
  <c r="BD311" i="2"/>
  <c r="BE311" i="2" s="1"/>
  <c r="BB311" i="2"/>
  <c r="AY311" i="2"/>
  <c r="AZ311" i="2" s="1"/>
  <c r="AW311" i="2"/>
  <c r="AT311" i="2"/>
  <c r="AU311" i="2" s="1"/>
  <c r="AR311" i="2"/>
  <c r="AO311" i="2"/>
  <c r="AP311" i="2" s="1"/>
  <c r="AM311" i="2"/>
  <c r="AJ311" i="2"/>
  <c r="AK311" i="2" s="1"/>
  <c r="AH311" i="2"/>
  <c r="S311" i="2"/>
  <c r="I311" i="2"/>
  <c r="A311" i="2"/>
  <c r="CC310" i="2"/>
  <c r="CD310" i="2" s="1"/>
  <c r="CA310" i="2"/>
  <c r="BX310" i="2"/>
  <c r="BY310" i="2" s="1"/>
  <c r="BV310" i="2"/>
  <c r="BS310" i="2"/>
  <c r="BT310" i="2" s="1"/>
  <c r="BQ310" i="2"/>
  <c r="BN310" i="2"/>
  <c r="BO310" i="2" s="1"/>
  <c r="BL310" i="2"/>
  <c r="BI310" i="2"/>
  <c r="BJ310" i="2" s="1"/>
  <c r="BG310" i="2"/>
  <c r="BD310" i="2"/>
  <c r="BE310" i="2" s="1"/>
  <c r="BB310" i="2"/>
  <c r="AY310" i="2"/>
  <c r="AZ310" i="2" s="1"/>
  <c r="AW310" i="2"/>
  <c r="AT310" i="2"/>
  <c r="AU310" i="2" s="1"/>
  <c r="AR310" i="2"/>
  <c r="AO310" i="2"/>
  <c r="AP310" i="2" s="1"/>
  <c r="AM310" i="2"/>
  <c r="AJ310" i="2"/>
  <c r="AK310" i="2" s="1"/>
  <c r="AH310" i="2"/>
  <c r="S310" i="2"/>
  <c r="I310" i="2"/>
  <c r="A310" i="2"/>
  <c r="CC309" i="2"/>
  <c r="CD309" i="2" s="1"/>
  <c r="CA309" i="2"/>
  <c r="BX309" i="2"/>
  <c r="BY309" i="2" s="1"/>
  <c r="BV309" i="2"/>
  <c r="BS309" i="2"/>
  <c r="BT309" i="2" s="1"/>
  <c r="BQ309" i="2"/>
  <c r="BN309" i="2"/>
  <c r="BO309" i="2" s="1"/>
  <c r="BL309" i="2"/>
  <c r="BI309" i="2"/>
  <c r="BJ309" i="2" s="1"/>
  <c r="BG309" i="2"/>
  <c r="BD309" i="2"/>
  <c r="BE309" i="2" s="1"/>
  <c r="BB309" i="2"/>
  <c r="AY309" i="2"/>
  <c r="AZ309" i="2" s="1"/>
  <c r="AW309" i="2"/>
  <c r="AT309" i="2"/>
  <c r="AU309" i="2" s="1"/>
  <c r="AR309" i="2"/>
  <c r="AO309" i="2"/>
  <c r="AP309" i="2" s="1"/>
  <c r="AM309" i="2"/>
  <c r="AJ309" i="2"/>
  <c r="AK309" i="2" s="1"/>
  <c r="AH309" i="2"/>
  <c r="S309" i="2"/>
  <c r="I309" i="2"/>
  <c r="A309" i="2"/>
  <c r="CC308" i="2"/>
  <c r="CD308" i="2" s="1"/>
  <c r="CA308" i="2"/>
  <c r="BX308" i="2"/>
  <c r="BY308" i="2" s="1"/>
  <c r="BV308" i="2"/>
  <c r="BS308" i="2"/>
  <c r="BT308" i="2" s="1"/>
  <c r="BQ308" i="2"/>
  <c r="BN308" i="2"/>
  <c r="BO308" i="2" s="1"/>
  <c r="BL308" i="2"/>
  <c r="BI308" i="2"/>
  <c r="BJ308" i="2" s="1"/>
  <c r="BG308" i="2"/>
  <c r="BD308" i="2"/>
  <c r="BE308" i="2" s="1"/>
  <c r="BB308" i="2"/>
  <c r="AY308" i="2"/>
  <c r="AZ308" i="2" s="1"/>
  <c r="AW308" i="2"/>
  <c r="AT308" i="2"/>
  <c r="AU308" i="2" s="1"/>
  <c r="AR308" i="2"/>
  <c r="AO308" i="2"/>
  <c r="AP308" i="2" s="1"/>
  <c r="AM308" i="2"/>
  <c r="AJ308" i="2"/>
  <c r="AK308" i="2" s="1"/>
  <c r="AH308" i="2"/>
  <c r="S308" i="2"/>
  <c r="I308" i="2"/>
  <c r="A308" i="2"/>
  <c r="CC307" i="2"/>
  <c r="CD307" i="2" s="1"/>
  <c r="CA307" i="2"/>
  <c r="BX307" i="2"/>
  <c r="BY307" i="2" s="1"/>
  <c r="BV307" i="2"/>
  <c r="BS307" i="2"/>
  <c r="BT307" i="2" s="1"/>
  <c r="BQ307" i="2"/>
  <c r="BN307" i="2"/>
  <c r="BO307" i="2" s="1"/>
  <c r="BL307" i="2"/>
  <c r="BI307" i="2"/>
  <c r="BJ307" i="2" s="1"/>
  <c r="BG307" i="2"/>
  <c r="BD307" i="2"/>
  <c r="BE307" i="2" s="1"/>
  <c r="BB307" i="2"/>
  <c r="AY307" i="2"/>
  <c r="AZ307" i="2" s="1"/>
  <c r="AW307" i="2"/>
  <c r="AT307" i="2"/>
  <c r="AU307" i="2" s="1"/>
  <c r="AR307" i="2"/>
  <c r="AO307" i="2"/>
  <c r="AP307" i="2" s="1"/>
  <c r="AM307" i="2"/>
  <c r="AJ307" i="2"/>
  <c r="AK307" i="2" s="1"/>
  <c r="AH307" i="2"/>
  <c r="S307" i="2"/>
  <c r="I307" i="2"/>
  <c r="A307" i="2"/>
  <c r="CC306" i="2"/>
  <c r="CD306" i="2" s="1"/>
  <c r="CA306" i="2"/>
  <c r="BX306" i="2"/>
  <c r="BY306" i="2" s="1"/>
  <c r="BV306" i="2"/>
  <c r="BS306" i="2"/>
  <c r="BT306" i="2" s="1"/>
  <c r="BQ306" i="2"/>
  <c r="BN306" i="2"/>
  <c r="BO306" i="2" s="1"/>
  <c r="BL306" i="2"/>
  <c r="BI306" i="2"/>
  <c r="BJ306" i="2" s="1"/>
  <c r="BG306" i="2"/>
  <c r="BD306" i="2"/>
  <c r="BE306" i="2" s="1"/>
  <c r="BB306" i="2"/>
  <c r="AY306" i="2"/>
  <c r="AZ306" i="2" s="1"/>
  <c r="AW306" i="2"/>
  <c r="AT306" i="2"/>
  <c r="AU306" i="2" s="1"/>
  <c r="AR306" i="2"/>
  <c r="AO306" i="2"/>
  <c r="AP306" i="2" s="1"/>
  <c r="AM306" i="2"/>
  <c r="AJ306" i="2"/>
  <c r="AK306" i="2" s="1"/>
  <c r="AH306" i="2"/>
  <c r="S306" i="2"/>
  <c r="I306" i="2"/>
  <c r="A306" i="2"/>
  <c r="CC305" i="2"/>
  <c r="CD305" i="2" s="1"/>
  <c r="CA305" i="2"/>
  <c r="BX305" i="2"/>
  <c r="BY305" i="2" s="1"/>
  <c r="BV305" i="2"/>
  <c r="BS305" i="2"/>
  <c r="BT305" i="2" s="1"/>
  <c r="BQ305" i="2"/>
  <c r="BN305" i="2"/>
  <c r="BO305" i="2" s="1"/>
  <c r="BL305" i="2"/>
  <c r="BI305" i="2"/>
  <c r="BJ305" i="2" s="1"/>
  <c r="BG305" i="2"/>
  <c r="BD305" i="2"/>
  <c r="BE305" i="2" s="1"/>
  <c r="BB305" i="2"/>
  <c r="AY305" i="2"/>
  <c r="AZ305" i="2" s="1"/>
  <c r="AW305" i="2"/>
  <c r="AT305" i="2"/>
  <c r="AU305" i="2" s="1"/>
  <c r="AR305" i="2"/>
  <c r="AO305" i="2"/>
  <c r="AP305" i="2" s="1"/>
  <c r="AM305" i="2"/>
  <c r="AJ305" i="2"/>
  <c r="AK305" i="2" s="1"/>
  <c r="AH305" i="2"/>
  <c r="S305" i="2"/>
  <c r="I305" i="2"/>
  <c r="A305" i="2"/>
  <c r="CC304" i="2"/>
  <c r="CD304" i="2" s="1"/>
  <c r="CA304" i="2"/>
  <c r="BX304" i="2"/>
  <c r="BY304" i="2" s="1"/>
  <c r="BV304" i="2"/>
  <c r="BS304" i="2"/>
  <c r="BT304" i="2" s="1"/>
  <c r="BQ304" i="2"/>
  <c r="BN304" i="2"/>
  <c r="BO304" i="2" s="1"/>
  <c r="BL304" i="2"/>
  <c r="BI304" i="2"/>
  <c r="BJ304" i="2" s="1"/>
  <c r="BG304" i="2"/>
  <c r="BD304" i="2"/>
  <c r="BE304" i="2" s="1"/>
  <c r="BB304" i="2"/>
  <c r="AY304" i="2"/>
  <c r="AZ304" i="2" s="1"/>
  <c r="AW304" i="2"/>
  <c r="AT304" i="2"/>
  <c r="AU304" i="2" s="1"/>
  <c r="AR304" i="2"/>
  <c r="AO304" i="2"/>
  <c r="AP304" i="2" s="1"/>
  <c r="AM304" i="2"/>
  <c r="AJ304" i="2"/>
  <c r="AK304" i="2" s="1"/>
  <c r="AH304" i="2"/>
  <c r="S304" i="2"/>
  <c r="I304" i="2"/>
  <c r="A304" i="2"/>
  <c r="CC303" i="2"/>
  <c r="CD303" i="2" s="1"/>
  <c r="CA303" i="2"/>
  <c r="BX303" i="2"/>
  <c r="BY303" i="2" s="1"/>
  <c r="BV303" i="2"/>
  <c r="BS303" i="2"/>
  <c r="BT303" i="2" s="1"/>
  <c r="BQ303" i="2"/>
  <c r="BN303" i="2"/>
  <c r="BO303" i="2" s="1"/>
  <c r="BL303" i="2"/>
  <c r="BI303" i="2"/>
  <c r="BJ303" i="2" s="1"/>
  <c r="BG303" i="2"/>
  <c r="BD303" i="2"/>
  <c r="BE303" i="2" s="1"/>
  <c r="BB303" i="2"/>
  <c r="AY303" i="2"/>
  <c r="AZ303" i="2" s="1"/>
  <c r="AW303" i="2"/>
  <c r="AT303" i="2"/>
  <c r="AU303" i="2" s="1"/>
  <c r="AR303" i="2"/>
  <c r="AO303" i="2"/>
  <c r="AP303" i="2" s="1"/>
  <c r="AM303" i="2"/>
  <c r="AJ303" i="2"/>
  <c r="AK303" i="2" s="1"/>
  <c r="AH303" i="2"/>
  <c r="S303" i="2"/>
  <c r="I303" i="2"/>
  <c r="A303" i="2"/>
  <c r="CC302" i="2" l="1"/>
  <c r="CD302" i="2" s="1"/>
  <c r="CA302" i="2"/>
  <c r="BX302" i="2"/>
  <c r="BY302" i="2" s="1"/>
  <c r="BV302" i="2"/>
  <c r="BS302" i="2"/>
  <c r="BT302" i="2" s="1"/>
  <c r="BQ302" i="2"/>
  <c r="BN302" i="2"/>
  <c r="BO302" i="2" s="1"/>
  <c r="BL302" i="2"/>
  <c r="BI302" i="2"/>
  <c r="BJ302" i="2" s="1"/>
  <c r="BG302" i="2"/>
  <c r="BD302" i="2"/>
  <c r="BE302" i="2" s="1"/>
  <c r="BB302" i="2"/>
  <c r="AY302" i="2"/>
  <c r="AZ302" i="2" s="1"/>
  <c r="AW302" i="2"/>
  <c r="AT302" i="2"/>
  <c r="AU302" i="2" s="1"/>
  <c r="AR302" i="2"/>
  <c r="AO302" i="2"/>
  <c r="AP302" i="2" s="1"/>
  <c r="AM302" i="2"/>
  <c r="AJ302" i="2"/>
  <c r="AK302" i="2" s="1"/>
  <c r="AH302" i="2"/>
  <c r="S302" i="2"/>
  <c r="I302" i="2"/>
  <c r="A302" i="2"/>
  <c r="CC301" i="2"/>
  <c r="CD301" i="2" s="1"/>
  <c r="CA301" i="2"/>
  <c r="BX301" i="2"/>
  <c r="BY301" i="2" s="1"/>
  <c r="BV301" i="2"/>
  <c r="BS301" i="2"/>
  <c r="BT301" i="2" s="1"/>
  <c r="BQ301" i="2"/>
  <c r="BN301" i="2"/>
  <c r="BO301" i="2" s="1"/>
  <c r="BL301" i="2"/>
  <c r="BI301" i="2"/>
  <c r="BJ301" i="2" s="1"/>
  <c r="BG301" i="2"/>
  <c r="BD301" i="2"/>
  <c r="BE301" i="2" s="1"/>
  <c r="BB301" i="2"/>
  <c r="AY301" i="2"/>
  <c r="AZ301" i="2" s="1"/>
  <c r="AW301" i="2"/>
  <c r="AT301" i="2"/>
  <c r="AU301" i="2" s="1"/>
  <c r="AR301" i="2"/>
  <c r="AO301" i="2"/>
  <c r="AP301" i="2" s="1"/>
  <c r="AM301" i="2"/>
  <c r="AJ301" i="2"/>
  <c r="AK301" i="2" s="1"/>
  <c r="AH301" i="2"/>
  <c r="S301" i="2"/>
  <c r="I301" i="2"/>
  <c r="A301" i="2"/>
  <c r="CC300" i="2"/>
  <c r="CD300" i="2" s="1"/>
  <c r="CA300" i="2"/>
  <c r="BX300" i="2"/>
  <c r="BY300" i="2" s="1"/>
  <c r="BV300" i="2"/>
  <c r="BS300" i="2"/>
  <c r="BT300" i="2" s="1"/>
  <c r="BQ300" i="2"/>
  <c r="BN300" i="2"/>
  <c r="BO300" i="2" s="1"/>
  <c r="BL300" i="2"/>
  <c r="BI300" i="2"/>
  <c r="BJ300" i="2" s="1"/>
  <c r="BG300" i="2"/>
  <c r="BD300" i="2"/>
  <c r="BE300" i="2" s="1"/>
  <c r="BB300" i="2"/>
  <c r="AY300" i="2"/>
  <c r="AZ300" i="2" s="1"/>
  <c r="AW300" i="2"/>
  <c r="AT300" i="2"/>
  <c r="AU300" i="2" s="1"/>
  <c r="AR300" i="2"/>
  <c r="AO300" i="2"/>
  <c r="AP300" i="2" s="1"/>
  <c r="AM300" i="2"/>
  <c r="AJ300" i="2"/>
  <c r="AK300" i="2" s="1"/>
  <c r="AH300" i="2"/>
  <c r="S300" i="2"/>
  <c r="I300" i="2"/>
  <c r="A300" i="2"/>
  <c r="CC299" i="2"/>
  <c r="CD299" i="2" s="1"/>
  <c r="CA299" i="2"/>
  <c r="BX299" i="2"/>
  <c r="BY299" i="2" s="1"/>
  <c r="BV299" i="2"/>
  <c r="BS299" i="2"/>
  <c r="BT299" i="2" s="1"/>
  <c r="BQ299" i="2"/>
  <c r="BN299" i="2"/>
  <c r="BO299" i="2" s="1"/>
  <c r="BL299" i="2"/>
  <c r="BI299" i="2"/>
  <c r="BJ299" i="2" s="1"/>
  <c r="BG299" i="2"/>
  <c r="BD299" i="2"/>
  <c r="BE299" i="2" s="1"/>
  <c r="BB299" i="2"/>
  <c r="AY299" i="2"/>
  <c r="AZ299" i="2" s="1"/>
  <c r="AW299" i="2"/>
  <c r="AT299" i="2"/>
  <c r="AU299" i="2" s="1"/>
  <c r="AR299" i="2"/>
  <c r="AO299" i="2"/>
  <c r="AP299" i="2" s="1"/>
  <c r="AM299" i="2"/>
  <c r="AJ299" i="2"/>
  <c r="AK299" i="2" s="1"/>
  <c r="AH299" i="2"/>
  <c r="S299" i="2"/>
  <c r="I299" i="2"/>
  <c r="A299" i="2"/>
  <c r="CC298" i="2"/>
  <c r="CD298" i="2" s="1"/>
  <c r="CA298" i="2"/>
  <c r="BX298" i="2"/>
  <c r="BY298" i="2" s="1"/>
  <c r="BV298" i="2"/>
  <c r="BS298" i="2"/>
  <c r="BT298" i="2" s="1"/>
  <c r="BQ298" i="2"/>
  <c r="BN298" i="2"/>
  <c r="BO298" i="2" s="1"/>
  <c r="BL298" i="2"/>
  <c r="BI298" i="2"/>
  <c r="BJ298" i="2" s="1"/>
  <c r="BG298" i="2"/>
  <c r="BD298" i="2"/>
  <c r="BE298" i="2" s="1"/>
  <c r="BB298" i="2"/>
  <c r="AY298" i="2"/>
  <c r="AZ298" i="2" s="1"/>
  <c r="AW298" i="2"/>
  <c r="AT298" i="2"/>
  <c r="AU298" i="2" s="1"/>
  <c r="AR298" i="2"/>
  <c r="AO298" i="2"/>
  <c r="AP298" i="2" s="1"/>
  <c r="AM298" i="2"/>
  <c r="AJ298" i="2"/>
  <c r="AK298" i="2" s="1"/>
  <c r="AH298" i="2"/>
  <c r="S298" i="2"/>
  <c r="I298" i="2"/>
  <c r="A298" i="2"/>
  <c r="CC297" i="2"/>
  <c r="CD297" i="2" s="1"/>
  <c r="CA297" i="2"/>
  <c r="BX297" i="2"/>
  <c r="BY297" i="2" s="1"/>
  <c r="BV297" i="2"/>
  <c r="BS297" i="2"/>
  <c r="BT297" i="2" s="1"/>
  <c r="BQ297" i="2"/>
  <c r="BN297" i="2"/>
  <c r="BO297" i="2" s="1"/>
  <c r="BL297" i="2"/>
  <c r="BI297" i="2"/>
  <c r="BJ297" i="2" s="1"/>
  <c r="BG297" i="2"/>
  <c r="BD297" i="2"/>
  <c r="BE297" i="2" s="1"/>
  <c r="BB297" i="2"/>
  <c r="AY297" i="2"/>
  <c r="AZ297" i="2" s="1"/>
  <c r="AW297" i="2"/>
  <c r="AT297" i="2"/>
  <c r="AU297" i="2" s="1"/>
  <c r="AR297" i="2"/>
  <c r="AO297" i="2"/>
  <c r="AP297" i="2" s="1"/>
  <c r="AM297" i="2"/>
  <c r="AJ297" i="2"/>
  <c r="AK297" i="2" s="1"/>
  <c r="AH297" i="2"/>
  <c r="S297" i="2"/>
  <c r="I297" i="2"/>
  <c r="A297" i="2"/>
  <c r="CC296" i="2"/>
  <c r="CD296" i="2" s="1"/>
  <c r="CA296" i="2"/>
  <c r="BX296" i="2"/>
  <c r="BY296" i="2" s="1"/>
  <c r="BV296" i="2"/>
  <c r="BS296" i="2"/>
  <c r="BT296" i="2" s="1"/>
  <c r="BQ296" i="2"/>
  <c r="BN296" i="2"/>
  <c r="BO296" i="2" s="1"/>
  <c r="BL296" i="2"/>
  <c r="BI296" i="2"/>
  <c r="BJ296" i="2" s="1"/>
  <c r="BG296" i="2"/>
  <c r="BD296" i="2"/>
  <c r="BE296" i="2" s="1"/>
  <c r="BB296" i="2"/>
  <c r="AY296" i="2"/>
  <c r="AZ296" i="2" s="1"/>
  <c r="AW296" i="2"/>
  <c r="AT296" i="2"/>
  <c r="AU296" i="2" s="1"/>
  <c r="AR296" i="2"/>
  <c r="AO296" i="2"/>
  <c r="AP296" i="2" s="1"/>
  <c r="AM296" i="2"/>
  <c r="AJ296" i="2"/>
  <c r="AK296" i="2" s="1"/>
  <c r="AH296" i="2"/>
  <c r="S296" i="2"/>
  <c r="I296" i="2"/>
  <c r="A296" i="2"/>
  <c r="CC295" i="2"/>
  <c r="CD295" i="2" s="1"/>
  <c r="CA295" i="2"/>
  <c r="BX295" i="2"/>
  <c r="BY295" i="2" s="1"/>
  <c r="BV295" i="2"/>
  <c r="BS295" i="2"/>
  <c r="BT295" i="2" s="1"/>
  <c r="BQ295" i="2"/>
  <c r="BN295" i="2"/>
  <c r="BO295" i="2" s="1"/>
  <c r="BL295" i="2"/>
  <c r="BI295" i="2"/>
  <c r="BJ295" i="2" s="1"/>
  <c r="BG295" i="2"/>
  <c r="BD295" i="2"/>
  <c r="BE295" i="2" s="1"/>
  <c r="BB295" i="2"/>
  <c r="AY295" i="2"/>
  <c r="AZ295" i="2" s="1"/>
  <c r="AW295" i="2"/>
  <c r="AT295" i="2"/>
  <c r="AU295" i="2" s="1"/>
  <c r="AR295" i="2"/>
  <c r="AO295" i="2"/>
  <c r="AP295" i="2" s="1"/>
  <c r="AM295" i="2"/>
  <c r="AJ295" i="2"/>
  <c r="AK295" i="2" s="1"/>
  <c r="AH295" i="2"/>
  <c r="S295" i="2"/>
  <c r="I295" i="2"/>
  <c r="A295" i="2"/>
  <c r="CC294" i="2"/>
  <c r="CD294" i="2" s="1"/>
  <c r="CA294" i="2"/>
  <c r="BX294" i="2"/>
  <c r="BY294" i="2" s="1"/>
  <c r="BV294" i="2"/>
  <c r="BS294" i="2"/>
  <c r="BT294" i="2" s="1"/>
  <c r="BQ294" i="2"/>
  <c r="BN294" i="2"/>
  <c r="BO294" i="2" s="1"/>
  <c r="BL294" i="2"/>
  <c r="BI294" i="2"/>
  <c r="BJ294" i="2" s="1"/>
  <c r="BG294" i="2"/>
  <c r="BD294" i="2"/>
  <c r="BE294" i="2" s="1"/>
  <c r="BB294" i="2"/>
  <c r="AY294" i="2"/>
  <c r="AZ294" i="2" s="1"/>
  <c r="AW294" i="2"/>
  <c r="AT294" i="2"/>
  <c r="AU294" i="2" s="1"/>
  <c r="AR294" i="2"/>
  <c r="AO294" i="2"/>
  <c r="AP294" i="2" s="1"/>
  <c r="AM294" i="2"/>
  <c r="AJ294" i="2"/>
  <c r="AK294" i="2" s="1"/>
  <c r="AH294" i="2"/>
  <c r="S294" i="2"/>
  <c r="I294" i="2"/>
  <c r="A294" i="2"/>
  <c r="CC293" i="2"/>
  <c r="CD293" i="2" s="1"/>
  <c r="CA293" i="2"/>
  <c r="BX293" i="2"/>
  <c r="BY293" i="2" s="1"/>
  <c r="BV293" i="2"/>
  <c r="BS293" i="2"/>
  <c r="BT293" i="2" s="1"/>
  <c r="BQ293" i="2"/>
  <c r="BN293" i="2"/>
  <c r="BO293" i="2" s="1"/>
  <c r="BL293" i="2"/>
  <c r="BI293" i="2"/>
  <c r="BJ293" i="2" s="1"/>
  <c r="BG293" i="2"/>
  <c r="BD293" i="2"/>
  <c r="BE293" i="2" s="1"/>
  <c r="BB293" i="2"/>
  <c r="AY293" i="2"/>
  <c r="AZ293" i="2" s="1"/>
  <c r="AW293" i="2"/>
  <c r="AT293" i="2"/>
  <c r="AU293" i="2" s="1"/>
  <c r="AR293" i="2"/>
  <c r="AO293" i="2"/>
  <c r="AP293" i="2" s="1"/>
  <c r="AM293" i="2"/>
  <c r="AJ293" i="2"/>
  <c r="AK293" i="2" s="1"/>
  <c r="AH293" i="2"/>
  <c r="S293" i="2"/>
  <c r="I293" i="2"/>
  <c r="A293" i="2"/>
  <c r="CC292" i="2"/>
  <c r="CD292" i="2" s="1"/>
  <c r="CA292" i="2"/>
  <c r="BX292" i="2"/>
  <c r="BY292" i="2" s="1"/>
  <c r="BV292" i="2"/>
  <c r="BS292" i="2"/>
  <c r="BT292" i="2" s="1"/>
  <c r="BQ292" i="2"/>
  <c r="BN292" i="2"/>
  <c r="BO292" i="2" s="1"/>
  <c r="BL292" i="2"/>
  <c r="BI292" i="2"/>
  <c r="BJ292" i="2" s="1"/>
  <c r="BG292" i="2"/>
  <c r="BD292" i="2"/>
  <c r="BE292" i="2" s="1"/>
  <c r="BB292" i="2"/>
  <c r="AY292" i="2"/>
  <c r="AZ292" i="2" s="1"/>
  <c r="AW292" i="2"/>
  <c r="AT292" i="2"/>
  <c r="AU292" i="2" s="1"/>
  <c r="AR292" i="2"/>
  <c r="AO292" i="2"/>
  <c r="AP292" i="2" s="1"/>
  <c r="AM292" i="2"/>
  <c r="AJ292" i="2"/>
  <c r="AK292" i="2" s="1"/>
  <c r="AH292" i="2"/>
  <c r="S292" i="2"/>
  <c r="I292" i="2"/>
  <c r="A292" i="2"/>
  <c r="CC291" i="2"/>
  <c r="CD291" i="2" s="1"/>
  <c r="CA291" i="2"/>
  <c r="BX291" i="2"/>
  <c r="BY291" i="2" s="1"/>
  <c r="BV291" i="2"/>
  <c r="BS291" i="2"/>
  <c r="BT291" i="2" s="1"/>
  <c r="BQ291" i="2"/>
  <c r="BN291" i="2"/>
  <c r="BO291" i="2" s="1"/>
  <c r="BL291" i="2"/>
  <c r="BI291" i="2"/>
  <c r="BJ291" i="2" s="1"/>
  <c r="BG291" i="2"/>
  <c r="BD291" i="2"/>
  <c r="BE291" i="2" s="1"/>
  <c r="BB291" i="2"/>
  <c r="AY291" i="2"/>
  <c r="AZ291" i="2" s="1"/>
  <c r="AW291" i="2"/>
  <c r="AT291" i="2"/>
  <c r="AU291" i="2" s="1"/>
  <c r="AR291" i="2"/>
  <c r="AO291" i="2"/>
  <c r="AP291" i="2" s="1"/>
  <c r="AM291" i="2"/>
  <c r="AJ291" i="2"/>
  <c r="AK291" i="2" s="1"/>
  <c r="AH291" i="2"/>
  <c r="S291" i="2"/>
  <c r="I291" i="2"/>
  <c r="A291" i="2"/>
  <c r="CC290" i="2"/>
  <c r="CD290" i="2" s="1"/>
  <c r="CA290" i="2"/>
  <c r="BX290" i="2"/>
  <c r="BY290" i="2" s="1"/>
  <c r="BV290" i="2"/>
  <c r="BS290" i="2"/>
  <c r="BT290" i="2" s="1"/>
  <c r="BQ290" i="2"/>
  <c r="BN290" i="2"/>
  <c r="BO290" i="2" s="1"/>
  <c r="BL290" i="2"/>
  <c r="BI290" i="2"/>
  <c r="BJ290" i="2" s="1"/>
  <c r="BG290" i="2"/>
  <c r="BD290" i="2"/>
  <c r="BE290" i="2" s="1"/>
  <c r="BB290" i="2"/>
  <c r="AY290" i="2"/>
  <c r="AZ290" i="2" s="1"/>
  <c r="AW290" i="2"/>
  <c r="AT290" i="2"/>
  <c r="AU290" i="2" s="1"/>
  <c r="AR290" i="2"/>
  <c r="AO290" i="2"/>
  <c r="AP290" i="2" s="1"/>
  <c r="AM290" i="2"/>
  <c r="AJ290" i="2"/>
  <c r="AK290" i="2" s="1"/>
  <c r="AH290" i="2"/>
  <c r="S290" i="2"/>
  <c r="I290" i="2"/>
  <c r="A290" i="2"/>
  <c r="CC289" i="2"/>
  <c r="CD289" i="2" s="1"/>
  <c r="CA289" i="2"/>
  <c r="BX289" i="2"/>
  <c r="BY289" i="2" s="1"/>
  <c r="BV289" i="2"/>
  <c r="BS289" i="2"/>
  <c r="BT289" i="2" s="1"/>
  <c r="BQ289" i="2"/>
  <c r="BN289" i="2"/>
  <c r="BO289" i="2" s="1"/>
  <c r="BL289" i="2"/>
  <c r="BI289" i="2"/>
  <c r="BJ289" i="2" s="1"/>
  <c r="BG289" i="2"/>
  <c r="BD289" i="2"/>
  <c r="BE289" i="2" s="1"/>
  <c r="BB289" i="2"/>
  <c r="AY289" i="2"/>
  <c r="AZ289" i="2" s="1"/>
  <c r="AW289" i="2"/>
  <c r="AT289" i="2"/>
  <c r="AU289" i="2" s="1"/>
  <c r="AR289" i="2"/>
  <c r="AO289" i="2"/>
  <c r="AP289" i="2" s="1"/>
  <c r="AM289" i="2"/>
  <c r="AJ289" i="2"/>
  <c r="AK289" i="2" s="1"/>
  <c r="AH289" i="2"/>
  <c r="S289" i="2"/>
  <c r="I289" i="2"/>
  <c r="A289" i="2"/>
  <c r="CC288" i="2"/>
  <c r="CD288" i="2" s="1"/>
  <c r="CA288" i="2"/>
  <c r="BX288" i="2"/>
  <c r="BY288" i="2" s="1"/>
  <c r="BV288" i="2"/>
  <c r="BS288" i="2"/>
  <c r="BT288" i="2" s="1"/>
  <c r="BQ288" i="2"/>
  <c r="BN288" i="2"/>
  <c r="BO288" i="2" s="1"/>
  <c r="BL288" i="2"/>
  <c r="BI288" i="2"/>
  <c r="BJ288" i="2" s="1"/>
  <c r="BG288" i="2"/>
  <c r="BD288" i="2"/>
  <c r="BE288" i="2" s="1"/>
  <c r="BB288" i="2"/>
  <c r="AY288" i="2"/>
  <c r="AZ288" i="2" s="1"/>
  <c r="AW288" i="2"/>
  <c r="AT288" i="2"/>
  <c r="AU288" i="2" s="1"/>
  <c r="AR288" i="2"/>
  <c r="AO288" i="2"/>
  <c r="AP288" i="2" s="1"/>
  <c r="AM288" i="2"/>
  <c r="AJ288" i="2"/>
  <c r="AK288" i="2" s="1"/>
  <c r="AH288" i="2"/>
  <c r="S288" i="2"/>
  <c r="I288" i="2"/>
  <c r="A288" i="2"/>
  <c r="CC287" i="2"/>
  <c r="CD287" i="2" s="1"/>
  <c r="CA287" i="2"/>
  <c r="BX287" i="2"/>
  <c r="BY287" i="2" s="1"/>
  <c r="BV287" i="2"/>
  <c r="BS287" i="2"/>
  <c r="BT287" i="2" s="1"/>
  <c r="BQ287" i="2"/>
  <c r="BN287" i="2"/>
  <c r="BO287" i="2" s="1"/>
  <c r="BL287" i="2"/>
  <c r="BI287" i="2"/>
  <c r="BJ287" i="2" s="1"/>
  <c r="BG287" i="2"/>
  <c r="BD287" i="2"/>
  <c r="BE287" i="2" s="1"/>
  <c r="BB287" i="2"/>
  <c r="AY287" i="2"/>
  <c r="AZ287" i="2" s="1"/>
  <c r="AW287" i="2"/>
  <c r="AT287" i="2"/>
  <c r="AU287" i="2" s="1"/>
  <c r="AR287" i="2"/>
  <c r="AO287" i="2"/>
  <c r="AP287" i="2" s="1"/>
  <c r="AM287" i="2"/>
  <c r="AJ287" i="2"/>
  <c r="AK287" i="2" s="1"/>
  <c r="AH287" i="2"/>
  <c r="S287" i="2"/>
  <c r="I287" i="2"/>
  <c r="A287" i="2"/>
  <c r="CC286" i="2"/>
  <c r="CD286" i="2" s="1"/>
  <c r="CA286" i="2"/>
  <c r="BX286" i="2"/>
  <c r="BY286" i="2" s="1"/>
  <c r="BV286" i="2"/>
  <c r="BS286" i="2"/>
  <c r="BT286" i="2" s="1"/>
  <c r="BQ286" i="2"/>
  <c r="BN286" i="2"/>
  <c r="BO286" i="2" s="1"/>
  <c r="BL286" i="2"/>
  <c r="BI286" i="2"/>
  <c r="BJ286" i="2" s="1"/>
  <c r="BG286" i="2"/>
  <c r="BD286" i="2"/>
  <c r="BE286" i="2" s="1"/>
  <c r="BB286" i="2"/>
  <c r="AY286" i="2"/>
  <c r="AZ286" i="2" s="1"/>
  <c r="AW286" i="2"/>
  <c r="AT286" i="2"/>
  <c r="AU286" i="2" s="1"/>
  <c r="AR286" i="2"/>
  <c r="AO286" i="2"/>
  <c r="AP286" i="2" s="1"/>
  <c r="AM286" i="2"/>
  <c r="AJ286" i="2"/>
  <c r="AK286" i="2" s="1"/>
  <c r="AH286" i="2"/>
  <c r="S286" i="2"/>
  <c r="I286" i="2"/>
  <c r="A286" i="2"/>
  <c r="CC285" i="2"/>
  <c r="CD285" i="2" s="1"/>
  <c r="CA285" i="2"/>
  <c r="BX285" i="2"/>
  <c r="BY285" i="2" s="1"/>
  <c r="BV285" i="2"/>
  <c r="BS285" i="2"/>
  <c r="BT285" i="2" s="1"/>
  <c r="BQ285" i="2"/>
  <c r="BN285" i="2"/>
  <c r="BO285" i="2" s="1"/>
  <c r="BL285" i="2"/>
  <c r="BI285" i="2"/>
  <c r="BJ285" i="2" s="1"/>
  <c r="BG285" i="2"/>
  <c r="BD285" i="2"/>
  <c r="BE285" i="2" s="1"/>
  <c r="BB285" i="2"/>
  <c r="AY285" i="2"/>
  <c r="AZ285" i="2" s="1"/>
  <c r="AW285" i="2"/>
  <c r="AT285" i="2"/>
  <c r="AU285" i="2" s="1"/>
  <c r="AR285" i="2"/>
  <c r="AO285" i="2"/>
  <c r="AP285" i="2" s="1"/>
  <c r="AM285" i="2"/>
  <c r="AJ285" i="2"/>
  <c r="AK285" i="2" s="1"/>
  <c r="AH285" i="2"/>
  <c r="S285" i="2"/>
  <c r="I285" i="2"/>
  <c r="A285" i="2"/>
  <c r="CC284" i="2"/>
  <c r="CD284" i="2" s="1"/>
  <c r="CA284" i="2"/>
  <c r="BX284" i="2"/>
  <c r="BY284" i="2" s="1"/>
  <c r="BV284" i="2"/>
  <c r="BS284" i="2"/>
  <c r="BT284" i="2" s="1"/>
  <c r="BQ284" i="2"/>
  <c r="BN284" i="2"/>
  <c r="BO284" i="2" s="1"/>
  <c r="BL284" i="2"/>
  <c r="BI284" i="2"/>
  <c r="BJ284" i="2" s="1"/>
  <c r="BG284" i="2"/>
  <c r="BD284" i="2"/>
  <c r="BE284" i="2" s="1"/>
  <c r="BB284" i="2"/>
  <c r="AY284" i="2"/>
  <c r="AZ284" i="2" s="1"/>
  <c r="AW284" i="2"/>
  <c r="AT284" i="2"/>
  <c r="AU284" i="2" s="1"/>
  <c r="AR284" i="2"/>
  <c r="AO284" i="2"/>
  <c r="AP284" i="2" s="1"/>
  <c r="AM284" i="2"/>
  <c r="AJ284" i="2"/>
  <c r="AK284" i="2" s="1"/>
  <c r="AH284" i="2"/>
  <c r="S284" i="2"/>
  <c r="I284" i="2"/>
  <c r="A284" i="2"/>
  <c r="CC283" i="2"/>
  <c r="CD283" i="2" s="1"/>
  <c r="CA283" i="2"/>
  <c r="BX283" i="2"/>
  <c r="BY283" i="2" s="1"/>
  <c r="BV283" i="2"/>
  <c r="BS283" i="2"/>
  <c r="BT283" i="2" s="1"/>
  <c r="BQ283" i="2"/>
  <c r="BN283" i="2"/>
  <c r="BO283" i="2" s="1"/>
  <c r="BL283" i="2"/>
  <c r="BI283" i="2"/>
  <c r="BJ283" i="2" s="1"/>
  <c r="BG283" i="2"/>
  <c r="BD283" i="2"/>
  <c r="BE283" i="2" s="1"/>
  <c r="BB283" i="2"/>
  <c r="AY283" i="2"/>
  <c r="AZ283" i="2" s="1"/>
  <c r="AW283" i="2"/>
  <c r="AT283" i="2"/>
  <c r="AU283" i="2" s="1"/>
  <c r="AR283" i="2"/>
  <c r="AO283" i="2"/>
  <c r="AP283" i="2" s="1"/>
  <c r="AM283" i="2"/>
  <c r="AJ283" i="2"/>
  <c r="AK283" i="2" s="1"/>
  <c r="AH283" i="2"/>
  <c r="S283" i="2"/>
  <c r="I283" i="2"/>
  <c r="A283" i="2"/>
  <c r="CC282" i="2"/>
  <c r="CD282" i="2" s="1"/>
  <c r="CA282" i="2"/>
  <c r="BX282" i="2"/>
  <c r="BY282" i="2" s="1"/>
  <c r="BV282" i="2"/>
  <c r="BS282" i="2"/>
  <c r="BT282" i="2" s="1"/>
  <c r="BQ282" i="2"/>
  <c r="BN282" i="2"/>
  <c r="BO282" i="2" s="1"/>
  <c r="BL282" i="2"/>
  <c r="BI282" i="2"/>
  <c r="BJ282" i="2" s="1"/>
  <c r="BG282" i="2"/>
  <c r="BD282" i="2"/>
  <c r="BE282" i="2" s="1"/>
  <c r="BB282" i="2"/>
  <c r="AY282" i="2"/>
  <c r="AZ282" i="2" s="1"/>
  <c r="AW282" i="2"/>
  <c r="AT282" i="2"/>
  <c r="AU282" i="2" s="1"/>
  <c r="AR282" i="2"/>
  <c r="AO282" i="2"/>
  <c r="AP282" i="2" s="1"/>
  <c r="AM282" i="2"/>
  <c r="AJ282" i="2"/>
  <c r="AK282" i="2" s="1"/>
  <c r="AH282" i="2"/>
  <c r="S282" i="2"/>
  <c r="I282" i="2"/>
  <c r="A282" i="2"/>
  <c r="CC281" i="2"/>
  <c r="CD281" i="2" s="1"/>
  <c r="CA281" i="2"/>
  <c r="BX281" i="2"/>
  <c r="BY281" i="2" s="1"/>
  <c r="BV281" i="2"/>
  <c r="BS281" i="2"/>
  <c r="BT281" i="2" s="1"/>
  <c r="BQ281" i="2"/>
  <c r="BN281" i="2"/>
  <c r="BO281" i="2" s="1"/>
  <c r="BL281" i="2"/>
  <c r="BI281" i="2"/>
  <c r="BJ281" i="2" s="1"/>
  <c r="BG281" i="2"/>
  <c r="BD281" i="2"/>
  <c r="BE281" i="2" s="1"/>
  <c r="BB281" i="2"/>
  <c r="AY281" i="2"/>
  <c r="AZ281" i="2" s="1"/>
  <c r="AW281" i="2"/>
  <c r="AT281" i="2"/>
  <c r="AU281" i="2" s="1"/>
  <c r="AR281" i="2"/>
  <c r="AO281" i="2"/>
  <c r="AP281" i="2" s="1"/>
  <c r="AM281" i="2"/>
  <c r="AJ281" i="2"/>
  <c r="AK281" i="2" s="1"/>
  <c r="AH281" i="2"/>
  <c r="S281" i="2"/>
  <c r="I281" i="2"/>
  <c r="A281" i="2"/>
  <c r="CC280" i="2"/>
  <c r="CD280" i="2" s="1"/>
  <c r="CA280" i="2"/>
  <c r="BX280" i="2"/>
  <c r="BY280" i="2" s="1"/>
  <c r="BV280" i="2"/>
  <c r="BS280" i="2"/>
  <c r="BT280" i="2" s="1"/>
  <c r="BQ280" i="2"/>
  <c r="BN280" i="2"/>
  <c r="BO280" i="2" s="1"/>
  <c r="BL280" i="2"/>
  <c r="BI280" i="2"/>
  <c r="BJ280" i="2" s="1"/>
  <c r="BG280" i="2"/>
  <c r="BD280" i="2"/>
  <c r="BE280" i="2" s="1"/>
  <c r="BB280" i="2"/>
  <c r="AY280" i="2"/>
  <c r="AZ280" i="2" s="1"/>
  <c r="AW280" i="2"/>
  <c r="AT280" i="2"/>
  <c r="AU280" i="2" s="1"/>
  <c r="AR280" i="2"/>
  <c r="AO280" i="2"/>
  <c r="AP280" i="2" s="1"/>
  <c r="AM280" i="2"/>
  <c r="AJ280" i="2"/>
  <c r="AK280" i="2" s="1"/>
  <c r="AH280" i="2"/>
  <c r="S280" i="2"/>
  <c r="I280" i="2"/>
  <c r="A280" i="2"/>
  <c r="CC279" i="2"/>
  <c r="CD279" i="2" s="1"/>
  <c r="CA279" i="2"/>
  <c r="BX279" i="2"/>
  <c r="BY279" i="2" s="1"/>
  <c r="BV279" i="2"/>
  <c r="BS279" i="2"/>
  <c r="BT279" i="2" s="1"/>
  <c r="BQ279" i="2"/>
  <c r="BN279" i="2"/>
  <c r="BO279" i="2" s="1"/>
  <c r="BL279" i="2"/>
  <c r="BI279" i="2"/>
  <c r="BJ279" i="2" s="1"/>
  <c r="BG279" i="2"/>
  <c r="BD279" i="2"/>
  <c r="BE279" i="2" s="1"/>
  <c r="BB279" i="2"/>
  <c r="AY279" i="2"/>
  <c r="AZ279" i="2" s="1"/>
  <c r="AW279" i="2"/>
  <c r="AT279" i="2"/>
  <c r="AU279" i="2" s="1"/>
  <c r="AR279" i="2"/>
  <c r="AO279" i="2"/>
  <c r="AP279" i="2" s="1"/>
  <c r="AM279" i="2"/>
  <c r="AJ279" i="2"/>
  <c r="AK279" i="2" s="1"/>
  <c r="AH279" i="2"/>
  <c r="AE279" i="2"/>
  <c r="AF279" i="2" s="1"/>
  <c r="AC279" i="2"/>
  <c r="S279" i="2"/>
  <c r="I279" i="2"/>
  <c r="A279" i="2"/>
  <c r="CC278" i="2"/>
  <c r="CD278" i="2" s="1"/>
  <c r="CA278" i="2"/>
  <c r="BX278" i="2"/>
  <c r="BY278" i="2" s="1"/>
  <c r="BV278" i="2"/>
  <c r="BS278" i="2"/>
  <c r="BT278" i="2" s="1"/>
  <c r="BQ278" i="2"/>
  <c r="BN278" i="2"/>
  <c r="BO278" i="2" s="1"/>
  <c r="BL278" i="2"/>
  <c r="BI278" i="2"/>
  <c r="BJ278" i="2" s="1"/>
  <c r="BG278" i="2"/>
  <c r="BD278" i="2"/>
  <c r="BE278" i="2" s="1"/>
  <c r="BB278" i="2"/>
  <c r="AY278" i="2"/>
  <c r="AZ278" i="2" s="1"/>
  <c r="AW278" i="2"/>
  <c r="AT278" i="2"/>
  <c r="AU278" i="2" s="1"/>
  <c r="AR278" i="2"/>
  <c r="AO278" i="2"/>
  <c r="AP278" i="2" s="1"/>
  <c r="AM278" i="2"/>
  <c r="AJ278" i="2"/>
  <c r="AK278" i="2" s="1"/>
  <c r="AH278" i="2"/>
  <c r="S278" i="2"/>
  <c r="I278" i="2"/>
  <c r="A278" i="2"/>
  <c r="CC277" i="2"/>
  <c r="CD277" i="2" s="1"/>
  <c r="CA277" i="2"/>
  <c r="BX277" i="2"/>
  <c r="BY277" i="2" s="1"/>
  <c r="BV277" i="2"/>
  <c r="BS277" i="2"/>
  <c r="BT277" i="2" s="1"/>
  <c r="BQ277" i="2"/>
  <c r="BN277" i="2"/>
  <c r="BO277" i="2" s="1"/>
  <c r="BL277" i="2"/>
  <c r="BI277" i="2"/>
  <c r="BJ277" i="2" s="1"/>
  <c r="BG277" i="2"/>
  <c r="BD277" i="2"/>
  <c r="BE277" i="2" s="1"/>
  <c r="BB277" i="2"/>
  <c r="AY277" i="2"/>
  <c r="AZ277" i="2" s="1"/>
  <c r="AW277" i="2"/>
  <c r="AT277" i="2"/>
  <c r="AU277" i="2" s="1"/>
  <c r="AR277" i="2"/>
  <c r="AO277" i="2"/>
  <c r="AP277" i="2" s="1"/>
  <c r="AM277" i="2"/>
  <c r="AJ277" i="2"/>
  <c r="AK277" i="2" s="1"/>
  <c r="AH277" i="2"/>
  <c r="S277" i="2"/>
  <c r="I277" i="2"/>
  <c r="A277" i="2"/>
  <c r="CC276" i="2"/>
  <c r="CD276" i="2" s="1"/>
  <c r="CA276" i="2"/>
  <c r="BX276" i="2"/>
  <c r="BY276" i="2" s="1"/>
  <c r="BV276" i="2"/>
  <c r="BS276" i="2"/>
  <c r="BT276" i="2" s="1"/>
  <c r="BQ276" i="2"/>
  <c r="BN276" i="2"/>
  <c r="BO276" i="2" s="1"/>
  <c r="BL276" i="2"/>
  <c r="BI276" i="2"/>
  <c r="BJ276" i="2" s="1"/>
  <c r="BG276" i="2"/>
  <c r="BD276" i="2"/>
  <c r="BE276" i="2" s="1"/>
  <c r="BB276" i="2"/>
  <c r="AY276" i="2"/>
  <c r="AZ276" i="2" s="1"/>
  <c r="AW276" i="2"/>
  <c r="AT276" i="2"/>
  <c r="AU276" i="2" s="1"/>
  <c r="AR276" i="2"/>
  <c r="AO276" i="2"/>
  <c r="AP276" i="2" s="1"/>
  <c r="AM276" i="2"/>
  <c r="AJ276" i="2"/>
  <c r="AK276" i="2" s="1"/>
  <c r="AH276" i="2"/>
  <c r="AE276" i="2"/>
  <c r="AF276" i="2" s="1"/>
  <c r="AC276" i="2"/>
  <c r="S276" i="2"/>
  <c r="I276" i="2"/>
  <c r="A276" i="2"/>
  <c r="CC275" i="2"/>
  <c r="CD275" i="2" s="1"/>
  <c r="CA275" i="2"/>
  <c r="BX275" i="2"/>
  <c r="BY275" i="2" s="1"/>
  <c r="BV275" i="2"/>
  <c r="BS275" i="2"/>
  <c r="BT275" i="2" s="1"/>
  <c r="BQ275" i="2"/>
  <c r="BN275" i="2"/>
  <c r="BO275" i="2" s="1"/>
  <c r="BL275" i="2"/>
  <c r="BI275" i="2"/>
  <c r="BJ275" i="2" s="1"/>
  <c r="BG275" i="2"/>
  <c r="BD275" i="2"/>
  <c r="BE275" i="2" s="1"/>
  <c r="BB275" i="2"/>
  <c r="AY275" i="2"/>
  <c r="AZ275" i="2" s="1"/>
  <c r="AW275" i="2"/>
  <c r="AT275" i="2"/>
  <c r="AU275" i="2" s="1"/>
  <c r="AR275" i="2"/>
  <c r="AO275" i="2"/>
  <c r="AP275" i="2" s="1"/>
  <c r="AM275" i="2"/>
  <c r="AJ275" i="2"/>
  <c r="AK275" i="2" s="1"/>
  <c r="AH275" i="2"/>
  <c r="S275" i="2"/>
  <c r="I275" i="2"/>
  <c r="A275" i="2"/>
  <c r="CC274" i="2"/>
  <c r="CD274" i="2" s="1"/>
  <c r="CA274" i="2"/>
  <c r="BX274" i="2"/>
  <c r="BY274" i="2" s="1"/>
  <c r="BV274" i="2"/>
  <c r="BS274" i="2"/>
  <c r="BT274" i="2" s="1"/>
  <c r="BQ274" i="2"/>
  <c r="BN274" i="2"/>
  <c r="BO274" i="2" s="1"/>
  <c r="BL274" i="2"/>
  <c r="BI274" i="2"/>
  <c r="BJ274" i="2" s="1"/>
  <c r="BG274" i="2"/>
  <c r="BD274" i="2"/>
  <c r="BE274" i="2" s="1"/>
  <c r="BB274" i="2"/>
  <c r="AY274" i="2"/>
  <c r="AZ274" i="2" s="1"/>
  <c r="AW274" i="2"/>
  <c r="AT274" i="2"/>
  <c r="AU274" i="2" s="1"/>
  <c r="AR274" i="2"/>
  <c r="AO274" i="2"/>
  <c r="AP274" i="2" s="1"/>
  <c r="AM274" i="2"/>
  <c r="AJ274" i="2"/>
  <c r="AK274" i="2" s="1"/>
  <c r="AH274" i="2"/>
  <c r="AE274" i="2"/>
  <c r="AF274" i="2" s="1"/>
  <c r="AC274" i="2"/>
  <c r="S274" i="2"/>
  <c r="I274" i="2"/>
  <c r="A274" i="2"/>
  <c r="CC273" i="2"/>
  <c r="CD273" i="2" s="1"/>
  <c r="CA273" i="2"/>
  <c r="BX273" i="2"/>
  <c r="BY273" i="2" s="1"/>
  <c r="BV273" i="2"/>
  <c r="BS273" i="2"/>
  <c r="BT273" i="2" s="1"/>
  <c r="BQ273" i="2"/>
  <c r="BN273" i="2"/>
  <c r="BO273" i="2" s="1"/>
  <c r="BL273" i="2"/>
  <c r="BI273" i="2"/>
  <c r="BJ273" i="2" s="1"/>
  <c r="BG273" i="2"/>
  <c r="BD273" i="2"/>
  <c r="BE273" i="2" s="1"/>
  <c r="BB273" i="2"/>
  <c r="AY273" i="2"/>
  <c r="AZ273" i="2" s="1"/>
  <c r="AW273" i="2"/>
  <c r="AT273" i="2"/>
  <c r="AU273" i="2" s="1"/>
  <c r="AR273" i="2"/>
  <c r="AO273" i="2"/>
  <c r="AP273" i="2" s="1"/>
  <c r="AM273" i="2"/>
  <c r="AJ273" i="2"/>
  <c r="AK273" i="2" s="1"/>
  <c r="AH273" i="2"/>
  <c r="AE273" i="2"/>
  <c r="AF273" i="2" s="1"/>
  <c r="AC273" i="2"/>
  <c r="S273" i="2"/>
  <c r="I273" i="2"/>
  <c r="A273" i="2"/>
  <c r="CC272" i="2"/>
  <c r="CD272" i="2" s="1"/>
  <c r="CA272" i="2"/>
  <c r="BX272" i="2"/>
  <c r="BY272" i="2" s="1"/>
  <c r="BV272" i="2"/>
  <c r="BS272" i="2"/>
  <c r="BT272" i="2" s="1"/>
  <c r="BQ272" i="2"/>
  <c r="BN272" i="2"/>
  <c r="BO272" i="2" s="1"/>
  <c r="BL272" i="2"/>
  <c r="BI272" i="2"/>
  <c r="BJ272" i="2" s="1"/>
  <c r="BG272" i="2"/>
  <c r="BD272" i="2"/>
  <c r="BE272" i="2" s="1"/>
  <c r="BB272" i="2"/>
  <c r="AY272" i="2"/>
  <c r="AZ272" i="2" s="1"/>
  <c r="AW272" i="2"/>
  <c r="AT272" i="2"/>
  <c r="AU272" i="2" s="1"/>
  <c r="AR272" i="2"/>
  <c r="AO272" i="2"/>
  <c r="AP272" i="2" s="1"/>
  <c r="AM272" i="2"/>
  <c r="AJ272" i="2"/>
  <c r="AK272" i="2" s="1"/>
  <c r="AH272" i="2"/>
  <c r="S272" i="2"/>
  <c r="I272" i="2"/>
  <c r="A272" i="2"/>
  <c r="CC271" i="2"/>
  <c r="CD271" i="2" s="1"/>
  <c r="CA271" i="2"/>
  <c r="BX271" i="2"/>
  <c r="BY271" i="2" s="1"/>
  <c r="BV271" i="2"/>
  <c r="BS271" i="2"/>
  <c r="BT271" i="2" s="1"/>
  <c r="BQ271" i="2"/>
  <c r="BN271" i="2"/>
  <c r="BO271" i="2" s="1"/>
  <c r="BL271" i="2"/>
  <c r="BI271" i="2"/>
  <c r="BJ271" i="2" s="1"/>
  <c r="BG271" i="2"/>
  <c r="BD271" i="2"/>
  <c r="BE271" i="2" s="1"/>
  <c r="BB271" i="2"/>
  <c r="AY271" i="2"/>
  <c r="AZ271" i="2" s="1"/>
  <c r="AW271" i="2"/>
  <c r="AT271" i="2"/>
  <c r="AU271" i="2" s="1"/>
  <c r="AR271" i="2"/>
  <c r="AO271" i="2"/>
  <c r="AP271" i="2" s="1"/>
  <c r="AM271" i="2"/>
  <c r="AJ271" i="2"/>
  <c r="AK271" i="2" s="1"/>
  <c r="AH271" i="2"/>
  <c r="AE271" i="2"/>
  <c r="AF271" i="2" s="1"/>
  <c r="AC271" i="2"/>
  <c r="S271" i="2"/>
  <c r="I271" i="2"/>
  <c r="A271" i="2"/>
  <c r="CC270" i="2"/>
  <c r="CD270" i="2" s="1"/>
  <c r="CA270" i="2"/>
  <c r="BX270" i="2"/>
  <c r="BY270" i="2" s="1"/>
  <c r="BV270" i="2"/>
  <c r="BS270" i="2"/>
  <c r="BT270" i="2" s="1"/>
  <c r="BQ270" i="2"/>
  <c r="BN270" i="2"/>
  <c r="BO270" i="2" s="1"/>
  <c r="BL270" i="2"/>
  <c r="BI270" i="2"/>
  <c r="BJ270" i="2" s="1"/>
  <c r="BG270" i="2"/>
  <c r="BD270" i="2"/>
  <c r="BE270" i="2" s="1"/>
  <c r="BB270" i="2"/>
  <c r="AY270" i="2"/>
  <c r="AZ270" i="2" s="1"/>
  <c r="AW270" i="2"/>
  <c r="AT270" i="2"/>
  <c r="AU270" i="2" s="1"/>
  <c r="AR270" i="2"/>
  <c r="AO270" i="2"/>
  <c r="AP270" i="2" s="1"/>
  <c r="AM270" i="2"/>
  <c r="AJ270" i="2"/>
  <c r="AK270" i="2" s="1"/>
  <c r="AH270" i="2"/>
  <c r="S270" i="2"/>
  <c r="I270" i="2"/>
  <c r="A270" i="2"/>
  <c r="CC269" i="2"/>
  <c r="CD269" i="2" s="1"/>
  <c r="CA269" i="2"/>
  <c r="BX269" i="2"/>
  <c r="BY269" i="2" s="1"/>
  <c r="BV269" i="2"/>
  <c r="BS269" i="2"/>
  <c r="BT269" i="2" s="1"/>
  <c r="BQ269" i="2"/>
  <c r="BN269" i="2"/>
  <c r="BO269" i="2" s="1"/>
  <c r="BL269" i="2"/>
  <c r="BI269" i="2"/>
  <c r="BJ269" i="2" s="1"/>
  <c r="BG269" i="2"/>
  <c r="BD269" i="2"/>
  <c r="BE269" i="2" s="1"/>
  <c r="BB269" i="2"/>
  <c r="AY269" i="2"/>
  <c r="AZ269" i="2" s="1"/>
  <c r="AW269" i="2"/>
  <c r="AT269" i="2"/>
  <c r="AU269" i="2" s="1"/>
  <c r="AR269" i="2"/>
  <c r="AO269" i="2"/>
  <c r="AP269" i="2" s="1"/>
  <c r="AM269" i="2"/>
  <c r="AJ269" i="2"/>
  <c r="AK269" i="2" s="1"/>
  <c r="AH269" i="2"/>
  <c r="AE269" i="2"/>
  <c r="AF269" i="2" s="1"/>
  <c r="AC269" i="2"/>
  <c r="S269" i="2"/>
  <c r="I269" i="2"/>
  <c r="A269" i="2"/>
  <c r="CC268" i="2"/>
  <c r="CD268" i="2" s="1"/>
  <c r="CA268" i="2"/>
  <c r="BX268" i="2"/>
  <c r="BY268" i="2" s="1"/>
  <c r="BV268" i="2"/>
  <c r="BS268" i="2"/>
  <c r="BT268" i="2" s="1"/>
  <c r="BQ268" i="2"/>
  <c r="BN268" i="2"/>
  <c r="BO268" i="2" s="1"/>
  <c r="BL268" i="2"/>
  <c r="BI268" i="2"/>
  <c r="BJ268" i="2" s="1"/>
  <c r="BG268" i="2"/>
  <c r="BD268" i="2"/>
  <c r="BE268" i="2" s="1"/>
  <c r="BB268" i="2"/>
  <c r="AY268" i="2"/>
  <c r="AZ268" i="2" s="1"/>
  <c r="AW268" i="2"/>
  <c r="AT268" i="2"/>
  <c r="AU268" i="2" s="1"/>
  <c r="AR268" i="2"/>
  <c r="AO268" i="2"/>
  <c r="AP268" i="2" s="1"/>
  <c r="AM268" i="2"/>
  <c r="AJ268" i="2"/>
  <c r="AK268" i="2" s="1"/>
  <c r="AH268" i="2"/>
  <c r="S268" i="2"/>
  <c r="I268" i="2"/>
  <c r="A268" i="2"/>
  <c r="CC267" i="2"/>
  <c r="CD267" i="2" s="1"/>
  <c r="CA267" i="2"/>
  <c r="BX267" i="2"/>
  <c r="BY267" i="2" s="1"/>
  <c r="BV267" i="2"/>
  <c r="BS267" i="2"/>
  <c r="BT267" i="2" s="1"/>
  <c r="BQ267" i="2"/>
  <c r="BN267" i="2"/>
  <c r="BO267" i="2" s="1"/>
  <c r="BL267" i="2"/>
  <c r="BI267" i="2"/>
  <c r="BJ267" i="2" s="1"/>
  <c r="BG267" i="2"/>
  <c r="BD267" i="2"/>
  <c r="BE267" i="2" s="1"/>
  <c r="BB267" i="2"/>
  <c r="AY267" i="2"/>
  <c r="AZ267" i="2" s="1"/>
  <c r="AW267" i="2"/>
  <c r="AT267" i="2"/>
  <c r="AU267" i="2" s="1"/>
  <c r="AR267" i="2"/>
  <c r="AO267" i="2"/>
  <c r="AP267" i="2" s="1"/>
  <c r="AM267" i="2"/>
  <c r="AJ267" i="2"/>
  <c r="AK267" i="2" s="1"/>
  <c r="AH267" i="2"/>
  <c r="AE267" i="2"/>
  <c r="AF267" i="2" s="1"/>
  <c r="AC267" i="2"/>
  <c r="S267" i="2"/>
  <c r="I267" i="2"/>
  <c r="A267" i="2"/>
  <c r="CC266" i="2"/>
  <c r="CD266" i="2" s="1"/>
  <c r="CA266" i="2"/>
  <c r="BX266" i="2"/>
  <c r="BY266" i="2" s="1"/>
  <c r="BV266" i="2"/>
  <c r="BS266" i="2"/>
  <c r="BT266" i="2" s="1"/>
  <c r="BQ266" i="2"/>
  <c r="BN266" i="2"/>
  <c r="BO266" i="2" s="1"/>
  <c r="BL266" i="2"/>
  <c r="BI266" i="2"/>
  <c r="BJ266" i="2" s="1"/>
  <c r="BG266" i="2"/>
  <c r="BD266" i="2"/>
  <c r="BE266" i="2" s="1"/>
  <c r="BB266" i="2"/>
  <c r="AY266" i="2"/>
  <c r="AZ266" i="2" s="1"/>
  <c r="AW266" i="2"/>
  <c r="AT266" i="2"/>
  <c r="AU266" i="2" s="1"/>
  <c r="AR266" i="2"/>
  <c r="AO266" i="2"/>
  <c r="AP266" i="2" s="1"/>
  <c r="AM266" i="2"/>
  <c r="AJ266" i="2"/>
  <c r="AK266" i="2" s="1"/>
  <c r="AH266" i="2"/>
  <c r="S266" i="2"/>
  <c r="I266" i="2"/>
  <c r="A266" i="2"/>
  <c r="CC265" i="2"/>
  <c r="CD265" i="2" s="1"/>
  <c r="CA265" i="2"/>
  <c r="BX265" i="2"/>
  <c r="BY265" i="2" s="1"/>
  <c r="BV265" i="2"/>
  <c r="BS265" i="2"/>
  <c r="BT265" i="2" s="1"/>
  <c r="BQ265" i="2"/>
  <c r="BN265" i="2"/>
  <c r="BO265" i="2" s="1"/>
  <c r="BL265" i="2"/>
  <c r="BI265" i="2"/>
  <c r="BJ265" i="2" s="1"/>
  <c r="BG265" i="2"/>
  <c r="BD265" i="2"/>
  <c r="BE265" i="2" s="1"/>
  <c r="BB265" i="2"/>
  <c r="AY265" i="2"/>
  <c r="AZ265" i="2" s="1"/>
  <c r="AW265" i="2"/>
  <c r="AT265" i="2"/>
  <c r="AU265" i="2" s="1"/>
  <c r="AR265" i="2"/>
  <c r="AO265" i="2"/>
  <c r="AP265" i="2" s="1"/>
  <c r="AM265" i="2"/>
  <c r="AJ265" i="2"/>
  <c r="AK265" i="2" s="1"/>
  <c r="AH265" i="2"/>
  <c r="S265" i="2"/>
  <c r="I265" i="2"/>
  <c r="A265" i="2"/>
  <c r="CC264" i="2"/>
  <c r="CD264" i="2" s="1"/>
  <c r="CA264" i="2"/>
  <c r="BX264" i="2"/>
  <c r="BY264" i="2" s="1"/>
  <c r="BV264" i="2"/>
  <c r="BS264" i="2"/>
  <c r="BT264" i="2" s="1"/>
  <c r="BQ264" i="2"/>
  <c r="BN264" i="2"/>
  <c r="BO264" i="2" s="1"/>
  <c r="BL264" i="2"/>
  <c r="BI264" i="2"/>
  <c r="BJ264" i="2" s="1"/>
  <c r="BG264" i="2"/>
  <c r="BD264" i="2"/>
  <c r="BE264" i="2" s="1"/>
  <c r="BB264" i="2"/>
  <c r="AY264" i="2"/>
  <c r="AZ264" i="2" s="1"/>
  <c r="AW264" i="2"/>
  <c r="AT264" i="2"/>
  <c r="AU264" i="2" s="1"/>
  <c r="AR264" i="2"/>
  <c r="AO264" i="2"/>
  <c r="AP264" i="2" s="1"/>
  <c r="AM264" i="2"/>
  <c r="AJ264" i="2"/>
  <c r="AK264" i="2" s="1"/>
  <c r="AH264" i="2"/>
  <c r="AE264" i="2"/>
  <c r="AF264" i="2" s="1"/>
  <c r="AC264" i="2"/>
  <c r="S264" i="2"/>
  <c r="I264" i="2"/>
  <c r="A264" i="2"/>
  <c r="CC263" i="2"/>
  <c r="CD263" i="2" s="1"/>
  <c r="CA263" i="2"/>
  <c r="BX263" i="2"/>
  <c r="BY263" i="2" s="1"/>
  <c r="BV263" i="2"/>
  <c r="BS263" i="2"/>
  <c r="BT263" i="2" s="1"/>
  <c r="BQ263" i="2"/>
  <c r="BN263" i="2"/>
  <c r="BO263" i="2" s="1"/>
  <c r="BL263" i="2"/>
  <c r="BI263" i="2"/>
  <c r="BJ263" i="2" s="1"/>
  <c r="BG263" i="2"/>
  <c r="BD263" i="2"/>
  <c r="BE263" i="2" s="1"/>
  <c r="BB263" i="2"/>
  <c r="AY263" i="2"/>
  <c r="AZ263" i="2" s="1"/>
  <c r="AW263" i="2"/>
  <c r="AT263" i="2"/>
  <c r="AU263" i="2" s="1"/>
  <c r="AR263" i="2"/>
  <c r="AO263" i="2"/>
  <c r="AP263" i="2" s="1"/>
  <c r="AM263" i="2"/>
  <c r="AJ263" i="2"/>
  <c r="AK263" i="2" s="1"/>
  <c r="AH263" i="2"/>
  <c r="AE263" i="2"/>
  <c r="AF263" i="2" s="1"/>
  <c r="AC263" i="2"/>
  <c r="S263" i="2"/>
  <c r="I263" i="2"/>
  <c r="A263" i="2"/>
  <c r="CC262" i="2"/>
  <c r="CD262" i="2" s="1"/>
  <c r="CA262" i="2"/>
  <c r="BX262" i="2"/>
  <c r="BY262" i="2" s="1"/>
  <c r="BV262" i="2"/>
  <c r="BS262" i="2"/>
  <c r="BT262" i="2" s="1"/>
  <c r="BQ262" i="2"/>
  <c r="BN262" i="2"/>
  <c r="BO262" i="2" s="1"/>
  <c r="BL262" i="2"/>
  <c r="BI262" i="2"/>
  <c r="BJ262" i="2" s="1"/>
  <c r="BG262" i="2"/>
  <c r="BD262" i="2"/>
  <c r="BE262" i="2" s="1"/>
  <c r="BB262" i="2"/>
  <c r="AY262" i="2"/>
  <c r="AZ262" i="2" s="1"/>
  <c r="AW262" i="2"/>
  <c r="AT262" i="2"/>
  <c r="AU262" i="2" s="1"/>
  <c r="AR262" i="2"/>
  <c r="AO262" i="2"/>
  <c r="AP262" i="2" s="1"/>
  <c r="AM262" i="2"/>
  <c r="AJ262" i="2"/>
  <c r="AK262" i="2" s="1"/>
  <c r="AH262" i="2"/>
  <c r="S262" i="2"/>
  <c r="I262" i="2"/>
  <c r="A262" i="2"/>
  <c r="CC261" i="2"/>
  <c r="CD261" i="2" s="1"/>
  <c r="CA261" i="2"/>
  <c r="BX261" i="2"/>
  <c r="BY261" i="2" s="1"/>
  <c r="BV261" i="2"/>
  <c r="BS261" i="2"/>
  <c r="BT261" i="2" s="1"/>
  <c r="BQ261" i="2"/>
  <c r="BN261" i="2"/>
  <c r="BO261" i="2" s="1"/>
  <c r="BL261" i="2"/>
  <c r="BI261" i="2"/>
  <c r="BJ261" i="2" s="1"/>
  <c r="BG261" i="2"/>
  <c r="BD261" i="2"/>
  <c r="BE261" i="2" s="1"/>
  <c r="BB261" i="2"/>
  <c r="AY261" i="2"/>
  <c r="AZ261" i="2" s="1"/>
  <c r="AW261" i="2"/>
  <c r="AT261" i="2"/>
  <c r="AU261" i="2" s="1"/>
  <c r="AR261" i="2"/>
  <c r="AO261" i="2"/>
  <c r="AP261" i="2" s="1"/>
  <c r="AM261" i="2"/>
  <c r="AJ261" i="2"/>
  <c r="AK261" i="2" s="1"/>
  <c r="AH261" i="2"/>
  <c r="AE261" i="2"/>
  <c r="AF261" i="2" s="1"/>
  <c r="AC261" i="2"/>
  <c r="S261" i="2"/>
  <c r="I261" i="2"/>
  <c r="A261" i="2"/>
  <c r="CC260" i="2"/>
  <c r="CD260" i="2" s="1"/>
  <c r="CA260" i="2"/>
  <c r="BX260" i="2"/>
  <c r="BY260" i="2" s="1"/>
  <c r="BV260" i="2"/>
  <c r="BS260" i="2"/>
  <c r="BT260" i="2" s="1"/>
  <c r="BQ260" i="2"/>
  <c r="BN260" i="2"/>
  <c r="BO260" i="2" s="1"/>
  <c r="BL260" i="2"/>
  <c r="BI260" i="2"/>
  <c r="BJ260" i="2" s="1"/>
  <c r="BG260" i="2"/>
  <c r="BD260" i="2"/>
  <c r="BE260" i="2" s="1"/>
  <c r="BB260" i="2"/>
  <c r="AY260" i="2"/>
  <c r="AZ260" i="2" s="1"/>
  <c r="AW260" i="2"/>
  <c r="AT260" i="2"/>
  <c r="AU260" i="2" s="1"/>
  <c r="AR260" i="2"/>
  <c r="AO260" i="2"/>
  <c r="AP260" i="2" s="1"/>
  <c r="AM260" i="2"/>
  <c r="AJ260" i="2"/>
  <c r="AK260" i="2" s="1"/>
  <c r="AH260" i="2"/>
  <c r="AE260" i="2"/>
  <c r="AF260" i="2" s="1"/>
  <c r="AC260" i="2"/>
  <c r="S260" i="2"/>
  <c r="I260" i="2"/>
  <c r="A260" i="2"/>
  <c r="CC259" i="2"/>
  <c r="CD259" i="2" s="1"/>
  <c r="CA259" i="2"/>
  <c r="BX259" i="2"/>
  <c r="BY259" i="2" s="1"/>
  <c r="BV259" i="2"/>
  <c r="BS259" i="2"/>
  <c r="BT259" i="2" s="1"/>
  <c r="BQ259" i="2"/>
  <c r="BN259" i="2"/>
  <c r="BO259" i="2" s="1"/>
  <c r="BL259" i="2"/>
  <c r="BI259" i="2"/>
  <c r="BJ259" i="2" s="1"/>
  <c r="BG259" i="2"/>
  <c r="BD259" i="2"/>
  <c r="BE259" i="2" s="1"/>
  <c r="BB259" i="2"/>
  <c r="AY259" i="2"/>
  <c r="AZ259" i="2" s="1"/>
  <c r="AW259" i="2"/>
  <c r="AT259" i="2"/>
  <c r="AU259" i="2" s="1"/>
  <c r="AR259" i="2"/>
  <c r="AO259" i="2"/>
  <c r="AP259" i="2" s="1"/>
  <c r="AM259" i="2"/>
  <c r="AJ259" i="2"/>
  <c r="AK259" i="2" s="1"/>
  <c r="AH259" i="2"/>
  <c r="S259" i="2"/>
  <c r="I259" i="2"/>
  <c r="A259" i="2"/>
  <c r="CC258" i="2"/>
  <c r="CD258" i="2" s="1"/>
  <c r="CA258" i="2"/>
  <c r="BX258" i="2"/>
  <c r="BY258" i="2" s="1"/>
  <c r="BV258" i="2"/>
  <c r="BS258" i="2"/>
  <c r="BT258" i="2" s="1"/>
  <c r="BQ258" i="2"/>
  <c r="BN258" i="2"/>
  <c r="BO258" i="2" s="1"/>
  <c r="BL258" i="2"/>
  <c r="BI258" i="2"/>
  <c r="BJ258" i="2" s="1"/>
  <c r="BG258" i="2"/>
  <c r="BD258" i="2"/>
  <c r="BE258" i="2" s="1"/>
  <c r="BB258" i="2"/>
  <c r="AY258" i="2"/>
  <c r="AZ258" i="2" s="1"/>
  <c r="AW258" i="2"/>
  <c r="AT258" i="2"/>
  <c r="AU258" i="2" s="1"/>
  <c r="AR258" i="2"/>
  <c r="AO258" i="2"/>
  <c r="AP258" i="2" s="1"/>
  <c r="AM258" i="2"/>
  <c r="AJ258" i="2"/>
  <c r="AK258" i="2" s="1"/>
  <c r="AH258" i="2"/>
  <c r="S258" i="2"/>
  <c r="I258" i="2"/>
  <c r="A258" i="2"/>
  <c r="CC257" i="2"/>
  <c r="CD257" i="2" s="1"/>
  <c r="CA257" i="2"/>
  <c r="BX257" i="2"/>
  <c r="BY257" i="2" s="1"/>
  <c r="BV257" i="2"/>
  <c r="BS257" i="2"/>
  <c r="BT257" i="2" s="1"/>
  <c r="BQ257" i="2"/>
  <c r="BN257" i="2"/>
  <c r="BO257" i="2" s="1"/>
  <c r="BL257" i="2"/>
  <c r="BI257" i="2"/>
  <c r="BJ257" i="2" s="1"/>
  <c r="BG257" i="2"/>
  <c r="BD257" i="2"/>
  <c r="BE257" i="2" s="1"/>
  <c r="BB257" i="2"/>
  <c r="AY257" i="2"/>
  <c r="AZ257" i="2" s="1"/>
  <c r="AW257" i="2"/>
  <c r="AT257" i="2"/>
  <c r="AU257" i="2" s="1"/>
  <c r="AR257" i="2"/>
  <c r="AO257" i="2"/>
  <c r="AP257" i="2" s="1"/>
  <c r="AM257" i="2"/>
  <c r="AJ257" i="2"/>
  <c r="AK257" i="2" s="1"/>
  <c r="AH257" i="2"/>
  <c r="S257" i="2"/>
  <c r="I257" i="2"/>
  <c r="A257" i="2"/>
  <c r="CC256" i="2"/>
  <c r="CD256" i="2" s="1"/>
  <c r="CA256" i="2"/>
  <c r="BX256" i="2"/>
  <c r="BY256" i="2" s="1"/>
  <c r="BV256" i="2"/>
  <c r="BS256" i="2"/>
  <c r="BT256" i="2" s="1"/>
  <c r="BQ256" i="2"/>
  <c r="BN256" i="2"/>
  <c r="BO256" i="2" s="1"/>
  <c r="BL256" i="2"/>
  <c r="BI256" i="2"/>
  <c r="BJ256" i="2" s="1"/>
  <c r="BG256" i="2"/>
  <c r="BD256" i="2"/>
  <c r="BE256" i="2" s="1"/>
  <c r="BB256" i="2"/>
  <c r="AY256" i="2"/>
  <c r="AZ256" i="2" s="1"/>
  <c r="AW256" i="2"/>
  <c r="AT256" i="2"/>
  <c r="AU256" i="2" s="1"/>
  <c r="AR256" i="2"/>
  <c r="AO256" i="2"/>
  <c r="AP256" i="2" s="1"/>
  <c r="AM256" i="2"/>
  <c r="S256" i="2"/>
  <c r="I256" i="2"/>
  <c r="A256" i="2"/>
  <c r="CC255" i="2"/>
  <c r="CD255" i="2" s="1"/>
  <c r="CA255" i="2"/>
  <c r="BX255" i="2"/>
  <c r="BY255" i="2" s="1"/>
  <c r="BV255" i="2"/>
  <c r="BS255" i="2"/>
  <c r="BT255" i="2" s="1"/>
  <c r="BQ255" i="2"/>
  <c r="BN255" i="2"/>
  <c r="BO255" i="2" s="1"/>
  <c r="BL255" i="2"/>
  <c r="BI255" i="2"/>
  <c r="BJ255" i="2" s="1"/>
  <c r="BG255" i="2"/>
  <c r="BD255" i="2"/>
  <c r="BE255" i="2" s="1"/>
  <c r="BB255" i="2"/>
  <c r="AY255" i="2"/>
  <c r="AZ255" i="2" s="1"/>
  <c r="AW255" i="2"/>
  <c r="AT255" i="2"/>
  <c r="AU255" i="2" s="1"/>
  <c r="AR255" i="2"/>
  <c r="AO255" i="2"/>
  <c r="AP255" i="2" s="1"/>
  <c r="AM255" i="2"/>
  <c r="S255" i="2"/>
  <c r="I255" i="2"/>
  <c r="A255" i="2"/>
  <c r="CC254" i="2"/>
  <c r="CD254" i="2" s="1"/>
  <c r="CA254" i="2"/>
  <c r="BX254" i="2"/>
  <c r="BY254" i="2" s="1"/>
  <c r="BV254" i="2"/>
  <c r="BS254" i="2"/>
  <c r="BT254" i="2" s="1"/>
  <c r="BQ254" i="2"/>
  <c r="BN254" i="2"/>
  <c r="BO254" i="2" s="1"/>
  <c r="BL254" i="2"/>
  <c r="BI254" i="2"/>
  <c r="BJ254" i="2" s="1"/>
  <c r="BG254" i="2"/>
  <c r="BD254" i="2"/>
  <c r="BE254" i="2" s="1"/>
  <c r="BB254" i="2"/>
  <c r="AY254" i="2"/>
  <c r="AZ254" i="2" s="1"/>
  <c r="AW254" i="2"/>
  <c r="AT254" i="2"/>
  <c r="AU254" i="2" s="1"/>
  <c r="AR254" i="2"/>
  <c r="AO254" i="2"/>
  <c r="AP254" i="2" s="1"/>
  <c r="AM254" i="2"/>
  <c r="S254" i="2"/>
  <c r="I254" i="2"/>
  <c r="A254" i="2"/>
  <c r="CC253" i="2"/>
  <c r="CD253" i="2" s="1"/>
  <c r="CA253" i="2"/>
  <c r="BX253" i="2"/>
  <c r="BY253" i="2" s="1"/>
  <c r="BV253" i="2"/>
  <c r="BS253" i="2"/>
  <c r="BT253" i="2" s="1"/>
  <c r="BQ253" i="2"/>
  <c r="BN253" i="2"/>
  <c r="BO253" i="2" s="1"/>
  <c r="BL253" i="2"/>
  <c r="BI253" i="2"/>
  <c r="BJ253" i="2" s="1"/>
  <c r="BG253" i="2"/>
  <c r="BD253" i="2"/>
  <c r="BE253" i="2" s="1"/>
  <c r="BB253" i="2"/>
  <c r="AY253" i="2"/>
  <c r="AZ253" i="2" s="1"/>
  <c r="AW253" i="2"/>
  <c r="AT253" i="2"/>
  <c r="AU253" i="2" s="1"/>
  <c r="AR253" i="2"/>
  <c r="AO253" i="2"/>
  <c r="AP253" i="2" s="1"/>
  <c r="AM253" i="2"/>
  <c r="S253" i="2"/>
  <c r="I253" i="2"/>
  <c r="A253" i="2"/>
  <c r="CC252" i="2"/>
  <c r="CD252" i="2" s="1"/>
  <c r="CA252" i="2"/>
  <c r="BX252" i="2"/>
  <c r="BY252" i="2" s="1"/>
  <c r="BV252" i="2"/>
  <c r="BS252" i="2"/>
  <c r="BT252" i="2" s="1"/>
  <c r="BQ252" i="2"/>
  <c r="BN252" i="2"/>
  <c r="BO252" i="2" s="1"/>
  <c r="BL252" i="2"/>
  <c r="BI252" i="2"/>
  <c r="BJ252" i="2" s="1"/>
  <c r="BG252" i="2"/>
  <c r="BD252" i="2"/>
  <c r="BE252" i="2" s="1"/>
  <c r="BB252" i="2"/>
  <c r="AY252" i="2"/>
  <c r="AZ252" i="2" s="1"/>
  <c r="AW252" i="2"/>
  <c r="AT252" i="2"/>
  <c r="AU252" i="2" s="1"/>
  <c r="AR252" i="2"/>
  <c r="AO252" i="2"/>
  <c r="AP252" i="2" s="1"/>
  <c r="AM252" i="2"/>
  <c r="S252" i="2"/>
  <c r="I252" i="2"/>
  <c r="A252" i="2"/>
  <c r="CC251" i="2"/>
  <c r="CD251" i="2" s="1"/>
  <c r="CA251" i="2"/>
  <c r="BX251" i="2"/>
  <c r="BY251" i="2" s="1"/>
  <c r="BV251" i="2"/>
  <c r="BS251" i="2"/>
  <c r="BT251" i="2" s="1"/>
  <c r="BQ251" i="2"/>
  <c r="BN251" i="2"/>
  <c r="BO251" i="2" s="1"/>
  <c r="BL251" i="2"/>
  <c r="BI251" i="2"/>
  <c r="BJ251" i="2" s="1"/>
  <c r="BG251" i="2"/>
  <c r="BD251" i="2"/>
  <c r="BE251" i="2" s="1"/>
  <c r="BB251" i="2"/>
  <c r="AY251" i="2"/>
  <c r="AZ251" i="2" s="1"/>
  <c r="AW251" i="2"/>
  <c r="AT251" i="2"/>
  <c r="AU251" i="2" s="1"/>
  <c r="AR251" i="2"/>
  <c r="AO251" i="2"/>
  <c r="AP251" i="2" s="1"/>
  <c r="AM251" i="2"/>
  <c r="S251" i="2"/>
  <c r="I251" i="2"/>
  <c r="A251" i="2"/>
  <c r="CC250" i="2"/>
  <c r="CD250" i="2" s="1"/>
  <c r="CA250" i="2"/>
  <c r="BX250" i="2"/>
  <c r="BY250" i="2" s="1"/>
  <c r="BV250" i="2"/>
  <c r="BS250" i="2"/>
  <c r="BT250" i="2" s="1"/>
  <c r="BQ250" i="2"/>
  <c r="BN250" i="2"/>
  <c r="BO250" i="2" s="1"/>
  <c r="BL250" i="2"/>
  <c r="BI250" i="2"/>
  <c r="BJ250" i="2" s="1"/>
  <c r="BG250" i="2"/>
  <c r="BD250" i="2"/>
  <c r="BE250" i="2" s="1"/>
  <c r="BB250" i="2"/>
  <c r="AY250" i="2"/>
  <c r="AZ250" i="2" s="1"/>
  <c r="AW250" i="2"/>
  <c r="AT250" i="2"/>
  <c r="AU250" i="2" s="1"/>
  <c r="AR250" i="2"/>
  <c r="AO250" i="2"/>
  <c r="AP250" i="2" s="1"/>
  <c r="AM250" i="2"/>
  <c r="S250" i="2"/>
  <c r="I250" i="2"/>
  <c r="A250" i="2"/>
  <c r="CC249" i="2"/>
  <c r="CD249" i="2" s="1"/>
  <c r="CA249" i="2"/>
  <c r="BX249" i="2"/>
  <c r="BY249" i="2" s="1"/>
  <c r="BV249" i="2"/>
  <c r="BS249" i="2"/>
  <c r="BT249" i="2" s="1"/>
  <c r="BQ249" i="2"/>
  <c r="BN249" i="2"/>
  <c r="BO249" i="2" s="1"/>
  <c r="BL249" i="2"/>
  <c r="BI249" i="2"/>
  <c r="BJ249" i="2" s="1"/>
  <c r="BG249" i="2"/>
  <c r="BD249" i="2"/>
  <c r="BE249" i="2" s="1"/>
  <c r="BB249" i="2"/>
  <c r="AY249" i="2"/>
  <c r="AZ249" i="2" s="1"/>
  <c r="AW249" i="2"/>
  <c r="AT249" i="2"/>
  <c r="AU249" i="2" s="1"/>
  <c r="AR249" i="2"/>
  <c r="AO249" i="2"/>
  <c r="AP249" i="2" s="1"/>
  <c r="AM249" i="2"/>
  <c r="AJ249" i="2"/>
  <c r="AK249" i="2" s="1"/>
  <c r="AH249" i="2"/>
  <c r="S249" i="2"/>
  <c r="I249" i="2"/>
  <c r="A249" i="2"/>
  <c r="CC248" i="2"/>
  <c r="CD248" i="2" s="1"/>
  <c r="CA248" i="2"/>
  <c r="BX248" i="2"/>
  <c r="BY248" i="2" s="1"/>
  <c r="BV248" i="2"/>
  <c r="BS248" i="2"/>
  <c r="BT248" i="2" s="1"/>
  <c r="BQ248" i="2"/>
  <c r="BN248" i="2"/>
  <c r="BO248" i="2" s="1"/>
  <c r="BL248" i="2"/>
  <c r="BI248" i="2"/>
  <c r="BJ248" i="2" s="1"/>
  <c r="BG248" i="2"/>
  <c r="BD248" i="2"/>
  <c r="BE248" i="2" s="1"/>
  <c r="BB248" i="2"/>
  <c r="AY248" i="2"/>
  <c r="AZ248" i="2" s="1"/>
  <c r="AW248" i="2"/>
  <c r="AT248" i="2"/>
  <c r="AU248" i="2" s="1"/>
  <c r="AR248" i="2"/>
  <c r="AO248" i="2"/>
  <c r="AP248" i="2" s="1"/>
  <c r="AM248" i="2"/>
  <c r="S248" i="2"/>
  <c r="I248" i="2"/>
  <c r="A248" i="2"/>
  <c r="CC247" i="2"/>
  <c r="CD247" i="2" s="1"/>
  <c r="CA247" i="2"/>
  <c r="BX247" i="2"/>
  <c r="BY247" i="2" s="1"/>
  <c r="BV247" i="2"/>
  <c r="BS247" i="2"/>
  <c r="BT247" i="2" s="1"/>
  <c r="BQ247" i="2"/>
  <c r="BN247" i="2"/>
  <c r="BO247" i="2" s="1"/>
  <c r="BL247" i="2"/>
  <c r="BI247" i="2"/>
  <c r="BJ247" i="2" s="1"/>
  <c r="BG247" i="2"/>
  <c r="BD247" i="2"/>
  <c r="BE247" i="2" s="1"/>
  <c r="BB247" i="2"/>
  <c r="AY247" i="2"/>
  <c r="AZ247" i="2" s="1"/>
  <c r="AW247" i="2"/>
  <c r="AT247" i="2"/>
  <c r="AU247" i="2" s="1"/>
  <c r="AR247" i="2"/>
  <c r="AO247" i="2"/>
  <c r="AP247" i="2" s="1"/>
  <c r="AM247" i="2"/>
  <c r="AJ247" i="2"/>
  <c r="AK247" i="2" s="1"/>
  <c r="AH247" i="2"/>
  <c r="AE247" i="2"/>
  <c r="AF247" i="2" s="1"/>
  <c r="AC247" i="2"/>
  <c r="S247" i="2"/>
  <c r="I247" i="2"/>
  <c r="A247" i="2"/>
  <c r="CC246" i="2"/>
  <c r="CD246" i="2" s="1"/>
  <c r="CA246" i="2"/>
  <c r="BX246" i="2"/>
  <c r="BY246" i="2" s="1"/>
  <c r="BV246" i="2"/>
  <c r="BS246" i="2"/>
  <c r="BT246" i="2" s="1"/>
  <c r="BQ246" i="2"/>
  <c r="BN246" i="2"/>
  <c r="BO246" i="2" s="1"/>
  <c r="BL246" i="2"/>
  <c r="BI246" i="2"/>
  <c r="BJ246" i="2" s="1"/>
  <c r="BG246" i="2"/>
  <c r="BD246" i="2"/>
  <c r="BE246" i="2" s="1"/>
  <c r="BB246" i="2"/>
  <c r="AY246" i="2"/>
  <c r="AZ246" i="2" s="1"/>
  <c r="AW246" i="2"/>
  <c r="AT246" i="2"/>
  <c r="AU246" i="2" s="1"/>
  <c r="AR246" i="2"/>
  <c r="AO246" i="2"/>
  <c r="AP246" i="2" s="1"/>
  <c r="AM246" i="2"/>
  <c r="AE246" i="2"/>
  <c r="AF246" i="2" s="1"/>
  <c r="AC246" i="2"/>
  <c r="S246" i="2"/>
  <c r="I246" i="2"/>
  <c r="A246" i="2"/>
  <c r="CC245" i="2"/>
  <c r="CD245" i="2" s="1"/>
  <c r="CA245" i="2"/>
  <c r="BX245" i="2"/>
  <c r="BY245" i="2" s="1"/>
  <c r="BV245" i="2"/>
  <c r="BS245" i="2"/>
  <c r="BT245" i="2" s="1"/>
  <c r="BQ245" i="2"/>
  <c r="BN245" i="2"/>
  <c r="BO245" i="2" s="1"/>
  <c r="BL245" i="2"/>
  <c r="BI245" i="2"/>
  <c r="BJ245" i="2" s="1"/>
  <c r="BG245" i="2"/>
  <c r="BD245" i="2"/>
  <c r="BE245" i="2" s="1"/>
  <c r="BB245" i="2"/>
  <c r="AY245" i="2"/>
  <c r="AZ245" i="2" s="1"/>
  <c r="AW245" i="2"/>
  <c r="AT245" i="2"/>
  <c r="AU245" i="2" s="1"/>
  <c r="AR245" i="2"/>
  <c r="AO245" i="2"/>
  <c r="AP245" i="2" s="1"/>
  <c r="AM245" i="2"/>
  <c r="AJ245" i="2"/>
  <c r="AK245" i="2" s="1"/>
  <c r="AH245" i="2"/>
  <c r="S245" i="2"/>
  <c r="I245" i="2"/>
  <c r="A245" i="2"/>
  <c r="CC244" i="2"/>
  <c r="CD244" i="2" s="1"/>
  <c r="CA244" i="2"/>
  <c r="BX244" i="2"/>
  <c r="BY244" i="2" s="1"/>
  <c r="BV244" i="2"/>
  <c r="BS244" i="2"/>
  <c r="BT244" i="2" s="1"/>
  <c r="BQ244" i="2"/>
  <c r="BN244" i="2"/>
  <c r="BO244" i="2" s="1"/>
  <c r="BL244" i="2"/>
  <c r="BI244" i="2"/>
  <c r="BJ244" i="2" s="1"/>
  <c r="BG244" i="2"/>
  <c r="BD244" i="2"/>
  <c r="BE244" i="2" s="1"/>
  <c r="BB244" i="2"/>
  <c r="AY244" i="2"/>
  <c r="AZ244" i="2" s="1"/>
  <c r="AW244" i="2"/>
  <c r="AT244" i="2"/>
  <c r="AU244" i="2" s="1"/>
  <c r="AR244" i="2"/>
  <c r="AO244" i="2"/>
  <c r="AP244" i="2" s="1"/>
  <c r="AM244" i="2"/>
  <c r="AJ244" i="2"/>
  <c r="AK244" i="2" s="1"/>
  <c r="AH244" i="2"/>
  <c r="AE244" i="2"/>
  <c r="AF244" i="2" s="1"/>
  <c r="AC244" i="2"/>
  <c r="S244" i="2"/>
  <c r="I244" i="2"/>
  <c r="A244" i="2"/>
  <c r="CC243" i="2"/>
  <c r="CD243" i="2" s="1"/>
  <c r="CA243" i="2"/>
  <c r="BX243" i="2"/>
  <c r="BY243" i="2" s="1"/>
  <c r="BV243" i="2"/>
  <c r="BS243" i="2"/>
  <c r="BT243" i="2" s="1"/>
  <c r="BQ243" i="2"/>
  <c r="BN243" i="2"/>
  <c r="BO243" i="2" s="1"/>
  <c r="BL243" i="2"/>
  <c r="BI243" i="2"/>
  <c r="BJ243" i="2" s="1"/>
  <c r="BG243" i="2"/>
  <c r="BD243" i="2"/>
  <c r="BE243" i="2" s="1"/>
  <c r="BB243" i="2"/>
  <c r="AY243" i="2"/>
  <c r="AZ243" i="2" s="1"/>
  <c r="AW243" i="2"/>
  <c r="AT243" i="2"/>
  <c r="AU243" i="2" s="1"/>
  <c r="AR243" i="2"/>
  <c r="AO243" i="2"/>
  <c r="AP243" i="2" s="1"/>
  <c r="AM243" i="2"/>
  <c r="S243" i="2"/>
  <c r="I243" i="2"/>
  <c r="A243" i="2"/>
  <c r="CC242" i="2"/>
  <c r="CD242" i="2" s="1"/>
  <c r="CA242" i="2"/>
  <c r="BX242" i="2"/>
  <c r="BY242" i="2" s="1"/>
  <c r="BV242" i="2"/>
  <c r="BS242" i="2"/>
  <c r="BT242" i="2" s="1"/>
  <c r="BQ242" i="2"/>
  <c r="BN242" i="2"/>
  <c r="BO242" i="2" s="1"/>
  <c r="BL242" i="2"/>
  <c r="BI242" i="2"/>
  <c r="BJ242" i="2" s="1"/>
  <c r="BG242" i="2"/>
  <c r="BD242" i="2"/>
  <c r="BE242" i="2" s="1"/>
  <c r="BB242" i="2"/>
  <c r="AY242" i="2"/>
  <c r="AZ242" i="2" s="1"/>
  <c r="AW242" i="2"/>
  <c r="AT242" i="2"/>
  <c r="AU242" i="2" s="1"/>
  <c r="AR242" i="2"/>
  <c r="AO242" i="2"/>
  <c r="AP242" i="2" s="1"/>
  <c r="AM242" i="2"/>
  <c r="AE242" i="2"/>
  <c r="AF242" i="2" s="1"/>
  <c r="AC242" i="2"/>
  <c r="S242" i="2"/>
  <c r="I242" i="2"/>
  <c r="A242" i="2"/>
  <c r="CC241" i="2"/>
  <c r="CD241" i="2" s="1"/>
  <c r="CA241" i="2"/>
  <c r="BX241" i="2"/>
  <c r="BY241" i="2" s="1"/>
  <c r="BV241" i="2"/>
  <c r="BS241" i="2"/>
  <c r="BT241" i="2" s="1"/>
  <c r="BQ241" i="2"/>
  <c r="BN241" i="2"/>
  <c r="BO241" i="2" s="1"/>
  <c r="BL241" i="2"/>
  <c r="BI241" i="2"/>
  <c r="BJ241" i="2" s="1"/>
  <c r="BG241" i="2"/>
  <c r="BD241" i="2"/>
  <c r="BE241" i="2" s="1"/>
  <c r="BB241" i="2"/>
  <c r="AY241" i="2"/>
  <c r="AZ241" i="2" s="1"/>
  <c r="AW241" i="2"/>
  <c r="AT241" i="2"/>
  <c r="AU241" i="2" s="1"/>
  <c r="AR241" i="2"/>
  <c r="AO241" i="2"/>
  <c r="AP241" i="2" s="1"/>
  <c r="AM241" i="2"/>
  <c r="AE241" i="2"/>
  <c r="AF241" i="2" s="1"/>
  <c r="AC241" i="2"/>
  <c r="S241" i="2"/>
  <c r="I241" i="2"/>
  <c r="A241" i="2"/>
  <c r="CC240" i="2"/>
  <c r="CD240" i="2" s="1"/>
  <c r="CA240" i="2"/>
  <c r="BX240" i="2"/>
  <c r="BY240" i="2" s="1"/>
  <c r="BV240" i="2"/>
  <c r="BS240" i="2"/>
  <c r="BT240" i="2" s="1"/>
  <c r="BQ240" i="2"/>
  <c r="BN240" i="2"/>
  <c r="BO240" i="2" s="1"/>
  <c r="BL240" i="2"/>
  <c r="BI240" i="2"/>
  <c r="BJ240" i="2" s="1"/>
  <c r="BG240" i="2"/>
  <c r="BD240" i="2"/>
  <c r="BE240" i="2" s="1"/>
  <c r="BB240" i="2"/>
  <c r="AY240" i="2"/>
  <c r="AZ240" i="2" s="1"/>
  <c r="AW240" i="2"/>
  <c r="AT240" i="2"/>
  <c r="AU240" i="2" s="1"/>
  <c r="AR240" i="2"/>
  <c r="AO240" i="2"/>
  <c r="AP240" i="2" s="1"/>
  <c r="AM240" i="2"/>
  <c r="AJ240" i="2"/>
  <c r="AK240" i="2" s="1"/>
  <c r="AH240" i="2"/>
  <c r="S240" i="2"/>
  <c r="I240" i="2"/>
  <c r="A240" i="2"/>
  <c r="CC239" i="2"/>
  <c r="CD239" i="2" s="1"/>
  <c r="CA239" i="2"/>
  <c r="BX239" i="2"/>
  <c r="BY239" i="2" s="1"/>
  <c r="BV239" i="2"/>
  <c r="BS239" i="2"/>
  <c r="BT239" i="2" s="1"/>
  <c r="BQ239" i="2"/>
  <c r="BN239" i="2"/>
  <c r="BO239" i="2" s="1"/>
  <c r="BL239" i="2"/>
  <c r="BI239" i="2"/>
  <c r="BJ239" i="2" s="1"/>
  <c r="BG239" i="2"/>
  <c r="BD239" i="2"/>
  <c r="BE239" i="2" s="1"/>
  <c r="BB239" i="2"/>
  <c r="AY239" i="2"/>
  <c r="AZ239" i="2" s="1"/>
  <c r="AW239" i="2"/>
  <c r="AT239" i="2"/>
  <c r="AU239" i="2" s="1"/>
  <c r="AR239" i="2"/>
  <c r="AO239" i="2"/>
  <c r="AP239" i="2" s="1"/>
  <c r="AM239" i="2"/>
  <c r="AJ239" i="2"/>
  <c r="AK239" i="2" s="1"/>
  <c r="AH239" i="2"/>
  <c r="AE239" i="2"/>
  <c r="AF239" i="2" s="1"/>
  <c r="AC239" i="2"/>
  <c r="S239" i="2"/>
  <c r="I239" i="2"/>
  <c r="A239" i="2"/>
  <c r="CC238" i="2"/>
  <c r="CD238" i="2" s="1"/>
  <c r="CA238" i="2"/>
  <c r="BX238" i="2"/>
  <c r="BY238" i="2" s="1"/>
  <c r="BV238" i="2"/>
  <c r="BS238" i="2"/>
  <c r="BT238" i="2" s="1"/>
  <c r="BQ238" i="2"/>
  <c r="BN238" i="2"/>
  <c r="BO238" i="2" s="1"/>
  <c r="BL238" i="2"/>
  <c r="BI238" i="2"/>
  <c r="BJ238" i="2" s="1"/>
  <c r="BG238" i="2"/>
  <c r="BD238" i="2"/>
  <c r="BE238" i="2" s="1"/>
  <c r="BB238" i="2"/>
  <c r="AY238" i="2"/>
  <c r="AZ238" i="2" s="1"/>
  <c r="AW238" i="2"/>
  <c r="AT238" i="2"/>
  <c r="AU238" i="2" s="1"/>
  <c r="AR238" i="2"/>
  <c r="AO238" i="2"/>
  <c r="AP238" i="2" s="1"/>
  <c r="AM238" i="2"/>
  <c r="S238" i="2"/>
  <c r="I238" i="2"/>
  <c r="A238" i="2"/>
  <c r="CC237" i="2"/>
  <c r="CD237" i="2" s="1"/>
  <c r="CA237" i="2"/>
  <c r="BX237" i="2"/>
  <c r="BY237" i="2" s="1"/>
  <c r="BV237" i="2"/>
  <c r="BS237" i="2"/>
  <c r="BT237" i="2" s="1"/>
  <c r="BQ237" i="2"/>
  <c r="BN237" i="2"/>
  <c r="BO237" i="2" s="1"/>
  <c r="BL237" i="2"/>
  <c r="BI237" i="2"/>
  <c r="BJ237" i="2" s="1"/>
  <c r="BG237" i="2"/>
  <c r="BD237" i="2"/>
  <c r="BE237" i="2" s="1"/>
  <c r="BB237" i="2"/>
  <c r="AY237" i="2"/>
  <c r="AZ237" i="2" s="1"/>
  <c r="AW237" i="2"/>
  <c r="AT237" i="2"/>
  <c r="AU237" i="2" s="1"/>
  <c r="AR237" i="2"/>
  <c r="AO237" i="2"/>
  <c r="AP237" i="2" s="1"/>
  <c r="AM237" i="2"/>
  <c r="AJ237" i="2"/>
  <c r="AK237" i="2" s="1"/>
  <c r="AH237" i="2"/>
  <c r="AE237" i="2"/>
  <c r="AF237" i="2" s="1"/>
  <c r="AC237" i="2"/>
  <c r="S237" i="2"/>
  <c r="I237" i="2"/>
  <c r="A237" i="2"/>
  <c r="CC236" i="2"/>
  <c r="CD236" i="2" s="1"/>
  <c r="CA236" i="2"/>
  <c r="BX236" i="2"/>
  <c r="BY236" i="2" s="1"/>
  <c r="BV236" i="2"/>
  <c r="BS236" i="2"/>
  <c r="BT236" i="2" s="1"/>
  <c r="BQ236" i="2"/>
  <c r="BN236" i="2"/>
  <c r="BO236" i="2" s="1"/>
  <c r="BL236" i="2"/>
  <c r="BI236" i="2"/>
  <c r="BJ236" i="2" s="1"/>
  <c r="BG236" i="2"/>
  <c r="BD236" i="2"/>
  <c r="BE236" i="2" s="1"/>
  <c r="BB236" i="2"/>
  <c r="AY236" i="2"/>
  <c r="AZ236" i="2" s="1"/>
  <c r="AW236" i="2"/>
  <c r="AT236" i="2"/>
  <c r="AU236" i="2" s="1"/>
  <c r="AR236" i="2"/>
  <c r="AO236" i="2"/>
  <c r="AP236" i="2" s="1"/>
  <c r="AM236" i="2"/>
  <c r="AJ236" i="2"/>
  <c r="AK236" i="2" s="1"/>
  <c r="AH236" i="2"/>
  <c r="S236" i="2"/>
  <c r="I236" i="2"/>
  <c r="A236" i="2"/>
  <c r="CC235" i="2"/>
  <c r="CD235" i="2" s="1"/>
  <c r="CA235" i="2"/>
  <c r="BX235" i="2"/>
  <c r="BY235" i="2" s="1"/>
  <c r="BV235" i="2"/>
  <c r="BS235" i="2"/>
  <c r="BT235" i="2" s="1"/>
  <c r="BQ235" i="2"/>
  <c r="BN235" i="2"/>
  <c r="BO235" i="2" s="1"/>
  <c r="BL235" i="2"/>
  <c r="BI235" i="2"/>
  <c r="BJ235" i="2" s="1"/>
  <c r="BG235" i="2"/>
  <c r="BD235" i="2"/>
  <c r="BE235" i="2" s="1"/>
  <c r="BB235" i="2"/>
  <c r="AY235" i="2"/>
  <c r="AZ235" i="2" s="1"/>
  <c r="AW235" i="2"/>
  <c r="AT235" i="2"/>
  <c r="AU235" i="2" s="1"/>
  <c r="AR235" i="2"/>
  <c r="AO235" i="2"/>
  <c r="AP235" i="2" s="1"/>
  <c r="AM235" i="2"/>
  <c r="AE235" i="2"/>
  <c r="AF235" i="2" s="1"/>
  <c r="AC235" i="2"/>
  <c r="S235" i="2"/>
  <c r="I235" i="2"/>
  <c r="A235" i="2"/>
  <c r="CC234" i="2"/>
  <c r="CD234" i="2" s="1"/>
  <c r="CA234" i="2"/>
  <c r="BX234" i="2"/>
  <c r="BY234" i="2" s="1"/>
  <c r="BV234" i="2"/>
  <c r="BS234" i="2"/>
  <c r="BT234" i="2" s="1"/>
  <c r="BQ234" i="2"/>
  <c r="BN234" i="2"/>
  <c r="BO234" i="2" s="1"/>
  <c r="BL234" i="2"/>
  <c r="BI234" i="2"/>
  <c r="BJ234" i="2" s="1"/>
  <c r="BG234" i="2"/>
  <c r="BD234" i="2"/>
  <c r="BE234" i="2" s="1"/>
  <c r="BB234" i="2"/>
  <c r="AY234" i="2"/>
  <c r="AZ234" i="2" s="1"/>
  <c r="AW234" i="2"/>
  <c r="AT234" i="2"/>
  <c r="AU234" i="2" s="1"/>
  <c r="AR234" i="2"/>
  <c r="AO234" i="2"/>
  <c r="AP234" i="2" s="1"/>
  <c r="AM234" i="2"/>
  <c r="AJ234" i="2"/>
  <c r="AK234" i="2" s="1"/>
  <c r="AH234" i="2"/>
  <c r="S234" i="2"/>
  <c r="I234" i="2"/>
  <c r="A234" i="2"/>
  <c r="CC233" i="2"/>
  <c r="CD233" i="2" s="1"/>
  <c r="CA233" i="2"/>
  <c r="BX233" i="2"/>
  <c r="BY233" i="2" s="1"/>
  <c r="BV233" i="2"/>
  <c r="BS233" i="2"/>
  <c r="BT233" i="2" s="1"/>
  <c r="BQ233" i="2"/>
  <c r="BN233" i="2"/>
  <c r="BO233" i="2" s="1"/>
  <c r="BL233" i="2"/>
  <c r="BI233" i="2"/>
  <c r="BJ233" i="2" s="1"/>
  <c r="BG233" i="2"/>
  <c r="BD233" i="2"/>
  <c r="BE233" i="2" s="1"/>
  <c r="BB233" i="2"/>
  <c r="AY233" i="2"/>
  <c r="AZ233" i="2" s="1"/>
  <c r="AW233" i="2"/>
  <c r="AT233" i="2"/>
  <c r="AU233" i="2" s="1"/>
  <c r="AR233" i="2"/>
  <c r="AO233" i="2"/>
  <c r="AP233" i="2" s="1"/>
  <c r="AM233" i="2"/>
  <c r="AE233" i="2"/>
  <c r="AF233" i="2" s="1"/>
  <c r="AC233" i="2"/>
  <c r="S233" i="2"/>
  <c r="I233" i="2"/>
  <c r="A233" i="2"/>
  <c r="CC232" i="2"/>
  <c r="CD232" i="2" s="1"/>
  <c r="CA232" i="2"/>
  <c r="BX232" i="2"/>
  <c r="BY232" i="2" s="1"/>
  <c r="BV232" i="2"/>
  <c r="BS232" i="2"/>
  <c r="BT232" i="2" s="1"/>
  <c r="BQ232" i="2"/>
  <c r="BN232" i="2"/>
  <c r="BO232" i="2" s="1"/>
  <c r="BL232" i="2"/>
  <c r="BI232" i="2"/>
  <c r="BJ232" i="2" s="1"/>
  <c r="BG232" i="2"/>
  <c r="BD232" i="2"/>
  <c r="BE232" i="2" s="1"/>
  <c r="BB232" i="2"/>
  <c r="AY232" i="2"/>
  <c r="AZ232" i="2" s="1"/>
  <c r="AW232" i="2"/>
  <c r="AT232" i="2"/>
  <c r="AU232" i="2" s="1"/>
  <c r="AR232" i="2"/>
  <c r="AO232" i="2"/>
  <c r="AP232" i="2" s="1"/>
  <c r="AM232" i="2"/>
  <c r="AJ232" i="2"/>
  <c r="AK232" i="2" s="1"/>
  <c r="AH232" i="2"/>
  <c r="AE232" i="2"/>
  <c r="AF232" i="2" s="1"/>
  <c r="AC232" i="2"/>
  <c r="S232" i="2"/>
  <c r="I232" i="2"/>
  <c r="A232" i="2"/>
  <c r="CC231" i="2"/>
  <c r="CD231" i="2" s="1"/>
  <c r="CA231" i="2"/>
  <c r="BX231" i="2"/>
  <c r="BY231" i="2" s="1"/>
  <c r="BV231" i="2"/>
  <c r="BS231" i="2"/>
  <c r="BT231" i="2" s="1"/>
  <c r="BQ231" i="2"/>
  <c r="BN231" i="2"/>
  <c r="BO231" i="2" s="1"/>
  <c r="BL231" i="2"/>
  <c r="BI231" i="2"/>
  <c r="BJ231" i="2" s="1"/>
  <c r="BG231" i="2"/>
  <c r="BD231" i="2"/>
  <c r="BE231" i="2" s="1"/>
  <c r="BB231" i="2"/>
  <c r="AY231" i="2"/>
  <c r="AZ231" i="2" s="1"/>
  <c r="AW231" i="2"/>
  <c r="AT231" i="2"/>
  <c r="AU231" i="2" s="1"/>
  <c r="AR231" i="2"/>
  <c r="AO231" i="2"/>
  <c r="AP231" i="2" s="1"/>
  <c r="AM231" i="2"/>
  <c r="AJ231" i="2"/>
  <c r="AK231" i="2" s="1"/>
  <c r="AH231" i="2"/>
  <c r="S231" i="2"/>
  <c r="I231" i="2"/>
  <c r="A231" i="2"/>
  <c r="CC230" i="2"/>
  <c r="CD230" i="2" s="1"/>
  <c r="CA230" i="2"/>
  <c r="BX230" i="2"/>
  <c r="BY230" i="2" s="1"/>
  <c r="BV230" i="2"/>
  <c r="BS230" i="2"/>
  <c r="BT230" i="2" s="1"/>
  <c r="BQ230" i="2"/>
  <c r="BN230" i="2"/>
  <c r="BO230" i="2" s="1"/>
  <c r="BL230" i="2"/>
  <c r="BI230" i="2"/>
  <c r="BJ230" i="2" s="1"/>
  <c r="BG230" i="2"/>
  <c r="BD230" i="2"/>
  <c r="BE230" i="2" s="1"/>
  <c r="BB230" i="2"/>
  <c r="AY230" i="2"/>
  <c r="AZ230" i="2" s="1"/>
  <c r="AW230" i="2"/>
  <c r="AT230" i="2"/>
  <c r="AU230" i="2" s="1"/>
  <c r="AR230" i="2"/>
  <c r="AO230" i="2"/>
  <c r="AP230" i="2" s="1"/>
  <c r="AM230" i="2"/>
  <c r="AE230" i="2"/>
  <c r="AF230" i="2" s="1"/>
  <c r="AC230" i="2"/>
  <c r="S230" i="2"/>
  <c r="I230" i="2"/>
  <c r="A230" i="2"/>
  <c r="CC229" i="2"/>
  <c r="CD229" i="2" s="1"/>
  <c r="CA229" i="2"/>
  <c r="BX229" i="2"/>
  <c r="BY229" i="2" s="1"/>
  <c r="BV229" i="2"/>
  <c r="BS229" i="2"/>
  <c r="BT229" i="2" s="1"/>
  <c r="BQ229" i="2"/>
  <c r="BN229" i="2"/>
  <c r="BO229" i="2" s="1"/>
  <c r="BL229" i="2"/>
  <c r="BI229" i="2"/>
  <c r="BJ229" i="2" s="1"/>
  <c r="BG229" i="2"/>
  <c r="BD229" i="2"/>
  <c r="BE229" i="2" s="1"/>
  <c r="BB229" i="2"/>
  <c r="AY229" i="2"/>
  <c r="AZ229" i="2" s="1"/>
  <c r="AW229" i="2"/>
  <c r="AT229" i="2"/>
  <c r="AU229" i="2" s="1"/>
  <c r="AR229" i="2"/>
  <c r="AO229" i="2"/>
  <c r="AP229" i="2" s="1"/>
  <c r="AM229" i="2"/>
  <c r="S229" i="2"/>
  <c r="I229" i="2"/>
  <c r="A229" i="2"/>
  <c r="CC228" i="2"/>
  <c r="CD228" i="2" s="1"/>
  <c r="CA228" i="2"/>
  <c r="BX228" i="2"/>
  <c r="BY228" i="2" s="1"/>
  <c r="BV228" i="2"/>
  <c r="BS228" i="2"/>
  <c r="BT228" i="2" s="1"/>
  <c r="BQ228" i="2"/>
  <c r="BN228" i="2"/>
  <c r="BO228" i="2" s="1"/>
  <c r="BL228" i="2"/>
  <c r="BI228" i="2"/>
  <c r="BJ228" i="2" s="1"/>
  <c r="BG228" i="2"/>
  <c r="BD228" i="2"/>
  <c r="BE228" i="2" s="1"/>
  <c r="BB228" i="2"/>
  <c r="AY228" i="2"/>
  <c r="AZ228" i="2" s="1"/>
  <c r="AW228" i="2"/>
  <c r="AT228" i="2"/>
  <c r="AU228" i="2" s="1"/>
  <c r="AR228" i="2"/>
  <c r="AO228" i="2"/>
  <c r="AP228" i="2" s="1"/>
  <c r="AM228" i="2"/>
  <c r="AJ228" i="2"/>
  <c r="AK228" i="2" s="1"/>
  <c r="AH228" i="2"/>
  <c r="AE228" i="2"/>
  <c r="AF228" i="2" s="1"/>
  <c r="AC228" i="2"/>
  <c r="S228" i="2"/>
  <c r="I228" i="2"/>
  <c r="A228" i="2"/>
  <c r="CC227" i="2"/>
  <c r="CD227" i="2" s="1"/>
  <c r="CA227" i="2"/>
  <c r="BX227" i="2"/>
  <c r="BY227" i="2" s="1"/>
  <c r="BV227" i="2"/>
  <c r="BS227" i="2"/>
  <c r="BT227" i="2" s="1"/>
  <c r="BQ227" i="2"/>
  <c r="BN227" i="2"/>
  <c r="BO227" i="2" s="1"/>
  <c r="BL227" i="2"/>
  <c r="BI227" i="2"/>
  <c r="BJ227" i="2" s="1"/>
  <c r="BG227" i="2"/>
  <c r="BD227" i="2"/>
  <c r="BE227" i="2" s="1"/>
  <c r="BB227" i="2"/>
  <c r="AY227" i="2"/>
  <c r="AZ227" i="2" s="1"/>
  <c r="AW227" i="2"/>
  <c r="AT227" i="2"/>
  <c r="AU227" i="2" s="1"/>
  <c r="AR227" i="2"/>
  <c r="AO227" i="2"/>
  <c r="AP227" i="2" s="1"/>
  <c r="AM227" i="2"/>
  <c r="AJ227" i="2"/>
  <c r="AK227" i="2" s="1"/>
  <c r="AH227" i="2"/>
  <c r="AE227" i="2"/>
  <c r="AF227" i="2" s="1"/>
  <c r="AC227" i="2"/>
  <c r="S227" i="2"/>
  <c r="I227" i="2"/>
  <c r="A227" i="2"/>
  <c r="CC226" i="2"/>
  <c r="CD226" i="2" s="1"/>
  <c r="CA226" i="2"/>
  <c r="BX226" i="2"/>
  <c r="BY226" i="2" s="1"/>
  <c r="BV226" i="2"/>
  <c r="BS226" i="2"/>
  <c r="BT226" i="2" s="1"/>
  <c r="BQ226" i="2"/>
  <c r="BN226" i="2"/>
  <c r="BO226" i="2" s="1"/>
  <c r="BL226" i="2"/>
  <c r="BI226" i="2"/>
  <c r="BJ226" i="2" s="1"/>
  <c r="BG226" i="2"/>
  <c r="BD226" i="2"/>
  <c r="BE226" i="2" s="1"/>
  <c r="BB226" i="2"/>
  <c r="AY226" i="2"/>
  <c r="AZ226" i="2" s="1"/>
  <c r="AW226" i="2"/>
  <c r="AT226" i="2"/>
  <c r="AU226" i="2" s="1"/>
  <c r="AR226" i="2"/>
  <c r="AO226" i="2"/>
  <c r="AP226" i="2" s="1"/>
  <c r="AM226" i="2"/>
  <c r="AJ226" i="2"/>
  <c r="AK226" i="2" s="1"/>
  <c r="AH226" i="2"/>
  <c r="S226" i="2"/>
  <c r="I226" i="2"/>
  <c r="A226" i="2"/>
  <c r="CC225" i="2"/>
  <c r="CD225" i="2" s="1"/>
  <c r="CA225" i="2"/>
  <c r="BX225" i="2"/>
  <c r="BY225" i="2" s="1"/>
  <c r="BV225" i="2"/>
  <c r="BS225" i="2"/>
  <c r="BT225" i="2" s="1"/>
  <c r="BQ225" i="2"/>
  <c r="BN225" i="2"/>
  <c r="BO225" i="2" s="1"/>
  <c r="BL225" i="2"/>
  <c r="BI225" i="2"/>
  <c r="BJ225" i="2" s="1"/>
  <c r="BG225" i="2"/>
  <c r="BD225" i="2"/>
  <c r="BE225" i="2" s="1"/>
  <c r="BB225" i="2"/>
  <c r="AY225" i="2"/>
  <c r="AZ225" i="2" s="1"/>
  <c r="AW225" i="2"/>
  <c r="AT225" i="2"/>
  <c r="AU225" i="2" s="1"/>
  <c r="AR225" i="2"/>
  <c r="AO225" i="2"/>
  <c r="AP225" i="2" s="1"/>
  <c r="AM225" i="2"/>
  <c r="AJ225" i="2"/>
  <c r="AK225" i="2" s="1"/>
  <c r="AH225" i="2"/>
  <c r="AE225" i="2"/>
  <c r="AF225" i="2" s="1"/>
  <c r="AC225" i="2"/>
  <c r="S225" i="2"/>
  <c r="I225" i="2"/>
  <c r="A225" i="2"/>
  <c r="CC224" i="2"/>
  <c r="CD224" i="2" s="1"/>
  <c r="CA224" i="2"/>
  <c r="BX224" i="2"/>
  <c r="BY224" i="2" s="1"/>
  <c r="BV224" i="2"/>
  <c r="BS224" i="2"/>
  <c r="BT224" i="2" s="1"/>
  <c r="BQ224" i="2"/>
  <c r="BN224" i="2"/>
  <c r="BO224" i="2" s="1"/>
  <c r="BL224" i="2"/>
  <c r="BI224" i="2"/>
  <c r="BJ224" i="2" s="1"/>
  <c r="BG224" i="2"/>
  <c r="BD224" i="2"/>
  <c r="BE224" i="2" s="1"/>
  <c r="BB224" i="2"/>
  <c r="AY224" i="2"/>
  <c r="AZ224" i="2" s="1"/>
  <c r="AW224" i="2"/>
  <c r="AT224" i="2"/>
  <c r="AU224" i="2" s="1"/>
  <c r="AR224" i="2"/>
  <c r="AO224" i="2"/>
  <c r="AP224" i="2" s="1"/>
  <c r="AM224" i="2"/>
  <c r="AJ224" i="2"/>
  <c r="AK224" i="2" s="1"/>
  <c r="AH224" i="2"/>
  <c r="S224" i="2"/>
  <c r="I224" i="2"/>
  <c r="A224" i="2"/>
  <c r="CC223" i="2"/>
  <c r="CD223" i="2" s="1"/>
  <c r="CA223" i="2"/>
  <c r="BX223" i="2"/>
  <c r="BY223" i="2" s="1"/>
  <c r="BV223" i="2"/>
  <c r="BS223" i="2"/>
  <c r="BT223" i="2" s="1"/>
  <c r="BQ223" i="2"/>
  <c r="BN223" i="2"/>
  <c r="BO223" i="2" s="1"/>
  <c r="BL223" i="2"/>
  <c r="BI223" i="2"/>
  <c r="BJ223" i="2" s="1"/>
  <c r="BG223" i="2"/>
  <c r="BD223" i="2"/>
  <c r="BE223" i="2" s="1"/>
  <c r="BB223" i="2"/>
  <c r="AY223" i="2"/>
  <c r="AZ223" i="2" s="1"/>
  <c r="AW223" i="2"/>
  <c r="AT223" i="2"/>
  <c r="AU223" i="2" s="1"/>
  <c r="AR223" i="2"/>
  <c r="AO223" i="2"/>
  <c r="AP223" i="2" s="1"/>
  <c r="AM223" i="2"/>
  <c r="AJ223" i="2"/>
  <c r="AK223" i="2" s="1"/>
  <c r="AH223" i="2"/>
  <c r="AE223" i="2"/>
  <c r="AF223" i="2" s="1"/>
  <c r="AC223" i="2"/>
  <c r="S223" i="2"/>
  <c r="I223" i="2"/>
  <c r="A223" i="2"/>
  <c r="CC222" i="2"/>
  <c r="CD222" i="2" s="1"/>
  <c r="CA222" i="2"/>
  <c r="BX222" i="2"/>
  <c r="BY222" i="2" s="1"/>
  <c r="BV222" i="2"/>
  <c r="BS222" i="2"/>
  <c r="BT222" i="2" s="1"/>
  <c r="BQ222" i="2"/>
  <c r="BN222" i="2"/>
  <c r="BO222" i="2" s="1"/>
  <c r="BL222" i="2"/>
  <c r="BI222" i="2"/>
  <c r="BJ222" i="2" s="1"/>
  <c r="BG222" i="2"/>
  <c r="BD222" i="2"/>
  <c r="BE222" i="2" s="1"/>
  <c r="BB222" i="2"/>
  <c r="AY222" i="2"/>
  <c r="AZ222" i="2" s="1"/>
  <c r="AW222" i="2"/>
  <c r="AT222" i="2"/>
  <c r="AU222" i="2" s="1"/>
  <c r="AR222" i="2"/>
  <c r="AO222" i="2"/>
  <c r="AP222" i="2" s="1"/>
  <c r="AM222" i="2"/>
  <c r="AJ222" i="2"/>
  <c r="AK222" i="2" s="1"/>
  <c r="AH222" i="2"/>
  <c r="S222" i="2"/>
  <c r="I222" i="2"/>
  <c r="A222" i="2"/>
  <c r="CC221" i="2"/>
  <c r="CD221" i="2" s="1"/>
  <c r="CA221" i="2"/>
  <c r="BX221" i="2"/>
  <c r="BY221" i="2" s="1"/>
  <c r="BV221" i="2"/>
  <c r="BS221" i="2"/>
  <c r="BT221" i="2" s="1"/>
  <c r="BQ221" i="2"/>
  <c r="BN221" i="2"/>
  <c r="BO221" i="2" s="1"/>
  <c r="BL221" i="2"/>
  <c r="BI221" i="2"/>
  <c r="BJ221" i="2" s="1"/>
  <c r="BG221" i="2"/>
  <c r="BD221" i="2"/>
  <c r="BE221" i="2" s="1"/>
  <c r="BB221" i="2"/>
  <c r="AY221" i="2"/>
  <c r="AZ221" i="2" s="1"/>
  <c r="AW221" i="2"/>
  <c r="AT221" i="2"/>
  <c r="AU221" i="2" s="1"/>
  <c r="AR221" i="2"/>
  <c r="AO221" i="2"/>
  <c r="AP221" i="2" s="1"/>
  <c r="AM221" i="2"/>
  <c r="AJ221" i="2"/>
  <c r="AK221" i="2" s="1"/>
  <c r="AH221" i="2"/>
  <c r="S221" i="2"/>
  <c r="I221" i="2"/>
  <c r="A221" i="2"/>
  <c r="CC220" i="2"/>
  <c r="CD220" i="2" s="1"/>
  <c r="CA220" i="2"/>
  <c r="BX220" i="2"/>
  <c r="BY220" i="2" s="1"/>
  <c r="BV220" i="2"/>
  <c r="BS220" i="2"/>
  <c r="BT220" i="2" s="1"/>
  <c r="BQ220" i="2"/>
  <c r="BN220" i="2"/>
  <c r="BO220" i="2" s="1"/>
  <c r="BL220" i="2"/>
  <c r="BI220" i="2"/>
  <c r="BJ220" i="2" s="1"/>
  <c r="BG220" i="2"/>
  <c r="BD220" i="2"/>
  <c r="BE220" i="2" s="1"/>
  <c r="BB220" i="2"/>
  <c r="AY220" i="2"/>
  <c r="AZ220" i="2" s="1"/>
  <c r="AW220" i="2"/>
  <c r="AT220" i="2"/>
  <c r="AU220" i="2" s="1"/>
  <c r="AR220" i="2"/>
  <c r="AO220" i="2"/>
  <c r="AP220" i="2" s="1"/>
  <c r="AM220" i="2"/>
  <c r="AJ220" i="2"/>
  <c r="AK220" i="2" s="1"/>
  <c r="AH220" i="2"/>
  <c r="S220" i="2"/>
  <c r="I220" i="2"/>
  <c r="A220" i="2"/>
  <c r="CC219" i="2"/>
  <c r="CD219" i="2" s="1"/>
  <c r="CA219" i="2"/>
  <c r="BX219" i="2"/>
  <c r="BY219" i="2" s="1"/>
  <c r="BV219" i="2"/>
  <c r="BS219" i="2"/>
  <c r="BT219" i="2" s="1"/>
  <c r="BQ219" i="2"/>
  <c r="BN219" i="2"/>
  <c r="BO219" i="2" s="1"/>
  <c r="BL219" i="2"/>
  <c r="BI219" i="2"/>
  <c r="BJ219" i="2" s="1"/>
  <c r="BG219" i="2"/>
  <c r="BD219" i="2"/>
  <c r="BE219" i="2" s="1"/>
  <c r="BB219" i="2"/>
  <c r="AY219" i="2"/>
  <c r="AZ219" i="2" s="1"/>
  <c r="AW219" i="2"/>
  <c r="AT219" i="2"/>
  <c r="AU219" i="2" s="1"/>
  <c r="AR219" i="2"/>
  <c r="AO219" i="2"/>
  <c r="AP219" i="2" s="1"/>
  <c r="AM219" i="2"/>
  <c r="AJ219" i="2"/>
  <c r="AK219" i="2" s="1"/>
  <c r="AH219" i="2"/>
  <c r="S219" i="2"/>
  <c r="I219" i="2"/>
  <c r="A219" i="2"/>
  <c r="CC218" i="2"/>
  <c r="CD218" i="2" s="1"/>
  <c r="CA218" i="2"/>
  <c r="BX218" i="2"/>
  <c r="BY218" i="2" s="1"/>
  <c r="BV218" i="2"/>
  <c r="BS218" i="2"/>
  <c r="BT218" i="2" s="1"/>
  <c r="BQ218" i="2"/>
  <c r="BN218" i="2"/>
  <c r="BO218" i="2" s="1"/>
  <c r="BL218" i="2"/>
  <c r="BI218" i="2"/>
  <c r="BJ218" i="2" s="1"/>
  <c r="BG218" i="2"/>
  <c r="BD218" i="2"/>
  <c r="BE218" i="2" s="1"/>
  <c r="BB218" i="2"/>
  <c r="AY218" i="2"/>
  <c r="AZ218" i="2" s="1"/>
  <c r="AW218" i="2"/>
  <c r="AT218" i="2"/>
  <c r="AU218" i="2" s="1"/>
  <c r="AR218" i="2"/>
  <c r="AO218" i="2"/>
  <c r="AP218" i="2" s="1"/>
  <c r="AM218" i="2"/>
  <c r="AJ218" i="2"/>
  <c r="AK218" i="2" s="1"/>
  <c r="AH218" i="2"/>
  <c r="S218" i="2"/>
  <c r="I218" i="2"/>
  <c r="A218" i="2"/>
  <c r="CC217" i="2"/>
  <c r="CD217" i="2" s="1"/>
  <c r="CA217" i="2"/>
  <c r="BX217" i="2"/>
  <c r="BY217" i="2" s="1"/>
  <c r="BV217" i="2"/>
  <c r="BS217" i="2"/>
  <c r="BT217" i="2" s="1"/>
  <c r="BQ217" i="2"/>
  <c r="BN217" i="2"/>
  <c r="BO217" i="2" s="1"/>
  <c r="BL217" i="2"/>
  <c r="BI217" i="2"/>
  <c r="BJ217" i="2" s="1"/>
  <c r="BG217" i="2"/>
  <c r="BD217" i="2"/>
  <c r="BE217" i="2" s="1"/>
  <c r="BB217" i="2"/>
  <c r="AY217" i="2"/>
  <c r="AZ217" i="2" s="1"/>
  <c r="AW217" i="2"/>
  <c r="AT217" i="2"/>
  <c r="AU217" i="2" s="1"/>
  <c r="AR217" i="2"/>
  <c r="AO217" i="2"/>
  <c r="AP217" i="2" s="1"/>
  <c r="AM217" i="2"/>
  <c r="AJ217" i="2"/>
  <c r="AK217" i="2" s="1"/>
  <c r="AH217" i="2"/>
  <c r="S217" i="2"/>
  <c r="I217" i="2"/>
  <c r="A217" i="2"/>
  <c r="CC216" i="2"/>
  <c r="CD216" i="2" s="1"/>
  <c r="CA216" i="2"/>
  <c r="BX216" i="2"/>
  <c r="BY216" i="2" s="1"/>
  <c r="BV216" i="2"/>
  <c r="BS216" i="2"/>
  <c r="BT216" i="2" s="1"/>
  <c r="BQ216" i="2"/>
  <c r="BN216" i="2"/>
  <c r="BO216" i="2" s="1"/>
  <c r="BL216" i="2"/>
  <c r="BI216" i="2"/>
  <c r="BJ216" i="2" s="1"/>
  <c r="BG216" i="2"/>
  <c r="BD216" i="2"/>
  <c r="BE216" i="2" s="1"/>
  <c r="BB216" i="2"/>
  <c r="AY216" i="2"/>
  <c r="AZ216" i="2" s="1"/>
  <c r="AW216" i="2"/>
  <c r="AT216" i="2"/>
  <c r="AU216" i="2" s="1"/>
  <c r="AR216" i="2"/>
  <c r="AO216" i="2"/>
  <c r="AP216" i="2" s="1"/>
  <c r="AM216" i="2"/>
  <c r="AJ216" i="2"/>
  <c r="AK216" i="2" s="1"/>
  <c r="AH216" i="2"/>
  <c r="AE216" i="2"/>
  <c r="AF216" i="2" s="1"/>
  <c r="AC216" i="2"/>
  <c r="S216" i="2"/>
  <c r="I216" i="2"/>
  <c r="A216" i="2"/>
  <c r="CC215" i="2"/>
  <c r="CD215" i="2" s="1"/>
  <c r="CA215" i="2"/>
  <c r="BX215" i="2"/>
  <c r="BY215" i="2" s="1"/>
  <c r="BV215" i="2"/>
  <c r="BS215" i="2"/>
  <c r="BT215" i="2" s="1"/>
  <c r="BQ215" i="2"/>
  <c r="BN215" i="2"/>
  <c r="BO215" i="2" s="1"/>
  <c r="BL215" i="2"/>
  <c r="BI215" i="2"/>
  <c r="BJ215" i="2" s="1"/>
  <c r="BG215" i="2"/>
  <c r="BD215" i="2"/>
  <c r="BE215" i="2" s="1"/>
  <c r="BB215" i="2"/>
  <c r="AY215" i="2"/>
  <c r="AZ215" i="2" s="1"/>
  <c r="AW215" i="2"/>
  <c r="AT215" i="2"/>
  <c r="AU215" i="2" s="1"/>
  <c r="AR215" i="2"/>
  <c r="AO215" i="2"/>
  <c r="AP215" i="2" s="1"/>
  <c r="AM215" i="2"/>
  <c r="AJ215" i="2"/>
  <c r="AK215" i="2" s="1"/>
  <c r="AH215" i="2"/>
  <c r="S215" i="2"/>
  <c r="I215" i="2"/>
  <c r="A215" i="2"/>
  <c r="CC214" i="2"/>
  <c r="CD214" i="2" s="1"/>
  <c r="CA214" i="2"/>
  <c r="BX214" i="2"/>
  <c r="BY214" i="2" s="1"/>
  <c r="BV214" i="2"/>
  <c r="BS214" i="2"/>
  <c r="BT214" i="2" s="1"/>
  <c r="BQ214" i="2"/>
  <c r="BN214" i="2"/>
  <c r="BO214" i="2" s="1"/>
  <c r="BL214" i="2"/>
  <c r="BI214" i="2"/>
  <c r="BJ214" i="2" s="1"/>
  <c r="BG214" i="2"/>
  <c r="BD214" i="2"/>
  <c r="BE214" i="2" s="1"/>
  <c r="BB214" i="2"/>
  <c r="AY214" i="2"/>
  <c r="AZ214" i="2" s="1"/>
  <c r="AW214" i="2"/>
  <c r="AT214" i="2"/>
  <c r="AU214" i="2" s="1"/>
  <c r="AR214" i="2"/>
  <c r="AO214" i="2"/>
  <c r="AP214" i="2" s="1"/>
  <c r="AM214" i="2"/>
  <c r="AJ214" i="2"/>
  <c r="AK214" i="2" s="1"/>
  <c r="AH214" i="2"/>
  <c r="S214" i="2"/>
  <c r="I214" i="2"/>
  <c r="A214" i="2"/>
  <c r="CC213" i="2"/>
  <c r="CD213" i="2" s="1"/>
  <c r="CA213" i="2"/>
  <c r="BX213" i="2"/>
  <c r="BY213" i="2" s="1"/>
  <c r="BV213" i="2"/>
  <c r="BS213" i="2"/>
  <c r="BT213" i="2" s="1"/>
  <c r="BQ213" i="2"/>
  <c r="BN213" i="2"/>
  <c r="BO213" i="2" s="1"/>
  <c r="BL213" i="2"/>
  <c r="BI213" i="2"/>
  <c r="BJ213" i="2" s="1"/>
  <c r="BG213" i="2"/>
  <c r="BD213" i="2"/>
  <c r="BE213" i="2" s="1"/>
  <c r="BB213" i="2"/>
  <c r="AY213" i="2"/>
  <c r="AZ213" i="2" s="1"/>
  <c r="AW213" i="2"/>
  <c r="AT213" i="2"/>
  <c r="AU213" i="2" s="1"/>
  <c r="AR213" i="2"/>
  <c r="AO213" i="2"/>
  <c r="AP213" i="2" s="1"/>
  <c r="AM213" i="2"/>
  <c r="AJ213" i="2"/>
  <c r="AK213" i="2" s="1"/>
  <c r="AH213" i="2"/>
  <c r="S213" i="2"/>
  <c r="I213" i="2"/>
  <c r="A213" i="2"/>
  <c r="CC212" i="2"/>
  <c r="CD212" i="2" s="1"/>
  <c r="CA212" i="2"/>
  <c r="BX212" i="2"/>
  <c r="BY212" i="2" s="1"/>
  <c r="BV212" i="2"/>
  <c r="BS212" i="2"/>
  <c r="BT212" i="2" s="1"/>
  <c r="BQ212" i="2"/>
  <c r="BN212" i="2"/>
  <c r="BO212" i="2" s="1"/>
  <c r="BL212" i="2"/>
  <c r="BI212" i="2"/>
  <c r="BJ212" i="2" s="1"/>
  <c r="BG212" i="2"/>
  <c r="BD212" i="2"/>
  <c r="BE212" i="2" s="1"/>
  <c r="BB212" i="2"/>
  <c r="AY212" i="2"/>
  <c r="AZ212" i="2" s="1"/>
  <c r="AW212" i="2"/>
  <c r="AT212" i="2"/>
  <c r="AU212" i="2" s="1"/>
  <c r="AR212" i="2"/>
  <c r="AO212" i="2"/>
  <c r="AP212" i="2" s="1"/>
  <c r="AM212" i="2"/>
  <c r="AJ212" i="2"/>
  <c r="AK212" i="2" s="1"/>
  <c r="AH212" i="2"/>
  <c r="S212" i="2"/>
  <c r="I212" i="2"/>
  <c r="A212" i="2"/>
  <c r="CC211" i="2"/>
  <c r="CD211" i="2" s="1"/>
  <c r="CA211" i="2"/>
  <c r="BX211" i="2"/>
  <c r="BY211" i="2" s="1"/>
  <c r="BV211" i="2"/>
  <c r="BS211" i="2"/>
  <c r="BT211" i="2" s="1"/>
  <c r="BQ211" i="2"/>
  <c r="BN211" i="2"/>
  <c r="BO211" i="2" s="1"/>
  <c r="BL211" i="2"/>
  <c r="BI211" i="2"/>
  <c r="BJ211" i="2" s="1"/>
  <c r="BG211" i="2"/>
  <c r="BD211" i="2"/>
  <c r="BE211" i="2" s="1"/>
  <c r="BB211" i="2"/>
  <c r="AY211" i="2"/>
  <c r="AZ211" i="2" s="1"/>
  <c r="AW211" i="2"/>
  <c r="AT211" i="2"/>
  <c r="AU211" i="2" s="1"/>
  <c r="AR211" i="2"/>
  <c r="AO211" i="2"/>
  <c r="AP211" i="2" s="1"/>
  <c r="AM211" i="2"/>
  <c r="AJ211" i="2"/>
  <c r="AK211" i="2" s="1"/>
  <c r="AH211" i="2"/>
  <c r="S211" i="2"/>
  <c r="I211" i="2"/>
  <c r="A211" i="2"/>
  <c r="CC210" i="2"/>
  <c r="CD210" i="2" s="1"/>
  <c r="CA210" i="2"/>
  <c r="BX210" i="2"/>
  <c r="BY210" i="2" s="1"/>
  <c r="BV210" i="2"/>
  <c r="BS210" i="2"/>
  <c r="BT210" i="2" s="1"/>
  <c r="BQ210" i="2"/>
  <c r="BN210" i="2"/>
  <c r="BO210" i="2" s="1"/>
  <c r="BL210" i="2"/>
  <c r="BI210" i="2"/>
  <c r="BJ210" i="2" s="1"/>
  <c r="BG210" i="2"/>
  <c r="BD210" i="2"/>
  <c r="BE210" i="2" s="1"/>
  <c r="BB210" i="2"/>
  <c r="AY210" i="2"/>
  <c r="AZ210" i="2" s="1"/>
  <c r="AW210" i="2"/>
  <c r="AT210" i="2"/>
  <c r="AU210" i="2" s="1"/>
  <c r="AR210" i="2"/>
  <c r="AO210" i="2"/>
  <c r="AP210" i="2" s="1"/>
  <c r="AM210" i="2"/>
  <c r="AJ210" i="2"/>
  <c r="AK210" i="2" s="1"/>
  <c r="AH210" i="2"/>
  <c r="AE210" i="2"/>
  <c r="AF210" i="2" s="1"/>
  <c r="AC210" i="2"/>
  <c r="S210" i="2"/>
  <c r="I210" i="2"/>
  <c r="A210" i="2"/>
  <c r="CC209" i="2"/>
  <c r="CD209" i="2" s="1"/>
  <c r="CA209" i="2"/>
  <c r="BX209" i="2"/>
  <c r="BY209" i="2" s="1"/>
  <c r="BV209" i="2"/>
  <c r="BS209" i="2"/>
  <c r="BT209" i="2" s="1"/>
  <c r="BQ209" i="2"/>
  <c r="BN209" i="2"/>
  <c r="BO209" i="2" s="1"/>
  <c r="BL209" i="2"/>
  <c r="BI209" i="2"/>
  <c r="BJ209" i="2" s="1"/>
  <c r="BG209" i="2"/>
  <c r="BD209" i="2"/>
  <c r="BE209" i="2" s="1"/>
  <c r="BB209" i="2"/>
  <c r="AY209" i="2"/>
  <c r="AZ209" i="2" s="1"/>
  <c r="AW209" i="2"/>
  <c r="AT209" i="2"/>
  <c r="AU209" i="2" s="1"/>
  <c r="AR209" i="2"/>
  <c r="AO209" i="2"/>
  <c r="AP209" i="2" s="1"/>
  <c r="AM209" i="2"/>
  <c r="AJ209" i="2"/>
  <c r="AK209" i="2" s="1"/>
  <c r="AH209" i="2"/>
  <c r="S209" i="2"/>
  <c r="I209" i="2"/>
  <c r="A209" i="2"/>
  <c r="CC208" i="2"/>
  <c r="CD208" i="2" s="1"/>
  <c r="CA208" i="2"/>
  <c r="BX208" i="2"/>
  <c r="BY208" i="2" s="1"/>
  <c r="BV208" i="2"/>
  <c r="BS208" i="2"/>
  <c r="BT208" i="2" s="1"/>
  <c r="BQ208" i="2"/>
  <c r="BN208" i="2"/>
  <c r="BO208" i="2" s="1"/>
  <c r="BL208" i="2"/>
  <c r="BI208" i="2"/>
  <c r="BJ208" i="2" s="1"/>
  <c r="BG208" i="2"/>
  <c r="BD208" i="2"/>
  <c r="BE208" i="2" s="1"/>
  <c r="BB208" i="2"/>
  <c r="AY208" i="2"/>
  <c r="AZ208" i="2" s="1"/>
  <c r="AW208" i="2"/>
  <c r="AT208" i="2"/>
  <c r="AU208" i="2" s="1"/>
  <c r="AR208" i="2"/>
  <c r="AO208" i="2"/>
  <c r="AP208" i="2" s="1"/>
  <c r="AM208" i="2"/>
  <c r="AJ208" i="2"/>
  <c r="AK208" i="2" s="1"/>
  <c r="AH208" i="2"/>
  <c r="AE208" i="2"/>
  <c r="AF208" i="2" s="1"/>
  <c r="AC208" i="2"/>
  <c r="S208" i="2"/>
  <c r="I208" i="2"/>
  <c r="A208" i="2"/>
  <c r="CC207" i="2"/>
  <c r="CD207" i="2" s="1"/>
  <c r="CA207" i="2"/>
  <c r="BX207" i="2"/>
  <c r="BY207" i="2" s="1"/>
  <c r="BV207" i="2"/>
  <c r="BS207" i="2"/>
  <c r="BT207" i="2" s="1"/>
  <c r="BQ207" i="2"/>
  <c r="BN207" i="2"/>
  <c r="BO207" i="2" s="1"/>
  <c r="BL207" i="2"/>
  <c r="BI207" i="2"/>
  <c r="BJ207" i="2" s="1"/>
  <c r="BG207" i="2"/>
  <c r="BD207" i="2"/>
  <c r="BE207" i="2" s="1"/>
  <c r="BB207" i="2"/>
  <c r="AY207" i="2"/>
  <c r="AZ207" i="2" s="1"/>
  <c r="AW207" i="2"/>
  <c r="AT207" i="2"/>
  <c r="AU207" i="2" s="1"/>
  <c r="AR207" i="2"/>
  <c r="AO207" i="2"/>
  <c r="AP207" i="2" s="1"/>
  <c r="AM207" i="2"/>
  <c r="AJ207" i="2"/>
  <c r="AK207" i="2" s="1"/>
  <c r="AH207" i="2"/>
  <c r="S207" i="2"/>
  <c r="I207" i="2"/>
  <c r="A207" i="2"/>
  <c r="CC206" i="2"/>
  <c r="CD206" i="2" s="1"/>
  <c r="CA206" i="2"/>
  <c r="BX206" i="2"/>
  <c r="BY206" i="2" s="1"/>
  <c r="BV206" i="2"/>
  <c r="BS206" i="2"/>
  <c r="BT206" i="2" s="1"/>
  <c r="BQ206" i="2"/>
  <c r="BN206" i="2"/>
  <c r="BO206" i="2" s="1"/>
  <c r="BL206" i="2"/>
  <c r="BI206" i="2"/>
  <c r="BJ206" i="2" s="1"/>
  <c r="BG206" i="2"/>
  <c r="BD206" i="2"/>
  <c r="BE206" i="2" s="1"/>
  <c r="BB206" i="2"/>
  <c r="AY206" i="2"/>
  <c r="AZ206" i="2" s="1"/>
  <c r="AW206" i="2"/>
  <c r="AT206" i="2"/>
  <c r="AU206" i="2" s="1"/>
  <c r="AR206" i="2"/>
  <c r="AO206" i="2"/>
  <c r="AP206" i="2" s="1"/>
  <c r="AM206" i="2"/>
  <c r="AJ206" i="2"/>
  <c r="AK206" i="2" s="1"/>
  <c r="AH206" i="2"/>
  <c r="AE206" i="2"/>
  <c r="AF206" i="2" s="1"/>
  <c r="AC206" i="2"/>
  <c r="S206" i="2"/>
  <c r="I206" i="2"/>
  <c r="A206" i="2"/>
  <c r="CC205" i="2"/>
  <c r="CD205" i="2" s="1"/>
  <c r="CA205" i="2"/>
  <c r="BX205" i="2"/>
  <c r="BY205" i="2" s="1"/>
  <c r="BV205" i="2"/>
  <c r="BS205" i="2"/>
  <c r="BT205" i="2" s="1"/>
  <c r="BQ205" i="2"/>
  <c r="BN205" i="2"/>
  <c r="BO205" i="2" s="1"/>
  <c r="BL205" i="2"/>
  <c r="BI205" i="2"/>
  <c r="BJ205" i="2" s="1"/>
  <c r="BG205" i="2"/>
  <c r="BD205" i="2"/>
  <c r="BE205" i="2" s="1"/>
  <c r="BB205" i="2"/>
  <c r="AY205" i="2"/>
  <c r="AZ205" i="2" s="1"/>
  <c r="AW205" i="2"/>
  <c r="AT205" i="2"/>
  <c r="AU205" i="2" s="1"/>
  <c r="AR205" i="2"/>
  <c r="AO205" i="2"/>
  <c r="AP205" i="2" s="1"/>
  <c r="AM205" i="2"/>
  <c r="AJ205" i="2"/>
  <c r="AK205" i="2" s="1"/>
  <c r="AH205" i="2"/>
  <c r="S205" i="2"/>
  <c r="I205" i="2"/>
  <c r="A205" i="2"/>
  <c r="CC204" i="2"/>
  <c r="CD204" i="2" s="1"/>
  <c r="CA204" i="2"/>
  <c r="BX204" i="2"/>
  <c r="BY204" i="2" s="1"/>
  <c r="BV204" i="2"/>
  <c r="BS204" i="2"/>
  <c r="BT204" i="2" s="1"/>
  <c r="BQ204" i="2"/>
  <c r="BN204" i="2"/>
  <c r="BO204" i="2" s="1"/>
  <c r="BL204" i="2"/>
  <c r="BI204" i="2"/>
  <c r="BJ204" i="2" s="1"/>
  <c r="BG204" i="2"/>
  <c r="BD204" i="2"/>
  <c r="BE204" i="2" s="1"/>
  <c r="BB204" i="2"/>
  <c r="AY204" i="2"/>
  <c r="AZ204" i="2" s="1"/>
  <c r="AW204" i="2"/>
  <c r="AT204" i="2"/>
  <c r="AU204" i="2" s="1"/>
  <c r="AR204" i="2"/>
  <c r="AO204" i="2"/>
  <c r="AP204" i="2" s="1"/>
  <c r="AM204" i="2"/>
  <c r="AJ204" i="2"/>
  <c r="AK204" i="2" s="1"/>
  <c r="AH204" i="2"/>
  <c r="S204" i="2"/>
  <c r="I204" i="2"/>
  <c r="A204" i="2"/>
  <c r="CC203" i="2"/>
  <c r="CD203" i="2" s="1"/>
  <c r="CA203" i="2"/>
  <c r="BX203" i="2"/>
  <c r="BY203" i="2" s="1"/>
  <c r="BV203" i="2"/>
  <c r="BS203" i="2"/>
  <c r="BT203" i="2" s="1"/>
  <c r="BQ203" i="2"/>
  <c r="BN203" i="2"/>
  <c r="BO203" i="2" s="1"/>
  <c r="BL203" i="2"/>
  <c r="BI203" i="2"/>
  <c r="BJ203" i="2" s="1"/>
  <c r="BG203" i="2"/>
  <c r="BD203" i="2"/>
  <c r="BE203" i="2" s="1"/>
  <c r="BB203" i="2"/>
  <c r="AY203" i="2"/>
  <c r="AZ203" i="2" s="1"/>
  <c r="AW203" i="2"/>
  <c r="AT203" i="2"/>
  <c r="AU203" i="2" s="1"/>
  <c r="AR203" i="2"/>
  <c r="AO203" i="2"/>
  <c r="AP203" i="2" s="1"/>
  <c r="AM203" i="2"/>
  <c r="AJ203" i="2"/>
  <c r="AK203" i="2" s="1"/>
  <c r="AH203" i="2"/>
  <c r="AE203" i="2"/>
  <c r="AF203" i="2" s="1"/>
  <c r="AC203" i="2"/>
  <c r="S203" i="2"/>
  <c r="I203" i="2"/>
  <c r="A203" i="2"/>
  <c r="CC202" i="2"/>
  <c r="CD202" i="2" s="1"/>
  <c r="CA202" i="2"/>
  <c r="BX202" i="2"/>
  <c r="BY202" i="2" s="1"/>
  <c r="BV202" i="2"/>
  <c r="BS202" i="2"/>
  <c r="BT202" i="2" s="1"/>
  <c r="BQ202" i="2"/>
  <c r="BN202" i="2"/>
  <c r="BO202" i="2" s="1"/>
  <c r="BL202" i="2"/>
  <c r="BI202" i="2"/>
  <c r="BJ202" i="2" s="1"/>
  <c r="BG202" i="2"/>
  <c r="BD202" i="2"/>
  <c r="BE202" i="2" s="1"/>
  <c r="BB202" i="2"/>
  <c r="AY202" i="2"/>
  <c r="AZ202" i="2" s="1"/>
  <c r="AW202" i="2"/>
  <c r="AT202" i="2"/>
  <c r="AU202" i="2" s="1"/>
  <c r="AR202" i="2"/>
  <c r="AO202" i="2"/>
  <c r="AP202" i="2" s="1"/>
  <c r="AM202" i="2"/>
  <c r="AJ202" i="2"/>
  <c r="AK202" i="2" s="1"/>
  <c r="AH202" i="2"/>
  <c r="S202" i="2"/>
  <c r="I202" i="2"/>
  <c r="A202" i="2"/>
  <c r="CC201" i="2"/>
  <c r="CD201" i="2" s="1"/>
  <c r="CA201" i="2"/>
  <c r="BX201" i="2"/>
  <c r="BY201" i="2" s="1"/>
  <c r="BV201" i="2"/>
  <c r="BS201" i="2"/>
  <c r="BT201" i="2" s="1"/>
  <c r="BQ201" i="2"/>
  <c r="BN201" i="2"/>
  <c r="BO201" i="2" s="1"/>
  <c r="BL201" i="2"/>
  <c r="BI201" i="2"/>
  <c r="BJ201" i="2" s="1"/>
  <c r="BG201" i="2"/>
  <c r="BD201" i="2"/>
  <c r="BE201" i="2" s="1"/>
  <c r="BB201" i="2"/>
  <c r="AY201" i="2"/>
  <c r="AZ201" i="2" s="1"/>
  <c r="AW201" i="2"/>
  <c r="AT201" i="2"/>
  <c r="AU201" i="2" s="1"/>
  <c r="AR201" i="2"/>
  <c r="AO201" i="2"/>
  <c r="AP201" i="2" s="1"/>
  <c r="AM201" i="2"/>
  <c r="AJ201" i="2"/>
  <c r="AK201" i="2" s="1"/>
  <c r="AH201" i="2"/>
  <c r="AE201" i="2"/>
  <c r="AF201" i="2" s="1"/>
  <c r="AC201" i="2"/>
  <c r="S201" i="2"/>
  <c r="I201" i="2"/>
  <c r="A201" i="2"/>
  <c r="CC200" i="2"/>
  <c r="CD200" i="2" s="1"/>
  <c r="CA200" i="2"/>
  <c r="BX200" i="2"/>
  <c r="BY200" i="2" s="1"/>
  <c r="BV200" i="2"/>
  <c r="BS200" i="2"/>
  <c r="BT200" i="2" s="1"/>
  <c r="BQ200" i="2"/>
  <c r="BN200" i="2"/>
  <c r="BO200" i="2" s="1"/>
  <c r="BL200" i="2"/>
  <c r="BI200" i="2"/>
  <c r="BJ200" i="2" s="1"/>
  <c r="BG200" i="2"/>
  <c r="BD200" i="2"/>
  <c r="BE200" i="2" s="1"/>
  <c r="BB200" i="2"/>
  <c r="AY200" i="2"/>
  <c r="AZ200" i="2" s="1"/>
  <c r="AW200" i="2"/>
  <c r="AT200" i="2"/>
  <c r="AU200" i="2" s="1"/>
  <c r="AR200" i="2"/>
  <c r="AO200" i="2"/>
  <c r="AP200" i="2" s="1"/>
  <c r="AM200" i="2"/>
  <c r="AJ200" i="2"/>
  <c r="AK200" i="2" s="1"/>
  <c r="AH200" i="2"/>
  <c r="S200" i="2"/>
  <c r="I200" i="2"/>
  <c r="A200" i="2"/>
  <c r="CC199" i="2"/>
  <c r="CD199" i="2" s="1"/>
  <c r="CA199" i="2"/>
  <c r="BX199" i="2"/>
  <c r="BY199" i="2" s="1"/>
  <c r="BV199" i="2"/>
  <c r="BS199" i="2"/>
  <c r="BT199" i="2" s="1"/>
  <c r="BQ199" i="2"/>
  <c r="BN199" i="2"/>
  <c r="BO199" i="2" s="1"/>
  <c r="BL199" i="2"/>
  <c r="BI199" i="2"/>
  <c r="BJ199" i="2" s="1"/>
  <c r="BG199" i="2"/>
  <c r="BD199" i="2"/>
  <c r="BE199" i="2" s="1"/>
  <c r="BB199" i="2"/>
  <c r="AY199" i="2"/>
  <c r="AZ199" i="2" s="1"/>
  <c r="AW199" i="2"/>
  <c r="AT199" i="2"/>
  <c r="AU199" i="2" s="1"/>
  <c r="AR199" i="2"/>
  <c r="AO199" i="2"/>
  <c r="AP199" i="2" s="1"/>
  <c r="AM199" i="2"/>
  <c r="AJ199" i="2"/>
  <c r="AK199" i="2" s="1"/>
  <c r="AH199" i="2"/>
  <c r="S199" i="2"/>
  <c r="I199" i="2"/>
  <c r="A199" i="2"/>
  <c r="CC198" i="2"/>
  <c r="CD198" i="2" s="1"/>
  <c r="CA198" i="2"/>
  <c r="BX198" i="2"/>
  <c r="BY198" i="2" s="1"/>
  <c r="BV198" i="2"/>
  <c r="BS198" i="2"/>
  <c r="BT198" i="2" s="1"/>
  <c r="BQ198" i="2"/>
  <c r="BN198" i="2"/>
  <c r="BO198" i="2" s="1"/>
  <c r="BL198" i="2"/>
  <c r="BI198" i="2"/>
  <c r="BJ198" i="2" s="1"/>
  <c r="BG198" i="2"/>
  <c r="BD198" i="2"/>
  <c r="BE198" i="2" s="1"/>
  <c r="BB198" i="2"/>
  <c r="AY198" i="2"/>
  <c r="AZ198" i="2" s="1"/>
  <c r="AW198" i="2"/>
  <c r="AT198" i="2"/>
  <c r="AU198" i="2" s="1"/>
  <c r="AR198" i="2"/>
  <c r="AO198" i="2"/>
  <c r="AP198" i="2" s="1"/>
  <c r="AM198" i="2"/>
  <c r="AJ198" i="2"/>
  <c r="AK198" i="2" s="1"/>
  <c r="AH198" i="2"/>
  <c r="S198" i="2"/>
  <c r="I198" i="2"/>
  <c r="A198" i="2"/>
  <c r="CC197" i="2"/>
  <c r="CD197" i="2" s="1"/>
  <c r="CA197" i="2"/>
  <c r="BX197" i="2"/>
  <c r="BY197" i="2" s="1"/>
  <c r="BV197" i="2"/>
  <c r="BS197" i="2"/>
  <c r="BT197" i="2" s="1"/>
  <c r="BQ197" i="2"/>
  <c r="BN197" i="2"/>
  <c r="BO197" i="2" s="1"/>
  <c r="BL197" i="2"/>
  <c r="BI197" i="2"/>
  <c r="BJ197" i="2" s="1"/>
  <c r="BG197" i="2"/>
  <c r="BD197" i="2"/>
  <c r="BE197" i="2" s="1"/>
  <c r="BB197" i="2"/>
  <c r="AY197" i="2"/>
  <c r="AZ197" i="2" s="1"/>
  <c r="AW197" i="2"/>
  <c r="AT197" i="2"/>
  <c r="AU197" i="2" s="1"/>
  <c r="AR197" i="2"/>
  <c r="AO197" i="2"/>
  <c r="AP197" i="2" s="1"/>
  <c r="AM197" i="2"/>
  <c r="AJ197" i="2"/>
  <c r="AK197" i="2" s="1"/>
  <c r="AH197" i="2"/>
  <c r="S197" i="2"/>
  <c r="I197" i="2"/>
  <c r="A197" i="2"/>
  <c r="CC196" i="2"/>
  <c r="CD196" i="2" s="1"/>
  <c r="CA196" i="2"/>
  <c r="BX196" i="2"/>
  <c r="BY196" i="2" s="1"/>
  <c r="BV196" i="2"/>
  <c r="BS196" i="2"/>
  <c r="BT196" i="2" s="1"/>
  <c r="BQ196" i="2"/>
  <c r="BN196" i="2"/>
  <c r="BO196" i="2" s="1"/>
  <c r="BL196" i="2"/>
  <c r="BI196" i="2"/>
  <c r="BJ196" i="2" s="1"/>
  <c r="BG196" i="2"/>
  <c r="BD196" i="2"/>
  <c r="BE196" i="2" s="1"/>
  <c r="BB196" i="2"/>
  <c r="AY196" i="2"/>
  <c r="AZ196" i="2" s="1"/>
  <c r="AW196" i="2"/>
  <c r="AT196" i="2"/>
  <c r="AU196" i="2" s="1"/>
  <c r="AR196" i="2"/>
  <c r="AO196" i="2"/>
  <c r="AP196" i="2" s="1"/>
  <c r="AM196" i="2"/>
  <c r="AJ196" i="2"/>
  <c r="AK196" i="2" s="1"/>
  <c r="AH196" i="2"/>
  <c r="AE196" i="2"/>
  <c r="AF196" i="2" s="1"/>
  <c r="AC196" i="2"/>
  <c r="S196" i="2"/>
  <c r="I196" i="2"/>
  <c r="A196" i="2"/>
  <c r="CC195" i="2"/>
  <c r="CD195" i="2" s="1"/>
  <c r="CA195" i="2"/>
  <c r="BX195" i="2"/>
  <c r="BY195" i="2" s="1"/>
  <c r="BV195" i="2"/>
  <c r="BS195" i="2"/>
  <c r="BT195" i="2" s="1"/>
  <c r="BQ195" i="2"/>
  <c r="BN195" i="2"/>
  <c r="BO195" i="2" s="1"/>
  <c r="BL195" i="2"/>
  <c r="BI195" i="2"/>
  <c r="BJ195" i="2" s="1"/>
  <c r="BG195" i="2"/>
  <c r="BD195" i="2"/>
  <c r="BE195" i="2" s="1"/>
  <c r="BB195" i="2"/>
  <c r="AY195" i="2"/>
  <c r="AZ195" i="2" s="1"/>
  <c r="AW195" i="2"/>
  <c r="AT195" i="2"/>
  <c r="AU195" i="2" s="1"/>
  <c r="AR195" i="2"/>
  <c r="AO195" i="2"/>
  <c r="AP195" i="2" s="1"/>
  <c r="AM195" i="2"/>
  <c r="AJ195" i="2"/>
  <c r="AK195" i="2" s="1"/>
  <c r="AH195" i="2"/>
  <c r="AE195" i="2"/>
  <c r="AF195" i="2" s="1"/>
  <c r="AC195" i="2"/>
  <c r="S195" i="2"/>
  <c r="I195" i="2"/>
  <c r="A195" i="2"/>
  <c r="CC194" i="2"/>
  <c r="CD194" i="2" s="1"/>
  <c r="CA194" i="2"/>
  <c r="BX194" i="2"/>
  <c r="BY194" i="2" s="1"/>
  <c r="BV194" i="2"/>
  <c r="BS194" i="2"/>
  <c r="BT194" i="2" s="1"/>
  <c r="BQ194" i="2"/>
  <c r="BN194" i="2"/>
  <c r="BO194" i="2" s="1"/>
  <c r="BL194" i="2"/>
  <c r="BI194" i="2"/>
  <c r="BJ194" i="2" s="1"/>
  <c r="BG194" i="2"/>
  <c r="BD194" i="2"/>
  <c r="BE194" i="2" s="1"/>
  <c r="BB194" i="2"/>
  <c r="AY194" i="2"/>
  <c r="AZ194" i="2" s="1"/>
  <c r="AW194" i="2"/>
  <c r="AT194" i="2"/>
  <c r="AU194" i="2" s="1"/>
  <c r="AR194" i="2"/>
  <c r="AO194" i="2"/>
  <c r="AP194" i="2" s="1"/>
  <c r="AM194" i="2"/>
  <c r="AJ194" i="2"/>
  <c r="AK194" i="2" s="1"/>
  <c r="AH194" i="2"/>
  <c r="S194" i="2"/>
  <c r="I194" i="2"/>
  <c r="A194" i="2"/>
  <c r="CC193" i="2"/>
  <c r="CD193" i="2" s="1"/>
  <c r="CA193" i="2"/>
  <c r="BX193" i="2"/>
  <c r="BY193" i="2" s="1"/>
  <c r="BV193" i="2"/>
  <c r="BS193" i="2"/>
  <c r="BT193" i="2" s="1"/>
  <c r="BQ193" i="2"/>
  <c r="BN193" i="2"/>
  <c r="BO193" i="2" s="1"/>
  <c r="BL193" i="2"/>
  <c r="BI193" i="2"/>
  <c r="BJ193" i="2" s="1"/>
  <c r="BG193" i="2"/>
  <c r="BD193" i="2"/>
  <c r="BE193" i="2" s="1"/>
  <c r="BB193" i="2"/>
  <c r="AY193" i="2"/>
  <c r="AZ193" i="2" s="1"/>
  <c r="AW193" i="2"/>
  <c r="AT193" i="2"/>
  <c r="AU193" i="2" s="1"/>
  <c r="AR193" i="2"/>
  <c r="AO193" i="2"/>
  <c r="AP193" i="2" s="1"/>
  <c r="AM193" i="2"/>
  <c r="AJ193" i="2"/>
  <c r="AK193" i="2" s="1"/>
  <c r="AH193" i="2"/>
  <c r="S193" i="2"/>
  <c r="I193" i="2"/>
  <c r="A193" i="2"/>
  <c r="CC192" i="2"/>
  <c r="CD192" i="2" s="1"/>
  <c r="CA192" i="2"/>
  <c r="BX192" i="2"/>
  <c r="BY192" i="2" s="1"/>
  <c r="BV192" i="2"/>
  <c r="BS192" i="2"/>
  <c r="BT192" i="2" s="1"/>
  <c r="BQ192" i="2"/>
  <c r="BN192" i="2"/>
  <c r="BO192" i="2" s="1"/>
  <c r="BL192" i="2"/>
  <c r="BI192" i="2"/>
  <c r="BJ192" i="2" s="1"/>
  <c r="BG192" i="2"/>
  <c r="BD192" i="2"/>
  <c r="BE192" i="2" s="1"/>
  <c r="BB192" i="2"/>
  <c r="AY192" i="2"/>
  <c r="AZ192" i="2" s="1"/>
  <c r="AW192" i="2"/>
  <c r="AT192" i="2"/>
  <c r="AU192" i="2" s="1"/>
  <c r="AR192" i="2"/>
  <c r="AO192" i="2"/>
  <c r="AP192" i="2" s="1"/>
  <c r="AM192" i="2"/>
  <c r="AJ192" i="2"/>
  <c r="AK192" i="2" s="1"/>
  <c r="AH192" i="2"/>
  <c r="S192" i="2"/>
  <c r="I192" i="2"/>
  <c r="A192" i="2"/>
  <c r="CC191" i="2"/>
  <c r="CD191" i="2" s="1"/>
  <c r="CA191" i="2"/>
  <c r="BX191" i="2"/>
  <c r="BY191" i="2" s="1"/>
  <c r="BV191" i="2"/>
  <c r="BS191" i="2"/>
  <c r="BT191" i="2" s="1"/>
  <c r="BQ191" i="2"/>
  <c r="BN191" i="2"/>
  <c r="BO191" i="2" s="1"/>
  <c r="BL191" i="2"/>
  <c r="BI191" i="2"/>
  <c r="BJ191" i="2" s="1"/>
  <c r="BG191" i="2"/>
  <c r="BD191" i="2"/>
  <c r="BE191" i="2" s="1"/>
  <c r="BB191" i="2"/>
  <c r="AY191" i="2"/>
  <c r="AZ191" i="2" s="1"/>
  <c r="AW191" i="2"/>
  <c r="AT191" i="2"/>
  <c r="AU191" i="2" s="1"/>
  <c r="AR191" i="2"/>
  <c r="AO191" i="2"/>
  <c r="AP191" i="2" s="1"/>
  <c r="AM191" i="2"/>
  <c r="AJ191" i="2"/>
  <c r="AK191" i="2" s="1"/>
  <c r="AH191" i="2"/>
  <c r="AE191" i="2"/>
  <c r="AF191" i="2" s="1"/>
  <c r="AC191" i="2"/>
  <c r="S191" i="2"/>
  <c r="I191" i="2"/>
  <c r="A191" i="2"/>
  <c r="CC190" i="2"/>
  <c r="CD190" i="2" s="1"/>
  <c r="CA190" i="2"/>
  <c r="BX190" i="2"/>
  <c r="BY190" i="2" s="1"/>
  <c r="BV190" i="2"/>
  <c r="BS190" i="2"/>
  <c r="BT190" i="2" s="1"/>
  <c r="BQ190" i="2"/>
  <c r="BN190" i="2"/>
  <c r="BO190" i="2" s="1"/>
  <c r="BL190" i="2"/>
  <c r="BI190" i="2"/>
  <c r="BJ190" i="2" s="1"/>
  <c r="BG190" i="2"/>
  <c r="BD190" i="2"/>
  <c r="BE190" i="2" s="1"/>
  <c r="BB190" i="2"/>
  <c r="AY190" i="2"/>
  <c r="AZ190" i="2" s="1"/>
  <c r="AW190" i="2"/>
  <c r="AT190" i="2"/>
  <c r="AU190" i="2" s="1"/>
  <c r="AR190" i="2"/>
  <c r="AO190" i="2"/>
  <c r="AP190" i="2" s="1"/>
  <c r="AM190" i="2"/>
  <c r="AJ190" i="2"/>
  <c r="AK190" i="2" s="1"/>
  <c r="AH190" i="2"/>
  <c r="S190" i="2"/>
  <c r="I190" i="2"/>
  <c r="A190" i="2"/>
  <c r="CC189" i="2"/>
  <c r="CD189" i="2" s="1"/>
  <c r="CA189" i="2"/>
  <c r="BX189" i="2"/>
  <c r="BY189" i="2" s="1"/>
  <c r="BV189" i="2"/>
  <c r="BS189" i="2"/>
  <c r="BT189" i="2" s="1"/>
  <c r="BQ189" i="2"/>
  <c r="BN189" i="2"/>
  <c r="BO189" i="2" s="1"/>
  <c r="BL189" i="2"/>
  <c r="BI189" i="2"/>
  <c r="BJ189" i="2" s="1"/>
  <c r="BG189" i="2"/>
  <c r="BD189" i="2"/>
  <c r="BE189" i="2" s="1"/>
  <c r="BB189" i="2"/>
  <c r="AY189" i="2"/>
  <c r="AZ189" i="2" s="1"/>
  <c r="AW189" i="2"/>
  <c r="AT189" i="2"/>
  <c r="AU189" i="2" s="1"/>
  <c r="AR189" i="2"/>
  <c r="AO189" i="2"/>
  <c r="AP189" i="2" s="1"/>
  <c r="AM189" i="2"/>
  <c r="AJ189" i="2"/>
  <c r="AK189" i="2" s="1"/>
  <c r="AH189" i="2"/>
  <c r="S189" i="2"/>
  <c r="I189" i="2"/>
  <c r="A189" i="2"/>
  <c r="CC188" i="2"/>
  <c r="CD188" i="2" s="1"/>
  <c r="CA188" i="2"/>
  <c r="BX188" i="2"/>
  <c r="BY188" i="2" s="1"/>
  <c r="BV188" i="2"/>
  <c r="BS188" i="2"/>
  <c r="BT188" i="2" s="1"/>
  <c r="BQ188" i="2"/>
  <c r="BN188" i="2"/>
  <c r="BO188" i="2" s="1"/>
  <c r="BL188" i="2"/>
  <c r="BI188" i="2"/>
  <c r="BJ188" i="2" s="1"/>
  <c r="BG188" i="2"/>
  <c r="BD188" i="2"/>
  <c r="BE188" i="2" s="1"/>
  <c r="BB188" i="2"/>
  <c r="AY188" i="2"/>
  <c r="AZ188" i="2" s="1"/>
  <c r="AW188" i="2"/>
  <c r="AT188" i="2"/>
  <c r="AU188" i="2" s="1"/>
  <c r="AR188" i="2"/>
  <c r="AO188" i="2"/>
  <c r="AP188" i="2" s="1"/>
  <c r="AM188" i="2"/>
  <c r="AJ188" i="2"/>
  <c r="AK188" i="2" s="1"/>
  <c r="AH188" i="2"/>
  <c r="S188" i="2"/>
  <c r="I188" i="2"/>
  <c r="A188" i="2"/>
  <c r="CC187" i="2"/>
  <c r="CD187" i="2" s="1"/>
  <c r="CA187" i="2"/>
  <c r="BX187" i="2"/>
  <c r="BY187" i="2" s="1"/>
  <c r="BV187" i="2"/>
  <c r="BS187" i="2"/>
  <c r="BT187" i="2" s="1"/>
  <c r="BQ187" i="2"/>
  <c r="BN187" i="2"/>
  <c r="BO187" i="2" s="1"/>
  <c r="BL187" i="2"/>
  <c r="BI187" i="2"/>
  <c r="BJ187" i="2" s="1"/>
  <c r="BG187" i="2"/>
  <c r="BD187" i="2"/>
  <c r="BE187" i="2" s="1"/>
  <c r="BB187" i="2"/>
  <c r="AY187" i="2"/>
  <c r="AZ187" i="2" s="1"/>
  <c r="AW187" i="2"/>
  <c r="AT187" i="2"/>
  <c r="AU187" i="2" s="1"/>
  <c r="AR187" i="2"/>
  <c r="AO187" i="2"/>
  <c r="AP187" i="2" s="1"/>
  <c r="AM187" i="2"/>
  <c r="AJ187" i="2"/>
  <c r="AK187" i="2" s="1"/>
  <c r="AH187" i="2"/>
  <c r="S187" i="2"/>
  <c r="I187" i="2"/>
  <c r="A187" i="2"/>
  <c r="CC186" i="2"/>
  <c r="CD186" i="2" s="1"/>
  <c r="CA186" i="2"/>
  <c r="BX186" i="2"/>
  <c r="BY186" i="2" s="1"/>
  <c r="BV186" i="2"/>
  <c r="BS186" i="2"/>
  <c r="BT186" i="2" s="1"/>
  <c r="BQ186" i="2"/>
  <c r="BN186" i="2"/>
  <c r="BO186" i="2" s="1"/>
  <c r="BL186" i="2"/>
  <c r="BI186" i="2"/>
  <c r="BJ186" i="2" s="1"/>
  <c r="BG186" i="2"/>
  <c r="BD186" i="2"/>
  <c r="BE186" i="2" s="1"/>
  <c r="BB186" i="2"/>
  <c r="AY186" i="2"/>
  <c r="AZ186" i="2" s="1"/>
  <c r="AW186" i="2"/>
  <c r="AT186" i="2"/>
  <c r="AU186" i="2" s="1"/>
  <c r="AR186" i="2"/>
  <c r="AO186" i="2"/>
  <c r="AP186" i="2" s="1"/>
  <c r="AM186" i="2"/>
  <c r="AJ186" i="2"/>
  <c r="AK186" i="2" s="1"/>
  <c r="AH186" i="2"/>
  <c r="AE186" i="2"/>
  <c r="AF186" i="2" s="1"/>
  <c r="AC186" i="2"/>
  <c r="S186" i="2"/>
  <c r="I186" i="2"/>
  <c r="A186" i="2"/>
  <c r="CC185" i="2"/>
  <c r="CD185" i="2" s="1"/>
  <c r="CA185" i="2"/>
  <c r="BX185" i="2"/>
  <c r="BY185" i="2" s="1"/>
  <c r="BV185" i="2"/>
  <c r="BS185" i="2"/>
  <c r="BT185" i="2" s="1"/>
  <c r="BQ185" i="2"/>
  <c r="BN185" i="2"/>
  <c r="BO185" i="2" s="1"/>
  <c r="BL185" i="2"/>
  <c r="BI185" i="2"/>
  <c r="BJ185" i="2" s="1"/>
  <c r="BG185" i="2"/>
  <c r="BD185" i="2"/>
  <c r="BE185" i="2" s="1"/>
  <c r="BB185" i="2"/>
  <c r="AY185" i="2"/>
  <c r="AZ185" i="2" s="1"/>
  <c r="AW185" i="2"/>
  <c r="AT185" i="2"/>
  <c r="AU185" i="2" s="1"/>
  <c r="AR185" i="2"/>
  <c r="AO185" i="2"/>
  <c r="AP185" i="2" s="1"/>
  <c r="AM185" i="2"/>
  <c r="AJ185" i="2"/>
  <c r="AK185" i="2" s="1"/>
  <c r="AH185" i="2"/>
  <c r="AE185" i="2"/>
  <c r="AF185" i="2" s="1"/>
  <c r="AC185" i="2"/>
  <c r="S185" i="2"/>
  <c r="I185" i="2"/>
  <c r="A185" i="2"/>
  <c r="CC184" i="2"/>
  <c r="CD184" i="2" s="1"/>
  <c r="CA184" i="2"/>
  <c r="BX184" i="2"/>
  <c r="BY184" i="2" s="1"/>
  <c r="BV184" i="2"/>
  <c r="BS184" i="2"/>
  <c r="BT184" i="2" s="1"/>
  <c r="BQ184" i="2"/>
  <c r="BN184" i="2"/>
  <c r="BO184" i="2" s="1"/>
  <c r="BL184" i="2"/>
  <c r="BI184" i="2"/>
  <c r="BJ184" i="2" s="1"/>
  <c r="BG184" i="2"/>
  <c r="BD184" i="2"/>
  <c r="BE184" i="2" s="1"/>
  <c r="BB184" i="2"/>
  <c r="AY184" i="2"/>
  <c r="AZ184" i="2" s="1"/>
  <c r="AW184" i="2"/>
  <c r="AT184" i="2"/>
  <c r="AU184" i="2" s="1"/>
  <c r="AR184" i="2"/>
  <c r="AO184" i="2"/>
  <c r="AP184" i="2" s="1"/>
  <c r="AM184" i="2"/>
  <c r="AJ184" i="2"/>
  <c r="AK184" i="2" s="1"/>
  <c r="AH184" i="2"/>
  <c r="S184" i="2"/>
  <c r="I184" i="2"/>
  <c r="A184" i="2"/>
  <c r="CC183" i="2"/>
  <c r="CD183" i="2" s="1"/>
  <c r="CA183" i="2"/>
  <c r="BX183" i="2"/>
  <c r="BY183" i="2" s="1"/>
  <c r="BV183" i="2"/>
  <c r="BS183" i="2"/>
  <c r="BT183" i="2" s="1"/>
  <c r="BQ183" i="2"/>
  <c r="BN183" i="2"/>
  <c r="BO183" i="2" s="1"/>
  <c r="BL183" i="2"/>
  <c r="BI183" i="2"/>
  <c r="BJ183" i="2" s="1"/>
  <c r="BG183" i="2"/>
  <c r="BD183" i="2"/>
  <c r="BE183" i="2" s="1"/>
  <c r="BB183" i="2"/>
  <c r="AY183" i="2"/>
  <c r="AZ183" i="2" s="1"/>
  <c r="AW183" i="2"/>
  <c r="AT183" i="2"/>
  <c r="AU183" i="2" s="1"/>
  <c r="AR183" i="2"/>
  <c r="AO183" i="2"/>
  <c r="AP183" i="2" s="1"/>
  <c r="AM183" i="2"/>
  <c r="AJ183" i="2"/>
  <c r="AK183" i="2" s="1"/>
  <c r="AH183" i="2"/>
  <c r="AE183" i="2"/>
  <c r="AF183" i="2" s="1"/>
  <c r="AC183" i="2"/>
  <c r="S183" i="2"/>
  <c r="I183" i="2"/>
  <c r="A183" i="2"/>
  <c r="CC182" i="2"/>
  <c r="CD182" i="2" s="1"/>
  <c r="CA182" i="2"/>
  <c r="BX182" i="2"/>
  <c r="BY182" i="2" s="1"/>
  <c r="BV182" i="2"/>
  <c r="BS182" i="2"/>
  <c r="BT182" i="2" s="1"/>
  <c r="BQ182" i="2"/>
  <c r="BN182" i="2"/>
  <c r="BO182" i="2" s="1"/>
  <c r="BL182" i="2"/>
  <c r="BI182" i="2"/>
  <c r="BJ182" i="2" s="1"/>
  <c r="BG182" i="2"/>
  <c r="BD182" i="2"/>
  <c r="BE182" i="2" s="1"/>
  <c r="BB182" i="2"/>
  <c r="AY182" i="2"/>
  <c r="AZ182" i="2" s="1"/>
  <c r="AW182" i="2"/>
  <c r="AT182" i="2"/>
  <c r="AU182" i="2" s="1"/>
  <c r="AR182" i="2"/>
  <c r="AO182" i="2"/>
  <c r="AP182" i="2" s="1"/>
  <c r="AM182" i="2"/>
  <c r="AJ182" i="2"/>
  <c r="AK182" i="2" s="1"/>
  <c r="AH182" i="2"/>
  <c r="AE182" i="2"/>
  <c r="AF182" i="2" s="1"/>
  <c r="AC182" i="2"/>
  <c r="S182" i="2"/>
  <c r="I182" i="2"/>
  <c r="A182" i="2"/>
  <c r="CC181" i="2"/>
  <c r="CD181" i="2" s="1"/>
  <c r="CA181" i="2"/>
  <c r="BX181" i="2"/>
  <c r="BY181" i="2" s="1"/>
  <c r="BV181" i="2"/>
  <c r="BS181" i="2"/>
  <c r="BT181" i="2" s="1"/>
  <c r="BQ181" i="2"/>
  <c r="BN181" i="2"/>
  <c r="BO181" i="2" s="1"/>
  <c r="BL181" i="2"/>
  <c r="BI181" i="2"/>
  <c r="BJ181" i="2" s="1"/>
  <c r="BG181" i="2"/>
  <c r="BD181" i="2"/>
  <c r="BE181" i="2" s="1"/>
  <c r="BB181" i="2"/>
  <c r="AY181" i="2"/>
  <c r="AZ181" i="2" s="1"/>
  <c r="AW181" i="2"/>
  <c r="AT181" i="2"/>
  <c r="AU181" i="2" s="1"/>
  <c r="AR181" i="2"/>
  <c r="AO181" i="2"/>
  <c r="AP181" i="2" s="1"/>
  <c r="AM181" i="2"/>
  <c r="AJ181" i="2"/>
  <c r="AK181" i="2" s="1"/>
  <c r="AH181" i="2"/>
  <c r="S181" i="2"/>
  <c r="I181" i="2"/>
  <c r="A181" i="2"/>
  <c r="CC180" i="2"/>
  <c r="CD180" i="2" s="1"/>
  <c r="CA180" i="2"/>
  <c r="BX180" i="2"/>
  <c r="BY180" i="2" s="1"/>
  <c r="BV180" i="2"/>
  <c r="BS180" i="2"/>
  <c r="BT180" i="2" s="1"/>
  <c r="BQ180" i="2"/>
  <c r="BN180" i="2"/>
  <c r="BO180" i="2" s="1"/>
  <c r="BL180" i="2"/>
  <c r="BI180" i="2"/>
  <c r="BJ180" i="2" s="1"/>
  <c r="BG180" i="2"/>
  <c r="BD180" i="2"/>
  <c r="BE180" i="2" s="1"/>
  <c r="BB180" i="2"/>
  <c r="AY180" i="2"/>
  <c r="AZ180" i="2" s="1"/>
  <c r="AW180" i="2"/>
  <c r="AT180" i="2"/>
  <c r="AU180" i="2" s="1"/>
  <c r="AR180" i="2"/>
  <c r="AO180" i="2"/>
  <c r="AP180" i="2" s="1"/>
  <c r="AM180" i="2"/>
  <c r="AJ180" i="2"/>
  <c r="AK180" i="2" s="1"/>
  <c r="AH180" i="2"/>
  <c r="AE180" i="2"/>
  <c r="AF180" i="2" s="1"/>
  <c r="AC180" i="2"/>
  <c r="S180" i="2"/>
  <c r="I180" i="2"/>
  <c r="A180" i="2"/>
  <c r="CC179" i="2"/>
  <c r="CD179" i="2" s="1"/>
  <c r="CA179" i="2"/>
  <c r="BX179" i="2"/>
  <c r="BY179" i="2" s="1"/>
  <c r="BV179" i="2"/>
  <c r="BS179" i="2"/>
  <c r="BT179" i="2" s="1"/>
  <c r="BQ179" i="2"/>
  <c r="BN179" i="2"/>
  <c r="BO179" i="2" s="1"/>
  <c r="BL179" i="2"/>
  <c r="BI179" i="2"/>
  <c r="BJ179" i="2" s="1"/>
  <c r="BG179" i="2"/>
  <c r="BD179" i="2"/>
  <c r="BE179" i="2" s="1"/>
  <c r="BB179" i="2"/>
  <c r="AY179" i="2"/>
  <c r="AZ179" i="2" s="1"/>
  <c r="AW179" i="2"/>
  <c r="AT179" i="2"/>
  <c r="AU179" i="2" s="1"/>
  <c r="AR179" i="2"/>
  <c r="AO179" i="2"/>
  <c r="AP179" i="2" s="1"/>
  <c r="AM179" i="2"/>
  <c r="AJ179" i="2"/>
  <c r="AK179" i="2" s="1"/>
  <c r="AH179" i="2"/>
  <c r="S179" i="2"/>
  <c r="I179" i="2"/>
  <c r="A179" i="2"/>
  <c r="CC178" i="2"/>
  <c r="CD178" i="2" s="1"/>
  <c r="CA178" i="2"/>
  <c r="BX178" i="2"/>
  <c r="BY178" i="2" s="1"/>
  <c r="BV178" i="2"/>
  <c r="BS178" i="2"/>
  <c r="BT178" i="2" s="1"/>
  <c r="BQ178" i="2"/>
  <c r="BN178" i="2"/>
  <c r="BO178" i="2" s="1"/>
  <c r="BL178" i="2"/>
  <c r="BI178" i="2"/>
  <c r="BJ178" i="2" s="1"/>
  <c r="BG178" i="2"/>
  <c r="BD178" i="2"/>
  <c r="BE178" i="2" s="1"/>
  <c r="BB178" i="2"/>
  <c r="AY178" i="2"/>
  <c r="AZ178" i="2" s="1"/>
  <c r="AW178" i="2"/>
  <c r="AT178" i="2"/>
  <c r="AU178" i="2" s="1"/>
  <c r="AR178" i="2"/>
  <c r="AO178" i="2"/>
  <c r="AP178" i="2" s="1"/>
  <c r="AM178" i="2"/>
  <c r="AJ178" i="2"/>
  <c r="AK178" i="2" s="1"/>
  <c r="AH178" i="2"/>
  <c r="AE178" i="2"/>
  <c r="AF178" i="2" s="1"/>
  <c r="AC178" i="2"/>
  <c r="S178" i="2"/>
  <c r="I178" i="2"/>
  <c r="A178" i="2"/>
  <c r="CC177" i="2"/>
  <c r="CD177" i="2" s="1"/>
  <c r="CA177" i="2"/>
  <c r="BX177" i="2"/>
  <c r="BY177" i="2" s="1"/>
  <c r="BV177" i="2"/>
  <c r="BS177" i="2"/>
  <c r="BT177" i="2" s="1"/>
  <c r="BQ177" i="2"/>
  <c r="BN177" i="2"/>
  <c r="BO177" i="2" s="1"/>
  <c r="BL177" i="2"/>
  <c r="BI177" i="2"/>
  <c r="BJ177" i="2" s="1"/>
  <c r="BG177" i="2"/>
  <c r="BD177" i="2"/>
  <c r="BE177" i="2" s="1"/>
  <c r="BB177" i="2"/>
  <c r="AY177" i="2"/>
  <c r="AZ177" i="2" s="1"/>
  <c r="AW177" i="2"/>
  <c r="AT177" i="2"/>
  <c r="AU177" i="2" s="1"/>
  <c r="AR177" i="2"/>
  <c r="AO177" i="2"/>
  <c r="AP177" i="2" s="1"/>
  <c r="AM177" i="2"/>
  <c r="AJ177" i="2"/>
  <c r="AK177" i="2" s="1"/>
  <c r="AH177" i="2"/>
  <c r="AE177" i="2"/>
  <c r="AF177" i="2" s="1"/>
  <c r="AC177" i="2"/>
  <c r="S177" i="2"/>
  <c r="I177" i="2"/>
  <c r="A177" i="2"/>
  <c r="CC176" i="2"/>
  <c r="CD176" i="2" s="1"/>
  <c r="CA176" i="2"/>
  <c r="BX176" i="2"/>
  <c r="BY176" i="2" s="1"/>
  <c r="BV176" i="2"/>
  <c r="BS176" i="2"/>
  <c r="BT176" i="2" s="1"/>
  <c r="BQ176" i="2"/>
  <c r="BN176" i="2"/>
  <c r="BO176" i="2" s="1"/>
  <c r="BL176" i="2"/>
  <c r="BI176" i="2"/>
  <c r="BJ176" i="2" s="1"/>
  <c r="BG176" i="2"/>
  <c r="BD176" i="2"/>
  <c r="BE176" i="2" s="1"/>
  <c r="BB176" i="2"/>
  <c r="AY176" i="2"/>
  <c r="AZ176" i="2" s="1"/>
  <c r="AW176" i="2"/>
  <c r="AT176" i="2"/>
  <c r="AU176" i="2" s="1"/>
  <c r="AR176" i="2"/>
  <c r="AO176" i="2"/>
  <c r="AP176" i="2" s="1"/>
  <c r="AM176" i="2"/>
  <c r="AJ176" i="2"/>
  <c r="AK176" i="2" s="1"/>
  <c r="AH176" i="2"/>
  <c r="S176" i="2"/>
  <c r="I176" i="2"/>
  <c r="A176" i="2"/>
  <c r="CC175" i="2"/>
  <c r="CD175" i="2" s="1"/>
  <c r="CA175" i="2"/>
  <c r="BX175" i="2"/>
  <c r="BY175" i="2" s="1"/>
  <c r="BV175" i="2"/>
  <c r="BS175" i="2"/>
  <c r="BT175" i="2" s="1"/>
  <c r="BQ175" i="2"/>
  <c r="BN175" i="2"/>
  <c r="BO175" i="2" s="1"/>
  <c r="BL175" i="2"/>
  <c r="BI175" i="2"/>
  <c r="BJ175" i="2" s="1"/>
  <c r="BG175" i="2"/>
  <c r="BD175" i="2"/>
  <c r="BE175" i="2" s="1"/>
  <c r="BB175" i="2"/>
  <c r="AY175" i="2"/>
  <c r="AZ175" i="2" s="1"/>
  <c r="AW175" i="2"/>
  <c r="AT175" i="2"/>
  <c r="AU175" i="2" s="1"/>
  <c r="AR175" i="2"/>
  <c r="AO175" i="2"/>
  <c r="AP175" i="2" s="1"/>
  <c r="AM175" i="2"/>
  <c r="AJ175" i="2"/>
  <c r="AK175" i="2" s="1"/>
  <c r="AH175" i="2"/>
  <c r="S175" i="2"/>
  <c r="I175" i="2"/>
  <c r="A175" i="2"/>
  <c r="CC174" i="2"/>
  <c r="CD174" i="2" s="1"/>
  <c r="CA174" i="2"/>
  <c r="BX174" i="2"/>
  <c r="BY174" i="2" s="1"/>
  <c r="BV174" i="2"/>
  <c r="BS174" i="2"/>
  <c r="BT174" i="2" s="1"/>
  <c r="BQ174" i="2"/>
  <c r="BN174" i="2"/>
  <c r="BO174" i="2" s="1"/>
  <c r="BL174" i="2"/>
  <c r="BI174" i="2"/>
  <c r="BJ174" i="2" s="1"/>
  <c r="BG174" i="2"/>
  <c r="BD174" i="2"/>
  <c r="BE174" i="2" s="1"/>
  <c r="BB174" i="2"/>
  <c r="AY174" i="2"/>
  <c r="AZ174" i="2" s="1"/>
  <c r="AW174" i="2"/>
  <c r="AT174" i="2"/>
  <c r="AU174" i="2" s="1"/>
  <c r="AR174" i="2"/>
  <c r="AO174" i="2"/>
  <c r="AP174" i="2" s="1"/>
  <c r="AM174" i="2"/>
  <c r="AJ174" i="2"/>
  <c r="AK174" i="2" s="1"/>
  <c r="AH174" i="2"/>
  <c r="S174" i="2"/>
  <c r="I174" i="2"/>
  <c r="A174" i="2"/>
  <c r="CC173" i="2"/>
  <c r="CD173" i="2" s="1"/>
  <c r="CA173" i="2"/>
  <c r="BX173" i="2"/>
  <c r="BY173" i="2" s="1"/>
  <c r="BV173" i="2"/>
  <c r="BS173" i="2"/>
  <c r="BT173" i="2" s="1"/>
  <c r="BQ173" i="2"/>
  <c r="BN173" i="2"/>
  <c r="BO173" i="2" s="1"/>
  <c r="BL173" i="2"/>
  <c r="BI173" i="2"/>
  <c r="BJ173" i="2" s="1"/>
  <c r="BG173" i="2"/>
  <c r="BD173" i="2"/>
  <c r="BE173" i="2" s="1"/>
  <c r="BB173" i="2"/>
  <c r="AY173" i="2"/>
  <c r="AZ173" i="2" s="1"/>
  <c r="AW173" i="2"/>
  <c r="AT173" i="2"/>
  <c r="AU173" i="2" s="1"/>
  <c r="AR173" i="2"/>
  <c r="AO173" i="2"/>
  <c r="AP173" i="2" s="1"/>
  <c r="AM173" i="2"/>
  <c r="AJ173" i="2"/>
  <c r="AK173" i="2" s="1"/>
  <c r="AH173" i="2"/>
  <c r="S173" i="2"/>
  <c r="I173" i="2"/>
  <c r="A173" i="2"/>
  <c r="CC172" i="2"/>
  <c r="CD172" i="2" s="1"/>
  <c r="CA172" i="2"/>
  <c r="BX172" i="2"/>
  <c r="BY172" i="2" s="1"/>
  <c r="BV172" i="2"/>
  <c r="BS172" i="2"/>
  <c r="BT172" i="2" s="1"/>
  <c r="BQ172" i="2"/>
  <c r="BN172" i="2"/>
  <c r="BO172" i="2" s="1"/>
  <c r="BL172" i="2"/>
  <c r="BI172" i="2"/>
  <c r="BJ172" i="2" s="1"/>
  <c r="BG172" i="2"/>
  <c r="BD172" i="2"/>
  <c r="BE172" i="2" s="1"/>
  <c r="BB172" i="2"/>
  <c r="AY172" i="2"/>
  <c r="AZ172" i="2" s="1"/>
  <c r="AW172" i="2"/>
  <c r="AT172" i="2"/>
  <c r="AU172" i="2" s="1"/>
  <c r="AR172" i="2"/>
  <c r="AO172" i="2"/>
  <c r="AP172" i="2" s="1"/>
  <c r="AM172" i="2"/>
  <c r="AJ172" i="2"/>
  <c r="AK172" i="2" s="1"/>
  <c r="AH172" i="2"/>
  <c r="S172" i="2"/>
  <c r="I172" i="2"/>
  <c r="A172" i="2"/>
  <c r="CC171" i="2"/>
  <c r="CD171" i="2" s="1"/>
  <c r="CA171" i="2"/>
  <c r="BX171" i="2"/>
  <c r="BY171" i="2" s="1"/>
  <c r="BV171" i="2"/>
  <c r="BS171" i="2"/>
  <c r="BT171" i="2" s="1"/>
  <c r="BQ171" i="2"/>
  <c r="BN171" i="2"/>
  <c r="BO171" i="2" s="1"/>
  <c r="BL171" i="2"/>
  <c r="BI171" i="2"/>
  <c r="BJ171" i="2" s="1"/>
  <c r="BG171" i="2"/>
  <c r="BD171" i="2"/>
  <c r="BE171" i="2" s="1"/>
  <c r="BB171" i="2"/>
  <c r="AY171" i="2"/>
  <c r="AZ171" i="2" s="1"/>
  <c r="AW171" i="2"/>
  <c r="AT171" i="2"/>
  <c r="AU171" i="2" s="1"/>
  <c r="AR171" i="2"/>
  <c r="AO171" i="2"/>
  <c r="AP171" i="2" s="1"/>
  <c r="AM171" i="2"/>
  <c r="AJ171" i="2"/>
  <c r="AK171" i="2" s="1"/>
  <c r="AH171" i="2"/>
  <c r="AE171" i="2"/>
  <c r="AF171" i="2" s="1"/>
  <c r="AC171" i="2"/>
  <c r="S171" i="2"/>
  <c r="I171" i="2"/>
  <c r="A171" i="2"/>
  <c r="CC170" i="2"/>
  <c r="CD170" i="2" s="1"/>
  <c r="CA170" i="2"/>
  <c r="BX170" i="2"/>
  <c r="BY170" i="2" s="1"/>
  <c r="BV170" i="2"/>
  <c r="BS170" i="2"/>
  <c r="BT170" i="2" s="1"/>
  <c r="BQ170" i="2"/>
  <c r="BN170" i="2"/>
  <c r="BO170" i="2" s="1"/>
  <c r="BL170" i="2"/>
  <c r="BI170" i="2"/>
  <c r="BJ170" i="2" s="1"/>
  <c r="BG170" i="2"/>
  <c r="BD170" i="2"/>
  <c r="BE170" i="2" s="1"/>
  <c r="BB170" i="2"/>
  <c r="AY170" i="2"/>
  <c r="AZ170" i="2" s="1"/>
  <c r="AW170" i="2"/>
  <c r="AT170" i="2"/>
  <c r="AU170" i="2" s="1"/>
  <c r="AR170" i="2"/>
  <c r="AO170" i="2"/>
  <c r="AP170" i="2" s="1"/>
  <c r="AM170" i="2"/>
  <c r="AJ170" i="2"/>
  <c r="AK170" i="2" s="1"/>
  <c r="AH170" i="2"/>
  <c r="S170" i="2"/>
  <c r="I170" i="2"/>
  <c r="A170" i="2"/>
  <c r="CC169" i="2"/>
  <c r="CD169" i="2" s="1"/>
  <c r="CA169" i="2"/>
  <c r="BX169" i="2"/>
  <c r="BY169" i="2" s="1"/>
  <c r="BV169" i="2"/>
  <c r="BS169" i="2"/>
  <c r="BT169" i="2" s="1"/>
  <c r="BQ169" i="2"/>
  <c r="BN169" i="2"/>
  <c r="BO169" i="2" s="1"/>
  <c r="BL169" i="2"/>
  <c r="BI169" i="2"/>
  <c r="BJ169" i="2" s="1"/>
  <c r="BG169" i="2"/>
  <c r="BD169" i="2"/>
  <c r="BE169" i="2" s="1"/>
  <c r="BB169" i="2"/>
  <c r="AY169" i="2"/>
  <c r="AZ169" i="2" s="1"/>
  <c r="AW169" i="2"/>
  <c r="AT169" i="2"/>
  <c r="AU169" i="2" s="1"/>
  <c r="AR169" i="2"/>
  <c r="AO169" i="2"/>
  <c r="AP169" i="2" s="1"/>
  <c r="AM169" i="2"/>
  <c r="AJ169" i="2"/>
  <c r="AK169" i="2" s="1"/>
  <c r="AH169" i="2"/>
  <c r="AE169" i="2"/>
  <c r="AF169" i="2" s="1"/>
  <c r="AC169" i="2"/>
  <c r="S169" i="2"/>
  <c r="I169" i="2"/>
  <c r="A169" i="2"/>
  <c r="CC168" i="2"/>
  <c r="CD168" i="2" s="1"/>
  <c r="CA168" i="2"/>
  <c r="BX168" i="2"/>
  <c r="BY168" i="2" s="1"/>
  <c r="BV168" i="2"/>
  <c r="BS168" i="2"/>
  <c r="BT168" i="2" s="1"/>
  <c r="BQ168" i="2"/>
  <c r="BN168" i="2"/>
  <c r="BO168" i="2" s="1"/>
  <c r="BL168" i="2"/>
  <c r="BI168" i="2"/>
  <c r="BJ168" i="2" s="1"/>
  <c r="BG168" i="2"/>
  <c r="BD168" i="2"/>
  <c r="BE168" i="2" s="1"/>
  <c r="BB168" i="2"/>
  <c r="AY168" i="2"/>
  <c r="AZ168" i="2" s="1"/>
  <c r="AW168" i="2"/>
  <c r="AT168" i="2"/>
  <c r="AU168" i="2" s="1"/>
  <c r="AR168" i="2"/>
  <c r="AO168" i="2"/>
  <c r="AP168" i="2" s="1"/>
  <c r="AM168" i="2"/>
  <c r="AJ168" i="2"/>
  <c r="AK168" i="2" s="1"/>
  <c r="AH168" i="2"/>
  <c r="S168" i="2"/>
  <c r="I168" i="2"/>
  <c r="A168" i="2"/>
  <c r="CC167" i="2"/>
  <c r="CD167" i="2" s="1"/>
  <c r="CA167" i="2"/>
  <c r="BX167" i="2"/>
  <c r="BY167" i="2" s="1"/>
  <c r="BV167" i="2"/>
  <c r="BS167" i="2"/>
  <c r="BT167" i="2" s="1"/>
  <c r="BQ167" i="2"/>
  <c r="BN167" i="2"/>
  <c r="BO167" i="2" s="1"/>
  <c r="BL167" i="2"/>
  <c r="BI167" i="2"/>
  <c r="BJ167" i="2" s="1"/>
  <c r="BG167" i="2"/>
  <c r="BD167" i="2"/>
  <c r="BE167" i="2" s="1"/>
  <c r="BB167" i="2"/>
  <c r="AY167" i="2"/>
  <c r="AZ167" i="2" s="1"/>
  <c r="AW167" i="2"/>
  <c r="AT167" i="2"/>
  <c r="AU167" i="2" s="1"/>
  <c r="AR167" i="2"/>
  <c r="AO167" i="2"/>
  <c r="AP167" i="2" s="1"/>
  <c r="AM167" i="2"/>
  <c r="AJ167" i="2"/>
  <c r="AK167" i="2" s="1"/>
  <c r="AH167" i="2"/>
  <c r="S167" i="2"/>
  <c r="I167" i="2"/>
  <c r="A167" i="2"/>
  <c r="CC166" i="2"/>
  <c r="CD166" i="2" s="1"/>
  <c r="CA166" i="2"/>
  <c r="BX166" i="2"/>
  <c r="BY166" i="2" s="1"/>
  <c r="BV166" i="2"/>
  <c r="BS166" i="2"/>
  <c r="BT166" i="2" s="1"/>
  <c r="BQ166" i="2"/>
  <c r="BN166" i="2"/>
  <c r="BO166" i="2" s="1"/>
  <c r="BL166" i="2"/>
  <c r="BI166" i="2"/>
  <c r="BJ166" i="2" s="1"/>
  <c r="BG166" i="2"/>
  <c r="BD166" i="2"/>
  <c r="BE166" i="2" s="1"/>
  <c r="BB166" i="2"/>
  <c r="AY166" i="2"/>
  <c r="AZ166" i="2" s="1"/>
  <c r="AW166" i="2"/>
  <c r="AT166" i="2"/>
  <c r="AU166" i="2" s="1"/>
  <c r="AR166" i="2"/>
  <c r="AO166" i="2"/>
  <c r="AP166" i="2" s="1"/>
  <c r="AM166" i="2"/>
  <c r="AJ166" i="2"/>
  <c r="AK166" i="2" s="1"/>
  <c r="AH166" i="2"/>
  <c r="S166" i="2"/>
  <c r="I166" i="2"/>
  <c r="A166" i="2"/>
  <c r="CC165" i="2"/>
  <c r="CD165" i="2" s="1"/>
  <c r="CA165" i="2"/>
  <c r="BX165" i="2"/>
  <c r="BY165" i="2" s="1"/>
  <c r="BV165" i="2"/>
  <c r="BS165" i="2"/>
  <c r="BT165" i="2" s="1"/>
  <c r="BQ165" i="2"/>
  <c r="BN165" i="2"/>
  <c r="BO165" i="2" s="1"/>
  <c r="BL165" i="2"/>
  <c r="BI165" i="2"/>
  <c r="BJ165" i="2" s="1"/>
  <c r="BG165" i="2"/>
  <c r="BD165" i="2"/>
  <c r="BE165" i="2" s="1"/>
  <c r="BB165" i="2"/>
  <c r="AY165" i="2"/>
  <c r="AZ165" i="2" s="1"/>
  <c r="AW165" i="2"/>
  <c r="AT165" i="2"/>
  <c r="AU165" i="2" s="1"/>
  <c r="AR165" i="2"/>
  <c r="AO165" i="2"/>
  <c r="AP165" i="2" s="1"/>
  <c r="AM165" i="2"/>
  <c r="AJ165" i="2"/>
  <c r="AK165" i="2" s="1"/>
  <c r="AH165" i="2"/>
  <c r="S165" i="2"/>
  <c r="I165" i="2"/>
  <c r="A165" i="2"/>
  <c r="CC164" i="2"/>
  <c r="CD164" i="2" s="1"/>
  <c r="CA164" i="2"/>
  <c r="BX164" i="2"/>
  <c r="BY164" i="2" s="1"/>
  <c r="BV164" i="2"/>
  <c r="BS164" i="2"/>
  <c r="BT164" i="2" s="1"/>
  <c r="BQ164" i="2"/>
  <c r="BN164" i="2"/>
  <c r="BO164" i="2" s="1"/>
  <c r="BL164" i="2"/>
  <c r="BI164" i="2"/>
  <c r="BJ164" i="2" s="1"/>
  <c r="BG164" i="2"/>
  <c r="BD164" i="2"/>
  <c r="BE164" i="2" s="1"/>
  <c r="BB164" i="2"/>
  <c r="AY164" i="2"/>
  <c r="AZ164" i="2" s="1"/>
  <c r="AW164" i="2"/>
  <c r="AT164" i="2"/>
  <c r="AU164" i="2" s="1"/>
  <c r="AR164" i="2"/>
  <c r="AO164" i="2"/>
  <c r="AP164" i="2" s="1"/>
  <c r="AM164" i="2"/>
  <c r="AJ164" i="2"/>
  <c r="AK164" i="2" s="1"/>
  <c r="AH164" i="2"/>
  <c r="S164" i="2"/>
  <c r="I164" i="2"/>
  <c r="A164" i="2"/>
  <c r="CC163" i="2"/>
  <c r="CD163" i="2" s="1"/>
  <c r="CA163" i="2"/>
  <c r="BX163" i="2"/>
  <c r="BY163" i="2" s="1"/>
  <c r="BV163" i="2"/>
  <c r="BS163" i="2"/>
  <c r="BT163" i="2" s="1"/>
  <c r="BQ163" i="2"/>
  <c r="BN163" i="2"/>
  <c r="BO163" i="2" s="1"/>
  <c r="BL163" i="2"/>
  <c r="BI163" i="2"/>
  <c r="BJ163" i="2" s="1"/>
  <c r="BG163" i="2"/>
  <c r="BD163" i="2"/>
  <c r="BE163" i="2" s="1"/>
  <c r="BB163" i="2"/>
  <c r="AY163" i="2"/>
  <c r="AZ163" i="2" s="1"/>
  <c r="AW163" i="2"/>
  <c r="AT163" i="2"/>
  <c r="AU163" i="2" s="1"/>
  <c r="AR163" i="2"/>
  <c r="AO163" i="2"/>
  <c r="AP163" i="2" s="1"/>
  <c r="AM163" i="2"/>
  <c r="AJ163" i="2"/>
  <c r="AK163" i="2" s="1"/>
  <c r="AH163" i="2"/>
  <c r="S163" i="2"/>
  <c r="I163" i="2"/>
  <c r="A163" i="2"/>
  <c r="CC162" i="2"/>
  <c r="CD162" i="2" s="1"/>
  <c r="CA162" i="2"/>
  <c r="BX162" i="2"/>
  <c r="BY162" i="2" s="1"/>
  <c r="BV162" i="2"/>
  <c r="BS162" i="2"/>
  <c r="BT162" i="2" s="1"/>
  <c r="BQ162" i="2"/>
  <c r="BN162" i="2"/>
  <c r="BO162" i="2" s="1"/>
  <c r="BL162" i="2"/>
  <c r="BI162" i="2"/>
  <c r="BJ162" i="2" s="1"/>
  <c r="BG162" i="2"/>
  <c r="BD162" i="2"/>
  <c r="BE162" i="2" s="1"/>
  <c r="BB162" i="2"/>
  <c r="AY162" i="2"/>
  <c r="AZ162" i="2" s="1"/>
  <c r="AW162" i="2"/>
  <c r="AT162" i="2"/>
  <c r="AU162" i="2" s="1"/>
  <c r="AR162" i="2"/>
  <c r="AO162" i="2"/>
  <c r="AP162" i="2" s="1"/>
  <c r="AM162" i="2"/>
  <c r="AJ162" i="2"/>
  <c r="AK162" i="2" s="1"/>
  <c r="AH162" i="2"/>
  <c r="AE162" i="2"/>
  <c r="AF162" i="2" s="1"/>
  <c r="AC162" i="2"/>
  <c r="S162" i="2"/>
  <c r="I162" i="2"/>
  <c r="A162" i="2"/>
  <c r="CC161" i="2"/>
  <c r="CD161" i="2" s="1"/>
  <c r="CA161" i="2"/>
  <c r="BX161" i="2"/>
  <c r="BY161" i="2" s="1"/>
  <c r="BV161" i="2"/>
  <c r="BS161" i="2"/>
  <c r="BT161" i="2" s="1"/>
  <c r="BQ161" i="2"/>
  <c r="BN161" i="2"/>
  <c r="BO161" i="2" s="1"/>
  <c r="BL161" i="2"/>
  <c r="BI161" i="2"/>
  <c r="BJ161" i="2" s="1"/>
  <c r="BG161" i="2"/>
  <c r="BD161" i="2"/>
  <c r="BE161" i="2" s="1"/>
  <c r="BB161" i="2"/>
  <c r="AY161" i="2"/>
  <c r="AZ161" i="2" s="1"/>
  <c r="AW161" i="2"/>
  <c r="AT161" i="2"/>
  <c r="AU161" i="2" s="1"/>
  <c r="AR161" i="2"/>
  <c r="AO161" i="2"/>
  <c r="AP161" i="2" s="1"/>
  <c r="AM161" i="2"/>
  <c r="AJ161" i="2"/>
  <c r="AK161" i="2" s="1"/>
  <c r="AH161" i="2"/>
  <c r="AE161" i="2"/>
  <c r="AF161" i="2" s="1"/>
  <c r="AC161" i="2"/>
  <c r="S161" i="2"/>
  <c r="I161" i="2"/>
  <c r="A161" i="2"/>
  <c r="CC160" i="2"/>
  <c r="CD160" i="2" s="1"/>
  <c r="CA160" i="2"/>
  <c r="BX160" i="2"/>
  <c r="BY160" i="2" s="1"/>
  <c r="BV160" i="2"/>
  <c r="BS160" i="2"/>
  <c r="BT160" i="2" s="1"/>
  <c r="BQ160" i="2"/>
  <c r="BN160" i="2"/>
  <c r="BO160" i="2" s="1"/>
  <c r="BL160" i="2"/>
  <c r="BI160" i="2"/>
  <c r="BJ160" i="2" s="1"/>
  <c r="BG160" i="2"/>
  <c r="BD160" i="2"/>
  <c r="BE160" i="2" s="1"/>
  <c r="BB160" i="2"/>
  <c r="AY160" i="2"/>
  <c r="AZ160" i="2" s="1"/>
  <c r="AW160" i="2"/>
  <c r="AT160" i="2"/>
  <c r="AU160" i="2" s="1"/>
  <c r="AR160" i="2"/>
  <c r="AO160" i="2"/>
  <c r="AP160" i="2" s="1"/>
  <c r="AM160" i="2"/>
  <c r="AJ160" i="2"/>
  <c r="AK160" i="2" s="1"/>
  <c r="AH160" i="2"/>
  <c r="S160" i="2"/>
  <c r="I160" i="2"/>
  <c r="A160" i="2"/>
  <c r="CC159" i="2"/>
  <c r="CD159" i="2" s="1"/>
  <c r="CA159" i="2"/>
  <c r="BX159" i="2"/>
  <c r="BY159" i="2" s="1"/>
  <c r="BV159" i="2"/>
  <c r="BS159" i="2"/>
  <c r="BT159" i="2" s="1"/>
  <c r="BQ159" i="2"/>
  <c r="BN159" i="2"/>
  <c r="BO159" i="2" s="1"/>
  <c r="BL159" i="2"/>
  <c r="BI159" i="2"/>
  <c r="BJ159" i="2" s="1"/>
  <c r="BG159" i="2"/>
  <c r="BD159" i="2"/>
  <c r="BE159" i="2" s="1"/>
  <c r="BB159" i="2"/>
  <c r="AY159" i="2"/>
  <c r="AZ159" i="2" s="1"/>
  <c r="AW159" i="2"/>
  <c r="AT159" i="2"/>
  <c r="AU159" i="2" s="1"/>
  <c r="AR159" i="2"/>
  <c r="AO159" i="2"/>
  <c r="AP159" i="2" s="1"/>
  <c r="AM159" i="2"/>
  <c r="AJ159" i="2"/>
  <c r="AK159" i="2" s="1"/>
  <c r="AH159" i="2"/>
  <c r="AE159" i="2"/>
  <c r="AF159" i="2" s="1"/>
  <c r="AC159" i="2"/>
  <c r="S159" i="2"/>
  <c r="I159" i="2"/>
  <c r="A159" i="2"/>
  <c r="CC158" i="2"/>
  <c r="CD158" i="2" s="1"/>
  <c r="CA158" i="2"/>
  <c r="BX158" i="2"/>
  <c r="BY158" i="2" s="1"/>
  <c r="BV158" i="2"/>
  <c r="BS158" i="2"/>
  <c r="BT158" i="2" s="1"/>
  <c r="BQ158" i="2"/>
  <c r="BN158" i="2"/>
  <c r="BO158" i="2" s="1"/>
  <c r="BL158" i="2"/>
  <c r="BI158" i="2"/>
  <c r="BJ158" i="2" s="1"/>
  <c r="BG158" i="2"/>
  <c r="BD158" i="2"/>
  <c r="BE158" i="2" s="1"/>
  <c r="BB158" i="2"/>
  <c r="AY158" i="2"/>
  <c r="AZ158" i="2" s="1"/>
  <c r="AW158" i="2"/>
  <c r="AT158" i="2"/>
  <c r="AU158" i="2" s="1"/>
  <c r="AR158" i="2"/>
  <c r="AO158" i="2"/>
  <c r="AP158" i="2" s="1"/>
  <c r="AM158" i="2"/>
  <c r="AJ158" i="2"/>
  <c r="AK158" i="2" s="1"/>
  <c r="AH158" i="2"/>
  <c r="S158" i="2"/>
  <c r="I158" i="2"/>
  <c r="A158" i="2"/>
  <c r="CC157" i="2"/>
  <c r="CD157" i="2" s="1"/>
  <c r="CA157" i="2"/>
  <c r="BX157" i="2"/>
  <c r="BY157" i="2" s="1"/>
  <c r="BV157" i="2"/>
  <c r="BS157" i="2"/>
  <c r="BT157" i="2" s="1"/>
  <c r="BQ157" i="2"/>
  <c r="BN157" i="2"/>
  <c r="BO157" i="2" s="1"/>
  <c r="BL157" i="2"/>
  <c r="BI157" i="2"/>
  <c r="BJ157" i="2" s="1"/>
  <c r="BG157" i="2"/>
  <c r="BD157" i="2"/>
  <c r="BE157" i="2" s="1"/>
  <c r="BB157" i="2"/>
  <c r="AY157" i="2"/>
  <c r="AZ157" i="2" s="1"/>
  <c r="AW157" i="2"/>
  <c r="AT157" i="2"/>
  <c r="AU157" i="2" s="1"/>
  <c r="AR157" i="2"/>
  <c r="AO157" i="2"/>
  <c r="AP157" i="2" s="1"/>
  <c r="AM157" i="2"/>
  <c r="AJ157" i="2"/>
  <c r="AK157" i="2" s="1"/>
  <c r="AH157" i="2"/>
  <c r="S157" i="2"/>
  <c r="I157" i="2"/>
  <c r="A157" i="2"/>
  <c r="CC156" i="2"/>
  <c r="CD156" i="2" s="1"/>
  <c r="CA156" i="2"/>
  <c r="BX156" i="2"/>
  <c r="BY156" i="2" s="1"/>
  <c r="BV156" i="2"/>
  <c r="BS156" i="2"/>
  <c r="BT156" i="2" s="1"/>
  <c r="BQ156" i="2"/>
  <c r="BN156" i="2"/>
  <c r="BO156" i="2" s="1"/>
  <c r="BL156" i="2"/>
  <c r="BI156" i="2"/>
  <c r="BJ156" i="2" s="1"/>
  <c r="BG156" i="2"/>
  <c r="BD156" i="2"/>
  <c r="BE156" i="2" s="1"/>
  <c r="BB156" i="2"/>
  <c r="AY156" i="2"/>
  <c r="AZ156" i="2" s="1"/>
  <c r="AW156" i="2"/>
  <c r="AT156" i="2"/>
  <c r="AU156" i="2" s="1"/>
  <c r="AR156" i="2"/>
  <c r="AO156" i="2"/>
  <c r="AP156" i="2" s="1"/>
  <c r="AM156" i="2"/>
  <c r="AJ156" i="2"/>
  <c r="AK156" i="2" s="1"/>
  <c r="AH156" i="2"/>
  <c r="S156" i="2"/>
  <c r="I156" i="2"/>
  <c r="A156" i="2"/>
  <c r="CC155" i="2"/>
  <c r="CD155" i="2" s="1"/>
  <c r="CA155" i="2"/>
  <c r="BX155" i="2"/>
  <c r="BY155" i="2" s="1"/>
  <c r="BV155" i="2"/>
  <c r="BS155" i="2"/>
  <c r="BT155" i="2" s="1"/>
  <c r="BQ155" i="2"/>
  <c r="BN155" i="2"/>
  <c r="BO155" i="2" s="1"/>
  <c r="BL155" i="2"/>
  <c r="BI155" i="2"/>
  <c r="BJ155" i="2" s="1"/>
  <c r="BG155" i="2"/>
  <c r="BD155" i="2"/>
  <c r="BE155" i="2" s="1"/>
  <c r="BB155" i="2"/>
  <c r="AY155" i="2"/>
  <c r="AZ155" i="2" s="1"/>
  <c r="AW155" i="2"/>
  <c r="AT155" i="2"/>
  <c r="AU155" i="2" s="1"/>
  <c r="AR155" i="2"/>
  <c r="AO155" i="2"/>
  <c r="AP155" i="2" s="1"/>
  <c r="AM155" i="2"/>
  <c r="AJ155" i="2"/>
  <c r="AK155" i="2" s="1"/>
  <c r="AH155" i="2"/>
  <c r="S155" i="2"/>
  <c r="I155" i="2"/>
  <c r="A155" i="2"/>
  <c r="CC154" i="2"/>
  <c r="CD154" i="2" s="1"/>
  <c r="CA154" i="2"/>
  <c r="BX154" i="2"/>
  <c r="BY154" i="2" s="1"/>
  <c r="BV154" i="2"/>
  <c r="BS154" i="2"/>
  <c r="BT154" i="2" s="1"/>
  <c r="BQ154" i="2"/>
  <c r="BN154" i="2"/>
  <c r="BO154" i="2" s="1"/>
  <c r="BL154" i="2"/>
  <c r="BI154" i="2"/>
  <c r="BJ154" i="2" s="1"/>
  <c r="BG154" i="2"/>
  <c r="BD154" i="2"/>
  <c r="BE154" i="2" s="1"/>
  <c r="BB154" i="2"/>
  <c r="AY154" i="2"/>
  <c r="AZ154" i="2" s="1"/>
  <c r="AW154" i="2"/>
  <c r="AT154" i="2"/>
  <c r="AU154" i="2" s="1"/>
  <c r="AR154" i="2"/>
  <c r="AO154" i="2"/>
  <c r="AP154" i="2" s="1"/>
  <c r="AM154" i="2"/>
  <c r="AJ154" i="2"/>
  <c r="AK154" i="2" s="1"/>
  <c r="AH154" i="2"/>
  <c r="S154" i="2"/>
  <c r="I154" i="2"/>
  <c r="A154" i="2"/>
  <c r="CC153" i="2"/>
  <c r="CD153" i="2" s="1"/>
  <c r="CA153" i="2"/>
  <c r="BX153" i="2"/>
  <c r="BY153" i="2" s="1"/>
  <c r="BV153" i="2"/>
  <c r="BS153" i="2"/>
  <c r="BT153" i="2" s="1"/>
  <c r="BQ153" i="2"/>
  <c r="BN153" i="2"/>
  <c r="BO153" i="2" s="1"/>
  <c r="BL153" i="2"/>
  <c r="BI153" i="2"/>
  <c r="BJ153" i="2" s="1"/>
  <c r="BG153" i="2"/>
  <c r="BD153" i="2"/>
  <c r="BE153" i="2" s="1"/>
  <c r="BB153" i="2"/>
  <c r="AY153" i="2"/>
  <c r="AZ153" i="2" s="1"/>
  <c r="AW153" i="2"/>
  <c r="AT153" i="2"/>
  <c r="AU153" i="2" s="1"/>
  <c r="AR153" i="2"/>
  <c r="AO153" i="2"/>
  <c r="AP153" i="2" s="1"/>
  <c r="AM153" i="2"/>
  <c r="AJ153" i="2"/>
  <c r="AK153" i="2" s="1"/>
  <c r="AH153" i="2"/>
  <c r="S153" i="2"/>
  <c r="I153" i="2"/>
  <c r="A153" i="2"/>
  <c r="CC152" i="2"/>
  <c r="CD152" i="2" s="1"/>
  <c r="CA152" i="2"/>
  <c r="BX152" i="2"/>
  <c r="BY152" i="2" s="1"/>
  <c r="BV152" i="2"/>
  <c r="BS152" i="2"/>
  <c r="BT152" i="2" s="1"/>
  <c r="BQ152" i="2"/>
  <c r="BN152" i="2"/>
  <c r="BO152" i="2" s="1"/>
  <c r="BL152" i="2"/>
  <c r="BI152" i="2"/>
  <c r="BJ152" i="2" s="1"/>
  <c r="BG152" i="2"/>
  <c r="BD152" i="2"/>
  <c r="BE152" i="2" s="1"/>
  <c r="BB152" i="2"/>
  <c r="AY152" i="2"/>
  <c r="AZ152" i="2" s="1"/>
  <c r="AW152" i="2"/>
  <c r="AT152" i="2"/>
  <c r="AU152" i="2" s="1"/>
  <c r="AR152" i="2"/>
  <c r="AO152" i="2"/>
  <c r="AP152" i="2" s="1"/>
  <c r="AM152" i="2"/>
  <c r="AJ152" i="2"/>
  <c r="AK152" i="2" s="1"/>
  <c r="AH152" i="2"/>
  <c r="S152" i="2"/>
  <c r="I152" i="2"/>
  <c r="A152" i="2"/>
  <c r="CC151" i="2"/>
  <c r="CD151" i="2" s="1"/>
  <c r="CA151" i="2"/>
  <c r="BX151" i="2"/>
  <c r="BY151" i="2" s="1"/>
  <c r="BV151" i="2"/>
  <c r="BS151" i="2"/>
  <c r="BT151" i="2" s="1"/>
  <c r="BQ151" i="2"/>
  <c r="BN151" i="2"/>
  <c r="BO151" i="2" s="1"/>
  <c r="BL151" i="2"/>
  <c r="BI151" i="2"/>
  <c r="BJ151" i="2" s="1"/>
  <c r="BG151" i="2"/>
  <c r="BD151" i="2"/>
  <c r="BE151" i="2" s="1"/>
  <c r="BB151" i="2"/>
  <c r="AY151" i="2"/>
  <c r="AZ151" i="2" s="1"/>
  <c r="AW151" i="2"/>
  <c r="AT151" i="2"/>
  <c r="AU151" i="2" s="1"/>
  <c r="AR151" i="2"/>
  <c r="AO151" i="2"/>
  <c r="AP151" i="2" s="1"/>
  <c r="AM151" i="2"/>
  <c r="AJ151" i="2"/>
  <c r="AK151" i="2" s="1"/>
  <c r="AH151" i="2"/>
  <c r="S151" i="2"/>
  <c r="I151" i="2"/>
  <c r="A151" i="2"/>
  <c r="CC150" i="2"/>
  <c r="CD150" i="2" s="1"/>
  <c r="CA150" i="2"/>
  <c r="BX150" i="2"/>
  <c r="BY150" i="2" s="1"/>
  <c r="BV150" i="2"/>
  <c r="BS150" i="2"/>
  <c r="BT150" i="2" s="1"/>
  <c r="BQ150" i="2"/>
  <c r="BN150" i="2"/>
  <c r="BO150" i="2" s="1"/>
  <c r="BL150" i="2"/>
  <c r="BI150" i="2"/>
  <c r="BJ150" i="2" s="1"/>
  <c r="BG150" i="2"/>
  <c r="BD150" i="2"/>
  <c r="BE150" i="2" s="1"/>
  <c r="BB150" i="2"/>
  <c r="AY150" i="2"/>
  <c r="AZ150" i="2" s="1"/>
  <c r="AW150" i="2"/>
  <c r="AT150" i="2"/>
  <c r="AU150" i="2" s="1"/>
  <c r="AR150" i="2"/>
  <c r="AO150" i="2"/>
  <c r="AP150" i="2" s="1"/>
  <c r="AM150" i="2"/>
  <c r="AJ150" i="2"/>
  <c r="AK150" i="2" s="1"/>
  <c r="AH150" i="2"/>
  <c r="S150" i="2"/>
  <c r="I150" i="2"/>
  <c r="A150" i="2"/>
  <c r="CC149" i="2"/>
  <c r="CD149" i="2" s="1"/>
  <c r="CA149" i="2"/>
  <c r="BX149" i="2"/>
  <c r="BY149" i="2" s="1"/>
  <c r="BV149" i="2"/>
  <c r="BS149" i="2"/>
  <c r="BT149" i="2" s="1"/>
  <c r="BQ149" i="2"/>
  <c r="BN149" i="2"/>
  <c r="BO149" i="2" s="1"/>
  <c r="BL149" i="2"/>
  <c r="BI149" i="2"/>
  <c r="BJ149" i="2" s="1"/>
  <c r="BG149" i="2"/>
  <c r="BD149" i="2"/>
  <c r="BE149" i="2" s="1"/>
  <c r="BB149" i="2"/>
  <c r="AY149" i="2"/>
  <c r="AZ149" i="2" s="1"/>
  <c r="AW149" i="2"/>
  <c r="AT149" i="2"/>
  <c r="AU149" i="2" s="1"/>
  <c r="AR149" i="2"/>
  <c r="AO149" i="2"/>
  <c r="AP149" i="2" s="1"/>
  <c r="AM149" i="2"/>
  <c r="AJ149" i="2"/>
  <c r="AK149" i="2" s="1"/>
  <c r="AH149" i="2"/>
  <c r="AE149" i="2"/>
  <c r="AF149" i="2" s="1"/>
  <c r="AC149" i="2"/>
  <c r="S149" i="2"/>
  <c r="I149" i="2"/>
  <c r="A149" i="2"/>
  <c r="CC148" i="2"/>
  <c r="CD148" i="2" s="1"/>
  <c r="CA148" i="2"/>
  <c r="BX148" i="2"/>
  <c r="BY148" i="2" s="1"/>
  <c r="BV148" i="2"/>
  <c r="BS148" i="2"/>
  <c r="BT148" i="2" s="1"/>
  <c r="BQ148" i="2"/>
  <c r="BN148" i="2"/>
  <c r="BO148" i="2" s="1"/>
  <c r="BL148" i="2"/>
  <c r="BI148" i="2"/>
  <c r="BJ148" i="2" s="1"/>
  <c r="BG148" i="2"/>
  <c r="BD148" i="2"/>
  <c r="BE148" i="2" s="1"/>
  <c r="BB148" i="2"/>
  <c r="AY148" i="2"/>
  <c r="AZ148" i="2" s="1"/>
  <c r="AW148" i="2"/>
  <c r="AT148" i="2"/>
  <c r="AU148" i="2" s="1"/>
  <c r="AR148" i="2"/>
  <c r="AO148" i="2"/>
  <c r="AP148" i="2" s="1"/>
  <c r="AM148" i="2"/>
  <c r="AJ148" i="2"/>
  <c r="AK148" i="2" s="1"/>
  <c r="AH148" i="2"/>
  <c r="S148" i="2"/>
  <c r="I148" i="2"/>
  <c r="A148" i="2"/>
  <c r="CC147" i="2"/>
  <c r="CD147" i="2" s="1"/>
  <c r="CA147" i="2"/>
  <c r="BX147" i="2"/>
  <c r="BY147" i="2" s="1"/>
  <c r="BV147" i="2"/>
  <c r="BS147" i="2"/>
  <c r="BT147" i="2" s="1"/>
  <c r="BQ147" i="2"/>
  <c r="BN147" i="2"/>
  <c r="BO147" i="2" s="1"/>
  <c r="BL147" i="2"/>
  <c r="BI147" i="2"/>
  <c r="BJ147" i="2" s="1"/>
  <c r="BG147" i="2"/>
  <c r="BD147" i="2"/>
  <c r="BE147" i="2" s="1"/>
  <c r="BB147" i="2"/>
  <c r="AY147" i="2"/>
  <c r="AZ147" i="2" s="1"/>
  <c r="AW147" i="2"/>
  <c r="AT147" i="2"/>
  <c r="AU147" i="2" s="1"/>
  <c r="AR147" i="2"/>
  <c r="AO147" i="2"/>
  <c r="AP147" i="2" s="1"/>
  <c r="AM147" i="2"/>
  <c r="AJ147" i="2"/>
  <c r="AK147" i="2" s="1"/>
  <c r="AH147" i="2"/>
  <c r="S147" i="2"/>
  <c r="I147" i="2"/>
  <c r="A147" i="2"/>
  <c r="CC146" i="2"/>
  <c r="CD146" i="2" s="1"/>
  <c r="CA146" i="2"/>
  <c r="BX146" i="2"/>
  <c r="BY146" i="2" s="1"/>
  <c r="BV146" i="2"/>
  <c r="BS146" i="2"/>
  <c r="BT146" i="2" s="1"/>
  <c r="BQ146" i="2"/>
  <c r="BN146" i="2"/>
  <c r="BO146" i="2" s="1"/>
  <c r="BL146" i="2"/>
  <c r="BI146" i="2"/>
  <c r="BJ146" i="2" s="1"/>
  <c r="BG146" i="2"/>
  <c r="BD146" i="2"/>
  <c r="BE146" i="2" s="1"/>
  <c r="BB146" i="2"/>
  <c r="AY146" i="2"/>
  <c r="AZ146" i="2" s="1"/>
  <c r="AW146" i="2"/>
  <c r="AT146" i="2"/>
  <c r="AU146" i="2" s="1"/>
  <c r="AR146" i="2"/>
  <c r="AO146" i="2"/>
  <c r="AP146" i="2" s="1"/>
  <c r="AM146" i="2"/>
  <c r="AJ146" i="2"/>
  <c r="AK146" i="2" s="1"/>
  <c r="AH146" i="2"/>
  <c r="S146" i="2"/>
  <c r="I146" i="2"/>
  <c r="A146" i="2"/>
  <c r="CC145" i="2"/>
  <c r="CD145" i="2" s="1"/>
  <c r="CA145" i="2"/>
  <c r="BX145" i="2"/>
  <c r="BY145" i="2" s="1"/>
  <c r="BV145" i="2"/>
  <c r="BS145" i="2"/>
  <c r="BT145" i="2" s="1"/>
  <c r="BQ145" i="2"/>
  <c r="BN145" i="2"/>
  <c r="BO145" i="2" s="1"/>
  <c r="BL145" i="2"/>
  <c r="BI145" i="2"/>
  <c r="BJ145" i="2" s="1"/>
  <c r="BG145" i="2"/>
  <c r="BD145" i="2"/>
  <c r="BE145" i="2" s="1"/>
  <c r="BB145" i="2"/>
  <c r="AY145" i="2"/>
  <c r="AZ145" i="2" s="1"/>
  <c r="AW145" i="2"/>
  <c r="AT145" i="2"/>
  <c r="AU145" i="2" s="1"/>
  <c r="AR145" i="2"/>
  <c r="AO145" i="2"/>
  <c r="AP145" i="2" s="1"/>
  <c r="AM145" i="2"/>
  <c r="AJ145" i="2"/>
  <c r="AK145" i="2" s="1"/>
  <c r="AH145" i="2"/>
  <c r="S145" i="2"/>
  <c r="I145" i="2"/>
  <c r="A145" i="2"/>
  <c r="CC144" i="2"/>
  <c r="CD144" i="2" s="1"/>
  <c r="CA144" i="2"/>
  <c r="BX144" i="2"/>
  <c r="BY144" i="2" s="1"/>
  <c r="BV144" i="2"/>
  <c r="BS144" i="2"/>
  <c r="BT144" i="2" s="1"/>
  <c r="BQ144" i="2"/>
  <c r="BN144" i="2"/>
  <c r="BO144" i="2" s="1"/>
  <c r="BL144" i="2"/>
  <c r="BI144" i="2"/>
  <c r="BJ144" i="2" s="1"/>
  <c r="BG144" i="2"/>
  <c r="BD144" i="2"/>
  <c r="BE144" i="2" s="1"/>
  <c r="BB144" i="2"/>
  <c r="AY144" i="2"/>
  <c r="AZ144" i="2" s="1"/>
  <c r="AW144" i="2"/>
  <c r="AT144" i="2"/>
  <c r="AU144" i="2" s="1"/>
  <c r="AR144" i="2"/>
  <c r="AO144" i="2"/>
  <c r="AP144" i="2" s="1"/>
  <c r="AM144" i="2"/>
  <c r="AJ144" i="2"/>
  <c r="AK144" i="2" s="1"/>
  <c r="AH144" i="2"/>
  <c r="S144" i="2"/>
  <c r="I144" i="2"/>
  <c r="A144" i="2"/>
  <c r="CC143" i="2"/>
  <c r="CD143" i="2" s="1"/>
  <c r="CA143" i="2"/>
  <c r="BX143" i="2"/>
  <c r="BY143" i="2" s="1"/>
  <c r="BV143" i="2"/>
  <c r="BS143" i="2"/>
  <c r="BT143" i="2" s="1"/>
  <c r="BQ143" i="2"/>
  <c r="BN143" i="2"/>
  <c r="BO143" i="2" s="1"/>
  <c r="BL143" i="2"/>
  <c r="BI143" i="2"/>
  <c r="BJ143" i="2" s="1"/>
  <c r="BG143" i="2"/>
  <c r="BD143" i="2"/>
  <c r="BE143" i="2" s="1"/>
  <c r="BB143" i="2"/>
  <c r="AY143" i="2"/>
  <c r="AZ143" i="2" s="1"/>
  <c r="AW143" i="2"/>
  <c r="AT143" i="2"/>
  <c r="AU143" i="2" s="1"/>
  <c r="AR143" i="2"/>
  <c r="AO143" i="2"/>
  <c r="AP143" i="2" s="1"/>
  <c r="AM143" i="2"/>
  <c r="AJ143" i="2"/>
  <c r="AK143" i="2" s="1"/>
  <c r="AH143" i="2"/>
  <c r="AE143" i="2"/>
  <c r="AF143" i="2" s="1"/>
  <c r="AC143" i="2"/>
  <c r="S143" i="2"/>
  <c r="I143" i="2"/>
  <c r="A143" i="2"/>
  <c r="CC142" i="2"/>
  <c r="CD142" i="2" s="1"/>
  <c r="CA142" i="2"/>
  <c r="BX142" i="2"/>
  <c r="BY142" i="2" s="1"/>
  <c r="BV142" i="2"/>
  <c r="BS142" i="2"/>
  <c r="BT142" i="2" s="1"/>
  <c r="BQ142" i="2"/>
  <c r="BN142" i="2"/>
  <c r="BO142" i="2" s="1"/>
  <c r="BL142" i="2"/>
  <c r="BI142" i="2"/>
  <c r="BJ142" i="2" s="1"/>
  <c r="BG142" i="2"/>
  <c r="BD142" i="2"/>
  <c r="BE142" i="2" s="1"/>
  <c r="BB142" i="2"/>
  <c r="AY142" i="2"/>
  <c r="AZ142" i="2" s="1"/>
  <c r="AW142" i="2"/>
  <c r="AT142" i="2"/>
  <c r="AU142" i="2" s="1"/>
  <c r="AR142" i="2"/>
  <c r="AO142" i="2"/>
  <c r="AP142" i="2" s="1"/>
  <c r="AM142" i="2"/>
  <c r="AJ142" i="2"/>
  <c r="AK142" i="2" s="1"/>
  <c r="AH142" i="2"/>
  <c r="S142" i="2"/>
  <c r="I142" i="2"/>
  <c r="A142" i="2"/>
  <c r="CC141" i="2"/>
  <c r="CD141" i="2" s="1"/>
  <c r="CA141" i="2"/>
  <c r="BX141" i="2"/>
  <c r="BY141" i="2" s="1"/>
  <c r="BV141" i="2"/>
  <c r="BS141" i="2"/>
  <c r="BT141" i="2" s="1"/>
  <c r="BQ141" i="2"/>
  <c r="BN141" i="2"/>
  <c r="BO141" i="2" s="1"/>
  <c r="BL141" i="2"/>
  <c r="BI141" i="2"/>
  <c r="BJ141" i="2" s="1"/>
  <c r="BG141" i="2"/>
  <c r="BD141" i="2"/>
  <c r="BE141" i="2" s="1"/>
  <c r="BB141" i="2"/>
  <c r="AY141" i="2"/>
  <c r="AZ141" i="2" s="1"/>
  <c r="AW141" i="2"/>
  <c r="AT141" i="2"/>
  <c r="AU141" i="2" s="1"/>
  <c r="AR141" i="2"/>
  <c r="AO141" i="2"/>
  <c r="AP141" i="2" s="1"/>
  <c r="AM141" i="2"/>
  <c r="AJ141" i="2"/>
  <c r="AK141" i="2" s="1"/>
  <c r="AH141" i="2"/>
  <c r="S141" i="2"/>
  <c r="I141" i="2"/>
  <c r="A141" i="2"/>
  <c r="CC140" i="2"/>
  <c r="CD140" i="2" s="1"/>
  <c r="CA140" i="2"/>
  <c r="BX140" i="2"/>
  <c r="BY140" i="2" s="1"/>
  <c r="BV140" i="2"/>
  <c r="BS140" i="2"/>
  <c r="BT140" i="2" s="1"/>
  <c r="BQ140" i="2"/>
  <c r="BN140" i="2"/>
  <c r="BO140" i="2" s="1"/>
  <c r="BL140" i="2"/>
  <c r="BI140" i="2"/>
  <c r="BJ140" i="2" s="1"/>
  <c r="BG140" i="2"/>
  <c r="BD140" i="2"/>
  <c r="BE140" i="2" s="1"/>
  <c r="BB140" i="2"/>
  <c r="AY140" i="2"/>
  <c r="AZ140" i="2" s="1"/>
  <c r="AW140" i="2"/>
  <c r="AT140" i="2"/>
  <c r="AU140" i="2" s="1"/>
  <c r="AR140" i="2"/>
  <c r="AO140" i="2"/>
  <c r="AP140" i="2" s="1"/>
  <c r="AM140" i="2"/>
  <c r="AJ140" i="2"/>
  <c r="AK140" i="2" s="1"/>
  <c r="AH140" i="2"/>
  <c r="AE140" i="2"/>
  <c r="AF140" i="2" s="1"/>
  <c r="AC140" i="2"/>
  <c r="S140" i="2"/>
  <c r="I140" i="2"/>
  <c r="A140" i="2"/>
  <c r="CC139" i="2"/>
  <c r="CD139" i="2" s="1"/>
  <c r="CA139" i="2"/>
  <c r="BX139" i="2"/>
  <c r="BY139" i="2" s="1"/>
  <c r="BV139" i="2"/>
  <c r="BS139" i="2"/>
  <c r="BT139" i="2" s="1"/>
  <c r="BQ139" i="2"/>
  <c r="BN139" i="2"/>
  <c r="BO139" i="2" s="1"/>
  <c r="BL139" i="2"/>
  <c r="BI139" i="2"/>
  <c r="BJ139" i="2" s="1"/>
  <c r="BG139" i="2"/>
  <c r="BD139" i="2"/>
  <c r="BE139" i="2" s="1"/>
  <c r="BB139" i="2"/>
  <c r="AY139" i="2"/>
  <c r="AZ139" i="2" s="1"/>
  <c r="AW139" i="2"/>
  <c r="AT139" i="2"/>
  <c r="AU139" i="2" s="1"/>
  <c r="AR139" i="2"/>
  <c r="AO139" i="2"/>
  <c r="AP139" i="2" s="1"/>
  <c r="AM139" i="2"/>
  <c r="AJ139" i="2"/>
  <c r="AK139" i="2" s="1"/>
  <c r="AH139" i="2"/>
  <c r="S139" i="2"/>
  <c r="I139" i="2"/>
  <c r="A139" i="2"/>
  <c r="CC138" i="2"/>
  <c r="CD138" i="2" s="1"/>
  <c r="CA138" i="2"/>
  <c r="BX138" i="2"/>
  <c r="BY138" i="2" s="1"/>
  <c r="BV138" i="2"/>
  <c r="BS138" i="2"/>
  <c r="BT138" i="2" s="1"/>
  <c r="BQ138" i="2"/>
  <c r="BN138" i="2"/>
  <c r="BO138" i="2" s="1"/>
  <c r="BL138" i="2"/>
  <c r="BI138" i="2"/>
  <c r="BJ138" i="2" s="1"/>
  <c r="BG138" i="2"/>
  <c r="BD138" i="2"/>
  <c r="BE138" i="2" s="1"/>
  <c r="BB138" i="2"/>
  <c r="AY138" i="2"/>
  <c r="AZ138" i="2" s="1"/>
  <c r="AW138" i="2"/>
  <c r="AT138" i="2"/>
  <c r="AU138" i="2" s="1"/>
  <c r="AR138" i="2"/>
  <c r="AO138" i="2"/>
  <c r="AP138" i="2" s="1"/>
  <c r="AM138" i="2"/>
  <c r="AJ138" i="2"/>
  <c r="AK138" i="2" s="1"/>
  <c r="AH138" i="2"/>
  <c r="AE138" i="2"/>
  <c r="AF138" i="2" s="1"/>
  <c r="AC138" i="2"/>
  <c r="S138" i="2"/>
  <c r="I138" i="2"/>
  <c r="A138" i="2"/>
  <c r="CC137" i="2"/>
  <c r="CD137" i="2" s="1"/>
  <c r="CA137" i="2"/>
  <c r="BX137" i="2"/>
  <c r="BY137" i="2" s="1"/>
  <c r="BV137" i="2"/>
  <c r="BS137" i="2"/>
  <c r="BT137" i="2" s="1"/>
  <c r="BQ137" i="2"/>
  <c r="BN137" i="2"/>
  <c r="BO137" i="2" s="1"/>
  <c r="BL137" i="2"/>
  <c r="BI137" i="2"/>
  <c r="BJ137" i="2" s="1"/>
  <c r="BG137" i="2"/>
  <c r="BD137" i="2"/>
  <c r="BE137" i="2" s="1"/>
  <c r="BB137" i="2"/>
  <c r="AY137" i="2"/>
  <c r="AZ137" i="2" s="1"/>
  <c r="AW137" i="2"/>
  <c r="AT137" i="2"/>
  <c r="AU137" i="2" s="1"/>
  <c r="AR137" i="2"/>
  <c r="AO137" i="2"/>
  <c r="AP137" i="2" s="1"/>
  <c r="AM137" i="2"/>
  <c r="AJ137" i="2"/>
  <c r="AK137" i="2" s="1"/>
  <c r="AH137" i="2"/>
  <c r="AE137" i="2"/>
  <c r="AF137" i="2" s="1"/>
  <c r="AC137" i="2"/>
  <c r="S137" i="2"/>
  <c r="I137" i="2"/>
  <c r="A137" i="2"/>
  <c r="CC136" i="2"/>
  <c r="CD136" i="2" s="1"/>
  <c r="CA136" i="2"/>
  <c r="BX136" i="2"/>
  <c r="BY136" i="2" s="1"/>
  <c r="BV136" i="2"/>
  <c r="BS136" i="2"/>
  <c r="BT136" i="2" s="1"/>
  <c r="BQ136" i="2"/>
  <c r="BN136" i="2"/>
  <c r="BO136" i="2" s="1"/>
  <c r="BL136" i="2"/>
  <c r="BI136" i="2"/>
  <c r="BJ136" i="2" s="1"/>
  <c r="BG136" i="2"/>
  <c r="BD136" i="2"/>
  <c r="BE136" i="2" s="1"/>
  <c r="BB136" i="2"/>
  <c r="AY136" i="2"/>
  <c r="AZ136" i="2" s="1"/>
  <c r="AW136" i="2"/>
  <c r="AT136" i="2"/>
  <c r="AU136" i="2" s="1"/>
  <c r="AR136" i="2"/>
  <c r="AO136" i="2"/>
  <c r="AP136" i="2" s="1"/>
  <c r="AM136" i="2"/>
  <c r="AJ136" i="2"/>
  <c r="AK136" i="2" s="1"/>
  <c r="AH136" i="2"/>
  <c r="S136" i="2"/>
  <c r="I136" i="2"/>
  <c r="A136" i="2"/>
  <c r="CC135" i="2"/>
  <c r="CD135" i="2" s="1"/>
  <c r="CA135" i="2"/>
  <c r="BX135" i="2"/>
  <c r="BY135" i="2" s="1"/>
  <c r="BV135" i="2"/>
  <c r="BS135" i="2"/>
  <c r="BT135" i="2" s="1"/>
  <c r="BQ135" i="2"/>
  <c r="BN135" i="2"/>
  <c r="BO135" i="2" s="1"/>
  <c r="BL135" i="2"/>
  <c r="BI135" i="2"/>
  <c r="BJ135" i="2" s="1"/>
  <c r="BG135" i="2"/>
  <c r="BD135" i="2"/>
  <c r="BE135" i="2" s="1"/>
  <c r="BB135" i="2"/>
  <c r="AY135" i="2"/>
  <c r="AZ135" i="2" s="1"/>
  <c r="AW135" i="2"/>
  <c r="AT135" i="2"/>
  <c r="AU135" i="2" s="1"/>
  <c r="AR135" i="2"/>
  <c r="AO135" i="2"/>
  <c r="AP135" i="2" s="1"/>
  <c r="AM135" i="2"/>
  <c r="AJ135" i="2"/>
  <c r="AK135" i="2" s="1"/>
  <c r="AH135" i="2"/>
  <c r="AE135" i="2"/>
  <c r="AF135" i="2" s="1"/>
  <c r="AC135" i="2"/>
  <c r="S135" i="2"/>
  <c r="I135" i="2"/>
  <c r="A135" i="2"/>
  <c r="CC134" i="2"/>
  <c r="CD134" i="2" s="1"/>
  <c r="CA134" i="2"/>
  <c r="BX134" i="2"/>
  <c r="BY134" i="2" s="1"/>
  <c r="BV134" i="2"/>
  <c r="BS134" i="2"/>
  <c r="BT134" i="2" s="1"/>
  <c r="BQ134" i="2"/>
  <c r="BN134" i="2"/>
  <c r="BO134" i="2" s="1"/>
  <c r="BL134" i="2"/>
  <c r="BI134" i="2"/>
  <c r="BJ134" i="2" s="1"/>
  <c r="BG134" i="2"/>
  <c r="BD134" i="2"/>
  <c r="BE134" i="2" s="1"/>
  <c r="BB134" i="2"/>
  <c r="AY134" i="2"/>
  <c r="AZ134" i="2" s="1"/>
  <c r="AW134" i="2"/>
  <c r="AT134" i="2"/>
  <c r="AU134" i="2" s="1"/>
  <c r="AR134" i="2"/>
  <c r="AO134" i="2"/>
  <c r="AP134" i="2" s="1"/>
  <c r="AM134" i="2"/>
  <c r="AJ134" i="2"/>
  <c r="AK134" i="2" s="1"/>
  <c r="AH134" i="2"/>
  <c r="S134" i="2"/>
  <c r="I134" i="2"/>
  <c r="A134" i="2"/>
  <c r="CC133" i="2"/>
  <c r="CD133" i="2" s="1"/>
  <c r="CA133" i="2"/>
  <c r="BX133" i="2"/>
  <c r="BY133" i="2" s="1"/>
  <c r="BV133" i="2"/>
  <c r="BS133" i="2"/>
  <c r="BT133" i="2" s="1"/>
  <c r="BQ133" i="2"/>
  <c r="BN133" i="2"/>
  <c r="BO133" i="2" s="1"/>
  <c r="BL133" i="2"/>
  <c r="BI133" i="2"/>
  <c r="BJ133" i="2" s="1"/>
  <c r="BG133" i="2"/>
  <c r="BD133" i="2"/>
  <c r="BE133" i="2" s="1"/>
  <c r="BB133" i="2"/>
  <c r="AY133" i="2"/>
  <c r="AZ133" i="2" s="1"/>
  <c r="AW133" i="2"/>
  <c r="AT133" i="2"/>
  <c r="AU133" i="2" s="1"/>
  <c r="AR133" i="2"/>
  <c r="AO133" i="2"/>
  <c r="AP133" i="2" s="1"/>
  <c r="AM133" i="2"/>
  <c r="AJ133" i="2"/>
  <c r="AK133" i="2" s="1"/>
  <c r="AH133" i="2"/>
  <c r="AE133" i="2"/>
  <c r="AF133" i="2" s="1"/>
  <c r="AC133" i="2"/>
  <c r="S133" i="2"/>
  <c r="I133" i="2"/>
  <c r="A133" i="2"/>
  <c r="CC132" i="2"/>
  <c r="CD132" i="2" s="1"/>
  <c r="CA132" i="2"/>
  <c r="BX132" i="2"/>
  <c r="BY132" i="2" s="1"/>
  <c r="BV132" i="2"/>
  <c r="BS132" i="2"/>
  <c r="BT132" i="2" s="1"/>
  <c r="BQ132" i="2"/>
  <c r="BN132" i="2"/>
  <c r="BO132" i="2" s="1"/>
  <c r="BL132" i="2"/>
  <c r="BI132" i="2"/>
  <c r="BJ132" i="2" s="1"/>
  <c r="BG132" i="2"/>
  <c r="BD132" i="2"/>
  <c r="BE132" i="2" s="1"/>
  <c r="BB132" i="2"/>
  <c r="AY132" i="2"/>
  <c r="AZ132" i="2" s="1"/>
  <c r="AW132" i="2"/>
  <c r="AT132" i="2"/>
  <c r="AU132" i="2" s="1"/>
  <c r="AR132" i="2"/>
  <c r="AO132" i="2"/>
  <c r="AP132" i="2" s="1"/>
  <c r="AM132" i="2"/>
  <c r="AJ132" i="2"/>
  <c r="AK132" i="2" s="1"/>
  <c r="AH132" i="2"/>
  <c r="S132" i="2"/>
  <c r="I132" i="2"/>
  <c r="A132" i="2"/>
  <c r="CC131" i="2"/>
  <c r="CD131" i="2" s="1"/>
  <c r="CA131" i="2"/>
  <c r="BX131" i="2"/>
  <c r="BY131" i="2" s="1"/>
  <c r="BV131" i="2"/>
  <c r="BS131" i="2"/>
  <c r="BT131" i="2" s="1"/>
  <c r="BQ131" i="2"/>
  <c r="BN131" i="2"/>
  <c r="BO131" i="2" s="1"/>
  <c r="BL131" i="2"/>
  <c r="BI131" i="2"/>
  <c r="BJ131" i="2" s="1"/>
  <c r="BG131" i="2"/>
  <c r="BD131" i="2"/>
  <c r="BE131" i="2" s="1"/>
  <c r="BB131" i="2"/>
  <c r="AY131" i="2"/>
  <c r="AZ131" i="2" s="1"/>
  <c r="AW131" i="2"/>
  <c r="AT131" i="2"/>
  <c r="AU131" i="2" s="1"/>
  <c r="AR131" i="2"/>
  <c r="AO131" i="2"/>
  <c r="AP131" i="2" s="1"/>
  <c r="AM131" i="2"/>
  <c r="AJ131" i="2"/>
  <c r="AK131" i="2" s="1"/>
  <c r="AH131" i="2"/>
  <c r="S131" i="2"/>
  <c r="I131" i="2"/>
  <c r="A131" i="2"/>
  <c r="CC130" i="2"/>
  <c r="CD130" i="2" s="1"/>
  <c r="CA130" i="2"/>
  <c r="BX130" i="2"/>
  <c r="BY130" i="2" s="1"/>
  <c r="BV130" i="2"/>
  <c r="BS130" i="2"/>
  <c r="BT130" i="2" s="1"/>
  <c r="BQ130" i="2"/>
  <c r="BN130" i="2"/>
  <c r="BO130" i="2" s="1"/>
  <c r="BL130" i="2"/>
  <c r="BI130" i="2"/>
  <c r="BJ130" i="2" s="1"/>
  <c r="BG130" i="2"/>
  <c r="BD130" i="2"/>
  <c r="BE130" i="2" s="1"/>
  <c r="BB130" i="2"/>
  <c r="AY130" i="2"/>
  <c r="AZ130" i="2" s="1"/>
  <c r="AW130" i="2"/>
  <c r="AT130" i="2"/>
  <c r="AU130" i="2" s="1"/>
  <c r="AR130" i="2"/>
  <c r="AO130" i="2"/>
  <c r="AP130" i="2" s="1"/>
  <c r="AM130" i="2"/>
  <c r="AJ130" i="2"/>
  <c r="AK130" i="2" s="1"/>
  <c r="AH130" i="2"/>
  <c r="S130" i="2"/>
  <c r="I130" i="2"/>
  <c r="A130" i="2"/>
  <c r="CC129" i="2"/>
  <c r="CD129" i="2" s="1"/>
  <c r="CA129" i="2"/>
  <c r="BX129" i="2"/>
  <c r="BY129" i="2" s="1"/>
  <c r="BV129" i="2"/>
  <c r="BS129" i="2"/>
  <c r="BT129" i="2" s="1"/>
  <c r="BQ129" i="2"/>
  <c r="BN129" i="2"/>
  <c r="BO129" i="2" s="1"/>
  <c r="BL129" i="2"/>
  <c r="BI129" i="2"/>
  <c r="BJ129" i="2" s="1"/>
  <c r="BG129" i="2"/>
  <c r="BD129" i="2"/>
  <c r="BE129" i="2" s="1"/>
  <c r="BB129" i="2"/>
  <c r="AY129" i="2"/>
  <c r="AZ129" i="2" s="1"/>
  <c r="AW129" i="2"/>
  <c r="AT129" i="2"/>
  <c r="AU129" i="2" s="1"/>
  <c r="AR129" i="2"/>
  <c r="AO129" i="2"/>
  <c r="AP129" i="2" s="1"/>
  <c r="AM129" i="2"/>
  <c r="AJ129" i="2"/>
  <c r="AK129" i="2" s="1"/>
  <c r="AH129" i="2"/>
  <c r="AE129" i="2"/>
  <c r="AF129" i="2" s="1"/>
  <c r="AC129" i="2"/>
  <c r="S129" i="2"/>
  <c r="I129" i="2"/>
  <c r="A129" i="2"/>
  <c r="CC128" i="2"/>
  <c r="CD128" i="2" s="1"/>
  <c r="CA128" i="2"/>
  <c r="BX128" i="2"/>
  <c r="BY128" i="2" s="1"/>
  <c r="BV128" i="2"/>
  <c r="BS128" i="2"/>
  <c r="BT128" i="2" s="1"/>
  <c r="BQ128" i="2"/>
  <c r="BN128" i="2"/>
  <c r="BO128" i="2" s="1"/>
  <c r="BL128" i="2"/>
  <c r="BI128" i="2"/>
  <c r="BJ128" i="2" s="1"/>
  <c r="BG128" i="2"/>
  <c r="BD128" i="2"/>
  <c r="BE128" i="2" s="1"/>
  <c r="BB128" i="2"/>
  <c r="AY128" i="2"/>
  <c r="AZ128" i="2" s="1"/>
  <c r="AW128" i="2"/>
  <c r="AT128" i="2"/>
  <c r="AU128" i="2" s="1"/>
  <c r="AR128" i="2"/>
  <c r="AO128" i="2"/>
  <c r="AP128" i="2" s="1"/>
  <c r="AM128" i="2"/>
  <c r="AJ128" i="2"/>
  <c r="AK128" i="2" s="1"/>
  <c r="AH128" i="2"/>
  <c r="S128" i="2"/>
  <c r="I128" i="2"/>
  <c r="A128" i="2"/>
  <c r="CC127" i="2"/>
  <c r="CD127" i="2" s="1"/>
  <c r="CA127" i="2"/>
  <c r="BX127" i="2"/>
  <c r="BY127" i="2" s="1"/>
  <c r="BV127" i="2"/>
  <c r="BS127" i="2"/>
  <c r="BT127" i="2" s="1"/>
  <c r="BQ127" i="2"/>
  <c r="BN127" i="2"/>
  <c r="BO127" i="2" s="1"/>
  <c r="BL127" i="2"/>
  <c r="BI127" i="2"/>
  <c r="BJ127" i="2" s="1"/>
  <c r="BG127" i="2"/>
  <c r="BD127" i="2"/>
  <c r="BE127" i="2" s="1"/>
  <c r="BB127" i="2"/>
  <c r="AY127" i="2"/>
  <c r="AZ127" i="2" s="1"/>
  <c r="AW127" i="2"/>
  <c r="AT127" i="2"/>
  <c r="AU127" i="2" s="1"/>
  <c r="AR127" i="2"/>
  <c r="AO127" i="2"/>
  <c r="AP127" i="2" s="1"/>
  <c r="AM127" i="2"/>
  <c r="AJ127" i="2"/>
  <c r="AK127" i="2" s="1"/>
  <c r="AH127" i="2"/>
  <c r="AE127" i="2"/>
  <c r="AF127" i="2" s="1"/>
  <c r="AC127" i="2"/>
  <c r="S127" i="2"/>
  <c r="I127" i="2"/>
  <c r="A127" i="2"/>
  <c r="CC126" i="2"/>
  <c r="CD126" i="2" s="1"/>
  <c r="CA126" i="2"/>
  <c r="BX126" i="2"/>
  <c r="BY126" i="2" s="1"/>
  <c r="BV126" i="2"/>
  <c r="BS126" i="2"/>
  <c r="BT126" i="2" s="1"/>
  <c r="BQ126" i="2"/>
  <c r="BN126" i="2"/>
  <c r="BO126" i="2" s="1"/>
  <c r="BL126" i="2"/>
  <c r="BI126" i="2"/>
  <c r="BJ126" i="2" s="1"/>
  <c r="BG126" i="2"/>
  <c r="BD126" i="2"/>
  <c r="BE126" i="2" s="1"/>
  <c r="BB126" i="2"/>
  <c r="AY126" i="2"/>
  <c r="AZ126" i="2" s="1"/>
  <c r="AW126" i="2"/>
  <c r="AT126" i="2"/>
  <c r="AU126" i="2" s="1"/>
  <c r="AR126" i="2"/>
  <c r="AO126" i="2"/>
  <c r="AP126" i="2" s="1"/>
  <c r="AM126" i="2"/>
  <c r="AJ126" i="2"/>
  <c r="AK126" i="2" s="1"/>
  <c r="AH126" i="2"/>
  <c r="S126" i="2"/>
  <c r="I126" i="2"/>
  <c r="A126" i="2"/>
  <c r="CC125" i="2"/>
  <c r="CD125" i="2" s="1"/>
  <c r="CA125" i="2"/>
  <c r="BX125" i="2"/>
  <c r="BY125" i="2" s="1"/>
  <c r="BV125" i="2"/>
  <c r="BS125" i="2"/>
  <c r="BT125" i="2" s="1"/>
  <c r="BQ125" i="2"/>
  <c r="BN125" i="2"/>
  <c r="BO125" i="2" s="1"/>
  <c r="BL125" i="2"/>
  <c r="BI125" i="2"/>
  <c r="BJ125" i="2" s="1"/>
  <c r="BG125" i="2"/>
  <c r="BD125" i="2"/>
  <c r="BE125" i="2" s="1"/>
  <c r="BB125" i="2"/>
  <c r="AY125" i="2"/>
  <c r="AZ125" i="2" s="1"/>
  <c r="AW125" i="2"/>
  <c r="AT125" i="2"/>
  <c r="AU125" i="2" s="1"/>
  <c r="AR125" i="2"/>
  <c r="AO125" i="2"/>
  <c r="AP125" i="2" s="1"/>
  <c r="AM125" i="2"/>
  <c r="AJ125" i="2"/>
  <c r="AK125" i="2" s="1"/>
  <c r="AH125" i="2"/>
  <c r="AE125" i="2"/>
  <c r="AF125" i="2" s="1"/>
  <c r="AC125" i="2"/>
  <c r="S125" i="2"/>
  <c r="I125" i="2"/>
  <c r="A125" i="2"/>
  <c r="CC124" i="2"/>
  <c r="CD124" i="2" s="1"/>
  <c r="CA124" i="2"/>
  <c r="BX124" i="2"/>
  <c r="BY124" i="2" s="1"/>
  <c r="BV124" i="2"/>
  <c r="BS124" i="2"/>
  <c r="BT124" i="2" s="1"/>
  <c r="BQ124" i="2"/>
  <c r="BN124" i="2"/>
  <c r="BO124" i="2" s="1"/>
  <c r="BL124" i="2"/>
  <c r="BI124" i="2"/>
  <c r="BJ124" i="2" s="1"/>
  <c r="BG124" i="2"/>
  <c r="BD124" i="2"/>
  <c r="BE124" i="2" s="1"/>
  <c r="BB124" i="2"/>
  <c r="AY124" i="2"/>
  <c r="AZ124" i="2" s="1"/>
  <c r="AW124" i="2"/>
  <c r="AT124" i="2"/>
  <c r="AU124" i="2" s="1"/>
  <c r="AR124" i="2"/>
  <c r="AO124" i="2"/>
  <c r="AP124" i="2" s="1"/>
  <c r="AM124" i="2"/>
  <c r="AJ124" i="2"/>
  <c r="AK124" i="2" s="1"/>
  <c r="AH124" i="2"/>
  <c r="S124" i="2"/>
  <c r="I124" i="2"/>
  <c r="A124" i="2"/>
  <c r="CC123" i="2"/>
  <c r="CD123" i="2" s="1"/>
  <c r="CA123" i="2"/>
  <c r="BX123" i="2"/>
  <c r="BY123" i="2" s="1"/>
  <c r="BV123" i="2"/>
  <c r="BS123" i="2"/>
  <c r="BT123" i="2" s="1"/>
  <c r="BQ123" i="2"/>
  <c r="BN123" i="2"/>
  <c r="BO123" i="2" s="1"/>
  <c r="BL123" i="2"/>
  <c r="BI123" i="2"/>
  <c r="BJ123" i="2" s="1"/>
  <c r="BG123" i="2"/>
  <c r="BD123" i="2"/>
  <c r="BE123" i="2" s="1"/>
  <c r="BB123" i="2"/>
  <c r="AY123" i="2"/>
  <c r="AZ123" i="2" s="1"/>
  <c r="AW123" i="2"/>
  <c r="AT123" i="2"/>
  <c r="AU123" i="2" s="1"/>
  <c r="AR123" i="2"/>
  <c r="AO123" i="2"/>
  <c r="AP123" i="2" s="1"/>
  <c r="AM123" i="2"/>
  <c r="AJ123" i="2"/>
  <c r="AK123" i="2" s="1"/>
  <c r="AH123" i="2"/>
  <c r="AE123" i="2"/>
  <c r="AF123" i="2" s="1"/>
  <c r="AC123" i="2"/>
  <c r="S123" i="2"/>
  <c r="I123" i="2"/>
  <c r="A123" i="2"/>
  <c r="CC122" i="2"/>
  <c r="CD122" i="2" s="1"/>
  <c r="CA122" i="2"/>
  <c r="BX122" i="2"/>
  <c r="BY122" i="2" s="1"/>
  <c r="BV122" i="2"/>
  <c r="BS122" i="2"/>
  <c r="BT122" i="2" s="1"/>
  <c r="BQ122" i="2"/>
  <c r="BN122" i="2"/>
  <c r="BO122" i="2" s="1"/>
  <c r="BL122" i="2"/>
  <c r="BI122" i="2"/>
  <c r="BJ122" i="2" s="1"/>
  <c r="BG122" i="2"/>
  <c r="BD122" i="2"/>
  <c r="BE122" i="2" s="1"/>
  <c r="BB122" i="2"/>
  <c r="AY122" i="2"/>
  <c r="AZ122" i="2" s="1"/>
  <c r="AW122" i="2"/>
  <c r="AT122" i="2"/>
  <c r="AU122" i="2" s="1"/>
  <c r="AR122" i="2"/>
  <c r="AO122" i="2"/>
  <c r="AP122" i="2" s="1"/>
  <c r="AM122" i="2"/>
  <c r="AJ122" i="2"/>
  <c r="AK122" i="2" s="1"/>
  <c r="AH122" i="2"/>
  <c r="S122" i="2"/>
  <c r="I122" i="2"/>
  <c r="A122" i="2"/>
  <c r="CC121" i="2"/>
  <c r="CD121" i="2" s="1"/>
  <c r="CA121" i="2"/>
  <c r="BX121" i="2"/>
  <c r="BY121" i="2" s="1"/>
  <c r="BV121" i="2"/>
  <c r="BS121" i="2"/>
  <c r="BT121" i="2" s="1"/>
  <c r="BQ121" i="2"/>
  <c r="BN121" i="2"/>
  <c r="BO121" i="2" s="1"/>
  <c r="BL121" i="2"/>
  <c r="BI121" i="2"/>
  <c r="BJ121" i="2" s="1"/>
  <c r="BG121" i="2"/>
  <c r="BD121" i="2"/>
  <c r="BE121" i="2" s="1"/>
  <c r="BB121" i="2"/>
  <c r="AY121" i="2"/>
  <c r="AZ121" i="2" s="1"/>
  <c r="AW121" i="2"/>
  <c r="AT121" i="2"/>
  <c r="AU121" i="2" s="1"/>
  <c r="AR121" i="2"/>
  <c r="AO121" i="2"/>
  <c r="AP121" i="2" s="1"/>
  <c r="AM121" i="2"/>
  <c r="AJ121" i="2"/>
  <c r="AK121" i="2" s="1"/>
  <c r="AH121" i="2"/>
  <c r="S121" i="2"/>
  <c r="I121" i="2"/>
  <c r="A121" i="2"/>
  <c r="CC120" i="2"/>
  <c r="CD120" i="2" s="1"/>
  <c r="CA120" i="2"/>
  <c r="BX120" i="2"/>
  <c r="BY120" i="2" s="1"/>
  <c r="BV120" i="2"/>
  <c r="BS120" i="2"/>
  <c r="BT120" i="2" s="1"/>
  <c r="BQ120" i="2"/>
  <c r="BN120" i="2"/>
  <c r="BO120" i="2" s="1"/>
  <c r="BL120" i="2"/>
  <c r="BI120" i="2"/>
  <c r="BJ120" i="2" s="1"/>
  <c r="BG120" i="2"/>
  <c r="BD120" i="2"/>
  <c r="BE120" i="2" s="1"/>
  <c r="BB120" i="2"/>
  <c r="AY120" i="2"/>
  <c r="AZ120" i="2" s="1"/>
  <c r="AW120" i="2"/>
  <c r="AT120" i="2"/>
  <c r="AU120" i="2" s="1"/>
  <c r="AR120" i="2"/>
  <c r="AO120" i="2"/>
  <c r="AP120" i="2" s="1"/>
  <c r="AM120" i="2"/>
  <c r="AJ120" i="2"/>
  <c r="AK120" i="2" s="1"/>
  <c r="AH120" i="2"/>
  <c r="S120" i="2"/>
  <c r="I120" i="2"/>
  <c r="A120" i="2"/>
  <c r="CC119" i="2"/>
  <c r="CD119" i="2" s="1"/>
  <c r="CA119" i="2"/>
  <c r="BX119" i="2"/>
  <c r="BY119" i="2" s="1"/>
  <c r="BV119" i="2"/>
  <c r="BS119" i="2"/>
  <c r="BT119" i="2" s="1"/>
  <c r="BQ119" i="2"/>
  <c r="BN119" i="2"/>
  <c r="BO119" i="2" s="1"/>
  <c r="BL119" i="2"/>
  <c r="BI119" i="2"/>
  <c r="BJ119" i="2" s="1"/>
  <c r="BG119" i="2"/>
  <c r="BD119" i="2"/>
  <c r="BE119" i="2" s="1"/>
  <c r="BB119" i="2"/>
  <c r="AY119" i="2"/>
  <c r="AZ119" i="2" s="1"/>
  <c r="AW119" i="2"/>
  <c r="AT119" i="2"/>
  <c r="AU119" i="2" s="1"/>
  <c r="AR119" i="2"/>
  <c r="AO119" i="2"/>
  <c r="AP119" i="2" s="1"/>
  <c r="AM119" i="2"/>
  <c r="AJ119" i="2"/>
  <c r="AK119" i="2" s="1"/>
  <c r="AH119" i="2"/>
  <c r="S119" i="2"/>
  <c r="I119" i="2"/>
  <c r="A119" i="2"/>
  <c r="CC118" i="2"/>
  <c r="CD118" i="2" s="1"/>
  <c r="CA118" i="2"/>
  <c r="BX118" i="2"/>
  <c r="BY118" i="2" s="1"/>
  <c r="BV118" i="2"/>
  <c r="BS118" i="2"/>
  <c r="BT118" i="2" s="1"/>
  <c r="BQ118" i="2"/>
  <c r="BN118" i="2"/>
  <c r="BO118" i="2" s="1"/>
  <c r="BL118" i="2"/>
  <c r="BI118" i="2"/>
  <c r="BJ118" i="2" s="1"/>
  <c r="BG118" i="2"/>
  <c r="BD118" i="2"/>
  <c r="BE118" i="2" s="1"/>
  <c r="BB118" i="2"/>
  <c r="AY118" i="2"/>
  <c r="AZ118" i="2" s="1"/>
  <c r="AW118" i="2"/>
  <c r="AT118" i="2"/>
  <c r="AU118" i="2" s="1"/>
  <c r="AR118" i="2"/>
  <c r="AO118" i="2"/>
  <c r="AP118" i="2" s="1"/>
  <c r="AM118" i="2"/>
  <c r="AJ118" i="2"/>
  <c r="AK118" i="2" s="1"/>
  <c r="AH118" i="2"/>
  <c r="S118" i="2"/>
  <c r="I118" i="2"/>
  <c r="A118" i="2"/>
  <c r="CC117" i="2"/>
  <c r="CD117" i="2" s="1"/>
  <c r="CA117" i="2"/>
  <c r="BX117" i="2"/>
  <c r="BY117" i="2" s="1"/>
  <c r="BV117" i="2"/>
  <c r="BS117" i="2"/>
  <c r="BT117" i="2" s="1"/>
  <c r="BQ117" i="2"/>
  <c r="BN117" i="2"/>
  <c r="BO117" i="2" s="1"/>
  <c r="BL117" i="2"/>
  <c r="BI117" i="2"/>
  <c r="BJ117" i="2" s="1"/>
  <c r="BG117" i="2"/>
  <c r="BD117" i="2"/>
  <c r="BE117" i="2" s="1"/>
  <c r="BB117" i="2"/>
  <c r="AY117" i="2"/>
  <c r="AZ117" i="2" s="1"/>
  <c r="AW117" i="2"/>
  <c r="AT117" i="2"/>
  <c r="AU117" i="2" s="1"/>
  <c r="AR117" i="2"/>
  <c r="AO117" i="2"/>
  <c r="AP117" i="2" s="1"/>
  <c r="AM117" i="2"/>
  <c r="AJ117" i="2"/>
  <c r="AK117" i="2" s="1"/>
  <c r="AH117" i="2"/>
  <c r="S117" i="2"/>
  <c r="I117" i="2"/>
  <c r="A117" i="2"/>
  <c r="CC116" i="2"/>
  <c r="CD116" i="2" s="1"/>
  <c r="CA116" i="2"/>
  <c r="BX116" i="2"/>
  <c r="BY116" i="2" s="1"/>
  <c r="BV116" i="2"/>
  <c r="BS116" i="2"/>
  <c r="BT116" i="2" s="1"/>
  <c r="BQ116" i="2"/>
  <c r="BN116" i="2"/>
  <c r="BO116" i="2" s="1"/>
  <c r="BL116" i="2"/>
  <c r="BI116" i="2"/>
  <c r="BJ116" i="2" s="1"/>
  <c r="BG116" i="2"/>
  <c r="BD116" i="2"/>
  <c r="BE116" i="2" s="1"/>
  <c r="BB116" i="2"/>
  <c r="AY116" i="2"/>
  <c r="AZ116" i="2" s="1"/>
  <c r="AW116" i="2"/>
  <c r="AT116" i="2"/>
  <c r="AU116" i="2" s="1"/>
  <c r="AR116" i="2"/>
  <c r="AO116" i="2"/>
  <c r="AP116" i="2" s="1"/>
  <c r="AM116" i="2"/>
  <c r="AJ116" i="2"/>
  <c r="AK116" i="2" s="1"/>
  <c r="AH116" i="2"/>
  <c r="AE116" i="2"/>
  <c r="AF116" i="2" s="1"/>
  <c r="AC116" i="2"/>
  <c r="S116" i="2"/>
  <c r="I116" i="2"/>
  <c r="A116" i="2"/>
  <c r="CC115" i="2"/>
  <c r="CD115" i="2" s="1"/>
  <c r="CA115" i="2"/>
  <c r="BX115" i="2"/>
  <c r="BY115" i="2" s="1"/>
  <c r="BV115" i="2"/>
  <c r="BS115" i="2"/>
  <c r="BT115" i="2" s="1"/>
  <c r="BQ115" i="2"/>
  <c r="BN115" i="2"/>
  <c r="BO115" i="2" s="1"/>
  <c r="BL115" i="2"/>
  <c r="BI115" i="2"/>
  <c r="BJ115" i="2" s="1"/>
  <c r="BG115" i="2"/>
  <c r="BD115" i="2"/>
  <c r="BE115" i="2" s="1"/>
  <c r="BB115" i="2"/>
  <c r="AY115" i="2"/>
  <c r="AZ115" i="2" s="1"/>
  <c r="AW115" i="2"/>
  <c r="AT115" i="2"/>
  <c r="AU115" i="2" s="1"/>
  <c r="AR115" i="2"/>
  <c r="AO115" i="2"/>
  <c r="AP115" i="2" s="1"/>
  <c r="AM115" i="2"/>
  <c r="AJ115" i="2"/>
  <c r="AK115" i="2" s="1"/>
  <c r="AH115" i="2"/>
  <c r="S115" i="2"/>
  <c r="I115" i="2"/>
  <c r="A115" i="2"/>
  <c r="CC114" i="2"/>
  <c r="CD114" i="2" s="1"/>
  <c r="CA114" i="2"/>
  <c r="BX114" i="2"/>
  <c r="BY114" i="2" s="1"/>
  <c r="BV114" i="2"/>
  <c r="BS114" i="2"/>
  <c r="BT114" i="2" s="1"/>
  <c r="BQ114" i="2"/>
  <c r="BN114" i="2"/>
  <c r="BO114" i="2" s="1"/>
  <c r="BL114" i="2"/>
  <c r="BI114" i="2"/>
  <c r="BJ114" i="2" s="1"/>
  <c r="BG114" i="2"/>
  <c r="BD114" i="2"/>
  <c r="BE114" i="2" s="1"/>
  <c r="BB114" i="2"/>
  <c r="AY114" i="2"/>
  <c r="AZ114" i="2" s="1"/>
  <c r="AW114" i="2"/>
  <c r="AT114" i="2"/>
  <c r="AU114" i="2" s="1"/>
  <c r="AR114" i="2"/>
  <c r="AO114" i="2"/>
  <c r="AP114" i="2" s="1"/>
  <c r="AM114" i="2"/>
  <c r="AJ114" i="2"/>
  <c r="AK114" i="2" s="1"/>
  <c r="AH114" i="2"/>
  <c r="AE114" i="2"/>
  <c r="AF114" i="2" s="1"/>
  <c r="AC114" i="2"/>
  <c r="S114" i="2"/>
  <c r="I114" i="2"/>
  <c r="A114" i="2"/>
  <c r="CC113" i="2"/>
  <c r="CD113" i="2" s="1"/>
  <c r="CA113" i="2"/>
  <c r="BX113" i="2"/>
  <c r="BY113" i="2" s="1"/>
  <c r="BV113" i="2"/>
  <c r="BS113" i="2"/>
  <c r="BT113" i="2" s="1"/>
  <c r="BQ113" i="2"/>
  <c r="BN113" i="2"/>
  <c r="BO113" i="2" s="1"/>
  <c r="BL113" i="2"/>
  <c r="BI113" i="2"/>
  <c r="BJ113" i="2" s="1"/>
  <c r="BG113" i="2"/>
  <c r="BD113" i="2"/>
  <c r="BE113" i="2" s="1"/>
  <c r="BB113" i="2"/>
  <c r="AY113" i="2"/>
  <c r="AZ113" i="2" s="1"/>
  <c r="AW113" i="2"/>
  <c r="AT113" i="2"/>
  <c r="AU113" i="2" s="1"/>
  <c r="AR113" i="2"/>
  <c r="AO113" i="2"/>
  <c r="AP113" i="2" s="1"/>
  <c r="AM113" i="2"/>
  <c r="AJ113" i="2"/>
  <c r="AK113" i="2" s="1"/>
  <c r="AH113" i="2"/>
  <c r="S113" i="2"/>
  <c r="I113" i="2"/>
  <c r="A113" i="2"/>
  <c r="CC112" i="2"/>
  <c r="CD112" i="2" s="1"/>
  <c r="CA112" i="2"/>
  <c r="BX112" i="2"/>
  <c r="BY112" i="2" s="1"/>
  <c r="BV112" i="2"/>
  <c r="BS112" i="2"/>
  <c r="BT112" i="2" s="1"/>
  <c r="BQ112" i="2"/>
  <c r="BN112" i="2"/>
  <c r="BO112" i="2" s="1"/>
  <c r="BL112" i="2"/>
  <c r="BI112" i="2"/>
  <c r="BJ112" i="2" s="1"/>
  <c r="BG112" i="2"/>
  <c r="BD112" i="2"/>
  <c r="BE112" i="2" s="1"/>
  <c r="BB112" i="2"/>
  <c r="AY112" i="2"/>
  <c r="AZ112" i="2" s="1"/>
  <c r="AW112" i="2"/>
  <c r="AT112" i="2"/>
  <c r="AU112" i="2" s="1"/>
  <c r="AR112" i="2"/>
  <c r="AO112" i="2"/>
  <c r="AP112" i="2" s="1"/>
  <c r="AM112" i="2"/>
  <c r="AJ112" i="2"/>
  <c r="AK112" i="2" s="1"/>
  <c r="AH112" i="2"/>
  <c r="S112" i="2"/>
  <c r="I112" i="2"/>
  <c r="A112" i="2"/>
  <c r="CC111" i="2"/>
  <c r="CD111" i="2" s="1"/>
  <c r="CA111" i="2"/>
  <c r="BX111" i="2"/>
  <c r="BY111" i="2" s="1"/>
  <c r="BV111" i="2"/>
  <c r="BS111" i="2"/>
  <c r="BT111" i="2" s="1"/>
  <c r="BQ111" i="2"/>
  <c r="BN111" i="2"/>
  <c r="BO111" i="2" s="1"/>
  <c r="BL111" i="2"/>
  <c r="BI111" i="2"/>
  <c r="BJ111" i="2" s="1"/>
  <c r="BG111" i="2"/>
  <c r="BD111" i="2"/>
  <c r="BE111" i="2" s="1"/>
  <c r="BB111" i="2"/>
  <c r="AY111" i="2"/>
  <c r="AZ111" i="2" s="1"/>
  <c r="AW111" i="2"/>
  <c r="AT111" i="2"/>
  <c r="AU111" i="2" s="1"/>
  <c r="AR111" i="2"/>
  <c r="AO111" i="2"/>
  <c r="AP111" i="2" s="1"/>
  <c r="AM111" i="2"/>
  <c r="AJ111" i="2"/>
  <c r="AK111" i="2" s="1"/>
  <c r="AH111" i="2"/>
  <c r="S111" i="2"/>
  <c r="I111" i="2"/>
  <c r="A111" i="2"/>
  <c r="CC110" i="2"/>
  <c r="CD110" i="2" s="1"/>
  <c r="CA110" i="2"/>
  <c r="BX110" i="2"/>
  <c r="BY110" i="2" s="1"/>
  <c r="BV110" i="2"/>
  <c r="BS110" i="2"/>
  <c r="BT110" i="2" s="1"/>
  <c r="BQ110" i="2"/>
  <c r="BN110" i="2"/>
  <c r="BO110" i="2" s="1"/>
  <c r="BL110" i="2"/>
  <c r="BI110" i="2"/>
  <c r="BJ110" i="2" s="1"/>
  <c r="BG110" i="2"/>
  <c r="BD110" i="2"/>
  <c r="BE110" i="2" s="1"/>
  <c r="BB110" i="2"/>
  <c r="AY110" i="2"/>
  <c r="AZ110" i="2" s="1"/>
  <c r="AW110" i="2"/>
  <c r="AT110" i="2"/>
  <c r="AU110" i="2" s="1"/>
  <c r="AR110" i="2"/>
  <c r="AO110" i="2"/>
  <c r="AP110" i="2" s="1"/>
  <c r="AM110" i="2"/>
  <c r="AJ110" i="2"/>
  <c r="AK110" i="2" s="1"/>
  <c r="AH110" i="2"/>
  <c r="S110" i="2"/>
  <c r="I110" i="2"/>
  <c r="A110" i="2"/>
  <c r="CC109" i="2"/>
  <c r="CD109" i="2" s="1"/>
  <c r="CA109" i="2"/>
  <c r="BX109" i="2"/>
  <c r="BY109" i="2" s="1"/>
  <c r="BV109" i="2"/>
  <c r="BS109" i="2"/>
  <c r="BT109" i="2" s="1"/>
  <c r="BQ109" i="2"/>
  <c r="BN109" i="2"/>
  <c r="BO109" i="2" s="1"/>
  <c r="BL109" i="2"/>
  <c r="BI109" i="2"/>
  <c r="BJ109" i="2" s="1"/>
  <c r="BG109" i="2"/>
  <c r="BD109" i="2"/>
  <c r="BE109" i="2" s="1"/>
  <c r="BB109" i="2"/>
  <c r="AY109" i="2"/>
  <c r="AZ109" i="2" s="1"/>
  <c r="AW109" i="2"/>
  <c r="AT109" i="2"/>
  <c r="AU109" i="2" s="1"/>
  <c r="AR109" i="2"/>
  <c r="AO109" i="2"/>
  <c r="AP109" i="2" s="1"/>
  <c r="AM109" i="2"/>
  <c r="AJ109" i="2"/>
  <c r="AK109" i="2" s="1"/>
  <c r="AH109" i="2"/>
  <c r="S109" i="2"/>
  <c r="I109" i="2"/>
  <c r="A109" i="2"/>
  <c r="CC108" i="2"/>
  <c r="CD108" i="2" s="1"/>
  <c r="CA108" i="2"/>
  <c r="BX108" i="2"/>
  <c r="BY108" i="2" s="1"/>
  <c r="BV108" i="2"/>
  <c r="BS108" i="2"/>
  <c r="BT108" i="2" s="1"/>
  <c r="BQ108" i="2"/>
  <c r="BN108" i="2"/>
  <c r="BO108" i="2" s="1"/>
  <c r="BL108" i="2"/>
  <c r="BI108" i="2"/>
  <c r="BJ108" i="2" s="1"/>
  <c r="BG108" i="2"/>
  <c r="BD108" i="2"/>
  <c r="BE108" i="2" s="1"/>
  <c r="BB108" i="2"/>
  <c r="AY108" i="2"/>
  <c r="AZ108" i="2" s="1"/>
  <c r="AW108" i="2"/>
  <c r="AT108" i="2"/>
  <c r="AU108" i="2" s="1"/>
  <c r="AR108" i="2"/>
  <c r="AO108" i="2"/>
  <c r="AP108" i="2" s="1"/>
  <c r="AM108" i="2"/>
  <c r="AJ108" i="2"/>
  <c r="AK108" i="2" s="1"/>
  <c r="AH108" i="2"/>
  <c r="S108" i="2"/>
  <c r="I108" i="2"/>
  <c r="A108" i="2"/>
  <c r="CC107" i="2"/>
  <c r="CD107" i="2" s="1"/>
  <c r="CA107" i="2"/>
  <c r="BX107" i="2"/>
  <c r="BY107" i="2" s="1"/>
  <c r="BV107" i="2"/>
  <c r="BS107" i="2"/>
  <c r="BT107" i="2" s="1"/>
  <c r="BQ107" i="2"/>
  <c r="BN107" i="2"/>
  <c r="BO107" i="2" s="1"/>
  <c r="BL107" i="2"/>
  <c r="BI107" i="2"/>
  <c r="BJ107" i="2" s="1"/>
  <c r="BG107" i="2"/>
  <c r="BD107" i="2"/>
  <c r="BE107" i="2" s="1"/>
  <c r="BB107" i="2"/>
  <c r="AY107" i="2"/>
  <c r="AZ107" i="2" s="1"/>
  <c r="AW107" i="2"/>
  <c r="AT107" i="2"/>
  <c r="AU107" i="2" s="1"/>
  <c r="AR107" i="2"/>
  <c r="AO107" i="2"/>
  <c r="AP107" i="2" s="1"/>
  <c r="AM107" i="2"/>
  <c r="AJ107" i="2"/>
  <c r="AK107" i="2" s="1"/>
  <c r="AH107" i="2"/>
  <c r="S107" i="2"/>
  <c r="I107" i="2"/>
  <c r="A107" i="2"/>
  <c r="CC106" i="2"/>
  <c r="CD106" i="2" s="1"/>
  <c r="CA106" i="2"/>
  <c r="BX106" i="2"/>
  <c r="BY106" i="2" s="1"/>
  <c r="BV106" i="2"/>
  <c r="BS106" i="2"/>
  <c r="BT106" i="2" s="1"/>
  <c r="BQ106" i="2"/>
  <c r="BN106" i="2"/>
  <c r="BO106" i="2" s="1"/>
  <c r="BL106" i="2"/>
  <c r="BI106" i="2"/>
  <c r="BJ106" i="2" s="1"/>
  <c r="BG106" i="2"/>
  <c r="BD106" i="2"/>
  <c r="BE106" i="2" s="1"/>
  <c r="BB106" i="2"/>
  <c r="AY106" i="2"/>
  <c r="AZ106" i="2" s="1"/>
  <c r="AW106" i="2"/>
  <c r="AT106" i="2"/>
  <c r="AU106" i="2" s="1"/>
  <c r="AR106" i="2"/>
  <c r="AO106" i="2"/>
  <c r="AP106" i="2" s="1"/>
  <c r="AM106" i="2"/>
  <c r="AJ106" i="2"/>
  <c r="AK106" i="2" s="1"/>
  <c r="AH106" i="2"/>
  <c r="AE106" i="2"/>
  <c r="AF106" i="2" s="1"/>
  <c r="AC106" i="2"/>
  <c r="S106" i="2"/>
  <c r="I106" i="2"/>
  <c r="A106" i="2"/>
  <c r="CC105" i="2"/>
  <c r="CD105" i="2" s="1"/>
  <c r="CA105" i="2"/>
  <c r="BX105" i="2"/>
  <c r="BY105" i="2" s="1"/>
  <c r="BV105" i="2"/>
  <c r="BS105" i="2"/>
  <c r="BT105" i="2" s="1"/>
  <c r="BQ105" i="2"/>
  <c r="BN105" i="2"/>
  <c r="BO105" i="2" s="1"/>
  <c r="BL105" i="2"/>
  <c r="BI105" i="2"/>
  <c r="BJ105" i="2" s="1"/>
  <c r="BG105" i="2"/>
  <c r="BD105" i="2"/>
  <c r="BE105" i="2" s="1"/>
  <c r="BB105" i="2"/>
  <c r="AY105" i="2"/>
  <c r="AZ105" i="2" s="1"/>
  <c r="AW105" i="2"/>
  <c r="AT105" i="2"/>
  <c r="AU105" i="2" s="1"/>
  <c r="AR105" i="2"/>
  <c r="AO105" i="2"/>
  <c r="AP105" i="2" s="1"/>
  <c r="AM105" i="2"/>
  <c r="AJ105" i="2"/>
  <c r="AK105" i="2" s="1"/>
  <c r="AH105" i="2"/>
  <c r="S105" i="2"/>
  <c r="I105" i="2"/>
  <c r="A105" i="2"/>
  <c r="CC104" i="2"/>
  <c r="CD104" i="2" s="1"/>
  <c r="CA104" i="2"/>
  <c r="BX104" i="2"/>
  <c r="BY104" i="2" s="1"/>
  <c r="BV104" i="2"/>
  <c r="BS104" i="2"/>
  <c r="BT104" i="2" s="1"/>
  <c r="BQ104" i="2"/>
  <c r="BN104" i="2"/>
  <c r="BO104" i="2" s="1"/>
  <c r="BL104" i="2"/>
  <c r="BI104" i="2"/>
  <c r="BJ104" i="2" s="1"/>
  <c r="BG104" i="2"/>
  <c r="BD104" i="2"/>
  <c r="BE104" i="2" s="1"/>
  <c r="BB104" i="2"/>
  <c r="AY104" i="2"/>
  <c r="AZ104" i="2" s="1"/>
  <c r="AW104" i="2"/>
  <c r="AT104" i="2"/>
  <c r="AU104" i="2" s="1"/>
  <c r="AR104" i="2"/>
  <c r="AO104" i="2"/>
  <c r="AP104" i="2" s="1"/>
  <c r="AM104" i="2"/>
  <c r="AJ104" i="2"/>
  <c r="AK104" i="2" s="1"/>
  <c r="AH104" i="2"/>
  <c r="AE104" i="2"/>
  <c r="AF104" i="2" s="1"/>
  <c r="AC104" i="2"/>
  <c r="S104" i="2"/>
  <c r="I104" i="2"/>
  <c r="A104" i="2"/>
  <c r="CC103" i="2"/>
  <c r="CD103" i="2" s="1"/>
  <c r="CA103" i="2"/>
  <c r="BX103" i="2"/>
  <c r="BY103" i="2" s="1"/>
  <c r="BV103" i="2"/>
  <c r="BS103" i="2"/>
  <c r="BT103" i="2" s="1"/>
  <c r="BQ103" i="2"/>
  <c r="BN103" i="2"/>
  <c r="BO103" i="2" s="1"/>
  <c r="BL103" i="2"/>
  <c r="BI103" i="2"/>
  <c r="BJ103" i="2" s="1"/>
  <c r="BG103" i="2"/>
  <c r="BD103" i="2"/>
  <c r="BE103" i="2" s="1"/>
  <c r="BB103" i="2"/>
  <c r="AY103" i="2"/>
  <c r="AZ103" i="2" s="1"/>
  <c r="AW103" i="2"/>
  <c r="AT103" i="2"/>
  <c r="AU103" i="2" s="1"/>
  <c r="AR103" i="2"/>
  <c r="AO103" i="2"/>
  <c r="AP103" i="2" s="1"/>
  <c r="AM103" i="2"/>
  <c r="AJ103" i="2"/>
  <c r="AK103" i="2" s="1"/>
  <c r="AH103" i="2"/>
  <c r="S103" i="2"/>
  <c r="I103" i="2"/>
  <c r="A103" i="2"/>
  <c r="CC102" i="2"/>
  <c r="CD102" i="2" s="1"/>
  <c r="CA102" i="2"/>
  <c r="BX102" i="2"/>
  <c r="BY102" i="2" s="1"/>
  <c r="BV102" i="2"/>
  <c r="BS102" i="2"/>
  <c r="BT102" i="2" s="1"/>
  <c r="BQ102" i="2"/>
  <c r="BN102" i="2"/>
  <c r="BO102" i="2" s="1"/>
  <c r="BL102" i="2"/>
  <c r="BI102" i="2"/>
  <c r="BJ102" i="2" s="1"/>
  <c r="BG102" i="2"/>
  <c r="BD102" i="2"/>
  <c r="BE102" i="2" s="1"/>
  <c r="BB102" i="2"/>
  <c r="AY102" i="2"/>
  <c r="AZ102" i="2" s="1"/>
  <c r="AW102" i="2"/>
  <c r="AT102" i="2"/>
  <c r="AU102" i="2" s="1"/>
  <c r="AR102" i="2"/>
  <c r="AO102" i="2"/>
  <c r="AP102" i="2" s="1"/>
  <c r="AM102" i="2"/>
  <c r="AJ102" i="2"/>
  <c r="AK102" i="2" s="1"/>
  <c r="AH102" i="2"/>
  <c r="AE102" i="2"/>
  <c r="AF102" i="2" s="1"/>
  <c r="AC102" i="2"/>
  <c r="S102" i="2"/>
  <c r="I102" i="2"/>
  <c r="A102" i="2"/>
  <c r="CC101" i="2"/>
  <c r="CD101" i="2" s="1"/>
  <c r="CA101" i="2"/>
  <c r="BX101" i="2"/>
  <c r="BY101" i="2" s="1"/>
  <c r="BV101" i="2"/>
  <c r="BS101" i="2"/>
  <c r="BT101" i="2" s="1"/>
  <c r="BQ101" i="2"/>
  <c r="BN101" i="2"/>
  <c r="BO101" i="2" s="1"/>
  <c r="BL101" i="2"/>
  <c r="BI101" i="2"/>
  <c r="BJ101" i="2" s="1"/>
  <c r="BG101" i="2"/>
  <c r="BD101" i="2"/>
  <c r="BE101" i="2" s="1"/>
  <c r="BB101" i="2"/>
  <c r="AY101" i="2"/>
  <c r="AZ101" i="2" s="1"/>
  <c r="AW101" i="2"/>
  <c r="AT101" i="2"/>
  <c r="AU101" i="2" s="1"/>
  <c r="AR101" i="2"/>
  <c r="AO101" i="2"/>
  <c r="AP101" i="2" s="1"/>
  <c r="AM101" i="2"/>
  <c r="AJ101" i="2"/>
  <c r="AK101" i="2" s="1"/>
  <c r="AH101" i="2"/>
  <c r="S101" i="2"/>
  <c r="I101" i="2"/>
  <c r="A101" i="2"/>
  <c r="CC100" i="2"/>
  <c r="CD100" i="2" s="1"/>
  <c r="CA100" i="2"/>
  <c r="BX100" i="2"/>
  <c r="BY100" i="2" s="1"/>
  <c r="BV100" i="2"/>
  <c r="BS100" i="2"/>
  <c r="BT100" i="2" s="1"/>
  <c r="BQ100" i="2"/>
  <c r="BN100" i="2"/>
  <c r="BO100" i="2" s="1"/>
  <c r="BL100" i="2"/>
  <c r="BI100" i="2"/>
  <c r="BJ100" i="2" s="1"/>
  <c r="BG100" i="2"/>
  <c r="BD100" i="2"/>
  <c r="BE100" i="2" s="1"/>
  <c r="BB100" i="2"/>
  <c r="AY100" i="2"/>
  <c r="AZ100" i="2" s="1"/>
  <c r="AW100" i="2"/>
  <c r="AT100" i="2"/>
  <c r="AU100" i="2" s="1"/>
  <c r="AR100" i="2"/>
  <c r="AO100" i="2"/>
  <c r="AP100" i="2" s="1"/>
  <c r="AM100" i="2"/>
  <c r="AJ100" i="2"/>
  <c r="AK100" i="2" s="1"/>
  <c r="AH100" i="2"/>
  <c r="S100" i="2"/>
  <c r="I100" i="2"/>
  <c r="A100" i="2"/>
  <c r="CC99" i="2"/>
  <c r="CD99" i="2" s="1"/>
  <c r="CA99" i="2"/>
  <c r="BX99" i="2"/>
  <c r="BY99" i="2" s="1"/>
  <c r="BV99" i="2"/>
  <c r="BS99" i="2"/>
  <c r="BT99" i="2" s="1"/>
  <c r="BQ99" i="2"/>
  <c r="BN99" i="2"/>
  <c r="BO99" i="2" s="1"/>
  <c r="BL99" i="2"/>
  <c r="BI99" i="2"/>
  <c r="BJ99" i="2" s="1"/>
  <c r="BG99" i="2"/>
  <c r="BD99" i="2"/>
  <c r="BE99" i="2" s="1"/>
  <c r="BB99" i="2"/>
  <c r="AY99" i="2"/>
  <c r="AZ99" i="2" s="1"/>
  <c r="AW99" i="2"/>
  <c r="AT99" i="2"/>
  <c r="AU99" i="2" s="1"/>
  <c r="AR99" i="2"/>
  <c r="AO99" i="2"/>
  <c r="AP99" i="2" s="1"/>
  <c r="AM99" i="2"/>
  <c r="AJ99" i="2"/>
  <c r="AK99" i="2" s="1"/>
  <c r="AH99" i="2"/>
  <c r="S99" i="2"/>
  <c r="I99" i="2"/>
  <c r="A99" i="2"/>
  <c r="CC98" i="2"/>
  <c r="CD98" i="2" s="1"/>
  <c r="CA98" i="2"/>
  <c r="BX98" i="2"/>
  <c r="BY98" i="2" s="1"/>
  <c r="BV98" i="2"/>
  <c r="BS98" i="2"/>
  <c r="BT98" i="2" s="1"/>
  <c r="BQ98" i="2"/>
  <c r="BN98" i="2"/>
  <c r="BO98" i="2" s="1"/>
  <c r="BL98" i="2"/>
  <c r="BI98" i="2"/>
  <c r="BJ98" i="2" s="1"/>
  <c r="BG98" i="2"/>
  <c r="BD98" i="2"/>
  <c r="BE98" i="2" s="1"/>
  <c r="BB98" i="2"/>
  <c r="AY98" i="2"/>
  <c r="AZ98" i="2" s="1"/>
  <c r="AW98" i="2"/>
  <c r="AT98" i="2"/>
  <c r="AU98" i="2" s="1"/>
  <c r="AR98" i="2"/>
  <c r="AO98" i="2"/>
  <c r="AP98" i="2" s="1"/>
  <c r="AM98" i="2"/>
  <c r="AJ98" i="2"/>
  <c r="AK98" i="2" s="1"/>
  <c r="AH98" i="2"/>
  <c r="S98" i="2"/>
  <c r="I98" i="2"/>
  <c r="A98" i="2"/>
  <c r="CC97" i="2"/>
  <c r="CD97" i="2" s="1"/>
  <c r="CA97" i="2"/>
  <c r="BX97" i="2"/>
  <c r="BY97" i="2" s="1"/>
  <c r="BV97" i="2"/>
  <c r="BS97" i="2"/>
  <c r="BT97" i="2" s="1"/>
  <c r="BQ97" i="2"/>
  <c r="BN97" i="2"/>
  <c r="BO97" i="2" s="1"/>
  <c r="BL97" i="2"/>
  <c r="BI97" i="2"/>
  <c r="BJ97" i="2" s="1"/>
  <c r="BG97" i="2"/>
  <c r="BD97" i="2"/>
  <c r="BE97" i="2" s="1"/>
  <c r="BB97" i="2"/>
  <c r="AY97" i="2"/>
  <c r="AZ97" i="2" s="1"/>
  <c r="AW97" i="2"/>
  <c r="AT97" i="2"/>
  <c r="AU97" i="2" s="1"/>
  <c r="AR97" i="2"/>
  <c r="AO97" i="2"/>
  <c r="AP97" i="2" s="1"/>
  <c r="AM97" i="2"/>
  <c r="AJ97" i="2"/>
  <c r="AK97" i="2" s="1"/>
  <c r="AH97" i="2"/>
  <c r="S97" i="2"/>
  <c r="I97" i="2"/>
  <c r="A97" i="2"/>
  <c r="CC96" i="2"/>
  <c r="CD96" i="2" s="1"/>
  <c r="CA96" i="2"/>
  <c r="BX96" i="2"/>
  <c r="BY96" i="2" s="1"/>
  <c r="BV96" i="2"/>
  <c r="BS96" i="2"/>
  <c r="BT96" i="2" s="1"/>
  <c r="BQ96" i="2"/>
  <c r="BN96" i="2"/>
  <c r="BO96" i="2" s="1"/>
  <c r="BL96" i="2"/>
  <c r="BI96" i="2"/>
  <c r="BJ96" i="2" s="1"/>
  <c r="BG96" i="2"/>
  <c r="BD96" i="2"/>
  <c r="BE96" i="2" s="1"/>
  <c r="BB96" i="2"/>
  <c r="AY96" i="2"/>
  <c r="AZ96" i="2" s="1"/>
  <c r="AW96" i="2"/>
  <c r="AT96" i="2"/>
  <c r="AU96" i="2" s="1"/>
  <c r="AR96" i="2"/>
  <c r="AO96" i="2"/>
  <c r="AP96" i="2" s="1"/>
  <c r="AM96" i="2"/>
  <c r="AJ96" i="2"/>
  <c r="AK96" i="2" s="1"/>
  <c r="AH96" i="2"/>
  <c r="S96" i="2"/>
  <c r="I96" i="2"/>
  <c r="A96" i="2"/>
  <c r="CC95" i="2"/>
  <c r="CD95" i="2" s="1"/>
  <c r="CA95" i="2"/>
  <c r="BX95" i="2"/>
  <c r="BY95" i="2" s="1"/>
  <c r="BV95" i="2"/>
  <c r="BS95" i="2"/>
  <c r="BT95" i="2" s="1"/>
  <c r="BQ95" i="2"/>
  <c r="BN95" i="2"/>
  <c r="BO95" i="2" s="1"/>
  <c r="BL95" i="2"/>
  <c r="BI95" i="2"/>
  <c r="BJ95" i="2" s="1"/>
  <c r="BG95" i="2"/>
  <c r="BD95" i="2"/>
  <c r="BE95" i="2" s="1"/>
  <c r="BB95" i="2"/>
  <c r="AY95" i="2"/>
  <c r="AZ95" i="2" s="1"/>
  <c r="AW95" i="2"/>
  <c r="AT95" i="2"/>
  <c r="AU95" i="2" s="1"/>
  <c r="AR95" i="2"/>
  <c r="AO95" i="2"/>
  <c r="AP95" i="2" s="1"/>
  <c r="AM95" i="2"/>
  <c r="AJ95" i="2"/>
  <c r="AK95" i="2" s="1"/>
  <c r="AH95" i="2"/>
  <c r="S95" i="2"/>
  <c r="I95" i="2"/>
  <c r="A95" i="2"/>
  <c r="CC94" i="2"/>
  <c r="CD94" i="2" s="1"/>
  <c r="CA94" i="2"/>
  <c r="BX94" i="2"/>
  <c r="BY94" i="2" s="1"/>
  <c r="BV94" i="2"/>
  <c r="BS94" i="2"/>
  <c r="BT94" i="2" s="1"/>
  <c r="BQ94" i="2"/>
  <c r="BN94" i="2"/>
  <c r="BO94" i="2" s="1"/>
  <c r="BL94" i="2"/>
  <c r="BI94" i="2"/>
  <c r="BJ94" i="2" s="1"/>
  <c r="BG94" i="2"/>
  <c r="BD94" i="2"/>
  <c r="BE94" i="2" s="1"/>
  <c r="BB94" i="2"/>
  <c r="AY94" i="2"/>
  <c r="AZ94" i="2" s="1"/>
  <c r="AW94" i="2"/>
  <c r="AT94" i="2"/>
  <c r="AU94" i="2" s="1"/>
  <c r="AR94" i="2"/>
  <c r="AO94" i="2"/>
  <c r="AP94" i="2" s="1"/>
  <c r="AM94" i="2"/>
  <c r="AJ94" i="2"/>
  <c r="AK94" i="2" s="1"/>
  <c r="AH94" i="2"/>
  <c r="AE94" i="2"/>
  <c r="AF94" i="2" s="1"/>
  <c r="AC94" i="2"/>
  <c r="S94" i="2"/>
  <c r="I94" i="2"/>
  <c r="A94" i="2"/>
  <c r="CC93" i="2"/>
  <c r="CD93" i="2" s="1"/>
  <c r="CA93" i="2"/>
  <c r="BX93" i="2"/>
  <c r="BY93" i="2" s="1"/>
  <c r="BV93" i="2"/>
  <c r="BS93" i="2"/>
  <c r="BT93" i="2" s="1"/>
  <c r="BQ93" i="2"/>
  <c r="BN93" i="2"/>
  <c r="BO93" i="2" s="1"/>
  <c r="BL93" i="2"/>
  <c r="BI93" i="2"/>
  <c r="BJ93" i="2" s="1"/>
  <c r="BG93" i="2"/>
  <c r="BD93" i="2"/>
  <c r="BE93" i="2" s="1"/>
  <c r="BB93" i="2"/>
  <c r="AY93" i="2"/>
  <c r="AZ93" i="2" s="1"/>
  <c r="AW93" i="2"/>
  <c r="AT93" i="2"/>
  <c r="AU93" i="2" s="1"/>
  <c r="AR93" i="2"/>
  <c r="AO93" i="2"/>
  <c r="AP93" i="2" s="1"/>
  <c r="AM93" i="2"/>
  <c r="AJ93" i="2"/>
  <c r="AK93" i="2" s="1"/>
  <c r="AH93" i="2"/>
  <c r="S93" i="2"/>
  <c r="I93" i="2"/>
  <c r="A93" i="2"/>
  <c r="CC92" i="2"/>
  <c r="CD92" i="2" s="1"/>
  <c r="CA92" i="2"/>
  <c r="BX92" i="2"/>
  <c r="BY92" i="2" s="1"/>
  <c r="BV92" i="2"/>
  <c r="BS92" i="2"/>
  <c r="BT92" i="2" s="1"/>
  <c r="BQ92" i="2"/>
  <c r="BN92" i="2"/>
  <c r="BO92" i="2" s="1"/>
  <c r="BL92" i="2"/>
  <c r="BI92" i="2"/>
  <c r="BJ92" i="2" s="1"/>
  <c r="BG92" i="2"/>
  <c r="BD92" i="2"/>
  <c r="BE92" i="2" s="1"/>
  <c r="BB92" i="2"/>
  <c r="AY92" i="2"/>
  <c r="AZ92" i="2" s="1"/>
  <c r="AW92" i="2"/>
  <c r="AT92" i="2"/>
  <c r="AU92" i="2" s="1"/>
  <c r="AR92" i="2"/>
  <c r="AO92" i="2"/>
  <c r="AP92" i="2" s="1"/>
  <c r="AM92" i="2"/>
  <c r="AJ92" i="2"/>
  <c r="AK92" i="2" s="1"/>
  <c r="AH92" i="2"/>
  <c r="S92" i="2"/>
  <c r="I92" i="2"/>
  <c r="A92" i="2"/>
  <c r="CC91" i="2"/>
  <c r="CD91" i="2" s="1"/>
  <c r="CA91" i="2"/>
  <c r="BX91" i="2"/>
  <c r="BY91" i="2" s="1"/>
  <c r="BV91" i="2"/>
  <c r="BS91" i="2"/>
  <c r="BT91" i="2" s="1"/>
  <c r="BQ91" i="2"/>
  <c r="BN91" i="2"/>
  <c r="BO91" i="2" s="1"/>
  <c r="BL91" i="2"/>
  <c r="BI91" i="2"/>
  <c r="BJ91" i="2" s="1"/>
  <c r="BG91" i="2"/>
  <c r="BD91" i="2"/>
  <c r="BE91" i="2" s="1"/>
  <c r="BB91" i="2"/>
  <c r="AY91" i="2"/>
  <c r="AZ91" i="2" s="1"/>
  <c r="AW91" i="2"/>
  <c r="AT91" i="2"/>
  <c r="AU91" i="2" s="1"/>
  <c r="AR91" i="2"/>
  <c r="AO91" i="2"/>
  <c r="AP91" i="2" s="1"/>
  <c r="AM91" i="2"/>
  <c r="AJ91" i="2"/>
  <c r="AK91" i="2" s="1"/>
  <c r="AH91" i="2"/>
  <c r="S91" i="2"/>
  <c r="I91" i="2"/>
  <c r="A91" i="2"/>
  <c r="CC90" i="2"/>
  <c r="CD90" i="2" s="1"/>
  <c r="CA90" i="2"/>
  <c r="BX90" i="2"/>
  <c r="BY90" i="2" s="1"/>
  <c r="BV90" i="2"/>
  <c r="BS90" i="2"/>
  <c r="BT90" i="2" s="1"/>
  <c r="BQ90" i="2"/>
  <c r="BN90" i="2"/>
  <c r="BO90" i="2" s="1"/>
  <c r="BL90" i="2"/>
  <c r="BI90" i="2"/>
  <c r="BJ90" i="2" s="1"/>
  <c r="BG90" i="2"/>
  <c r="BD90" i="2"/>
  <c r="BE90" i="2" s="1"/>
  <c r="BB90" i="2"/>
  <c r="AY90" i="2"/>
  <c r="AZ90" i="2" s="1"/>
  <c r="AW90" i="2"/>
  <c r="AT90" i="2"/>
  <c r="AU90" i="2" s="1"/>
  <c r="AR90" i="2"/>
  <c r="AO90" i="2"/>
  <c r="AP90" i="2" s="1"/>
  <c r="AM90" i="2"/>
  <c r="AJ90" i="2"/>
  <c r="AK90" i="2" s="1"/>
  <c r="AH90" i="2"/>
  <c r="S90" i="2"/>
  <c r="I90" i="2"/>
  <c r="A90" i="2"/>
  <c r="CC89" i="2"/>
  <c r="CD89" i="2" s="1"/>
  <c r="CA89" i="2"/>
  <c r="BX89" i="2"/>
  <c r="BY89" i="2" s="1"/>
  <c r="BV89" i="2"/>
  <c r="BS89" i="2"/>
  <c r="BT89" i="2" s="1"/>
  <c r="BQ89" i="2"/>
  <c r="BN89" i="2"/>
  <c r="BO89" i="2" s="1"/>
  <c r="BL89" i="2"/>
  <c r="BI89" i="2"/>
  <c r="BJ89" i="2" s="1"/>
  <c r="BG89" i="2"/>
  <c r="BD89" i="2"/>
  <c r="BE89" i="2" s="1"/>
  <c r="BB89" i="2"/>
  <c r="AY89" i="2"/>
  <c r="AZ89" i="2" s="1"/>
  <c r="AW89" i="2"/>
  <c r="AT89" i="2"/>
  <c r="AU89" i="2" s="1"/>
  <c r="AR89" i="2"/>
  <c r="AO89" i="2"/>
  <c r="AP89" i="2" s="1"/>
  <c r="AM89" i="2"/>
  <c r="AJ89" i="2"/>
  <c r="AK89" i="2" s="1"/>
  <c r="AH89" i="2"/>
  <c r="S89" i="2"/>
  <c r="I89" i="2"/>
  <c r="A89" i="2"/>
  <c r="CC88" i="2"/>
  <c r="CD88" i="2" s="1"/>
  <c r="CA88" i="2"/>
  <c r="BX88" i="2"/>
  <c r="BY88" i="2" s="1"/>
  <c r="BV88" i="2"/>
  <c r="BS88" i="2"/>
  <c r="BT88" i="2" s="1"/>
  <c r="BQ88" i="2"/>
  <c r="BN88" i="2"/>
  <c r="BO88" i="2" s="1"/>
  <c r="BL88" i="2"/>
  <c r="BI88" i="2"/>
  <c r="BJ88" i="2" s="1"/>
  <c r="BG88" i="2"/>
  <c r="BD88" i="2"/>
  <c r="BE88" i="2" s="1"/>
  <c r="BB88" i="2"/>
  <c r="AY88" i="2"/>
  <c r="AZ88" i="2" s="1"/>
  <c r="AW88" i="2"/>
  <c r="AT88" i="2"/>
  <c r="AU88" i="2" s="1"/>
  <c r="AR88" i="2"/>
  <c r="AO88" i="2"/>
  <c r="AP88" i="2" s="1"/>
  <c r="AM88" i="2"/>
  <c r="AJ88" i="2"/>
  <c r="AK88" i="2" s="1"/>
  <c r="AH88" i="2"/>
  <c r="S88" i="2"/>
  <c r="I88" i="2"/>
  <c r="A88" i="2"/>
  <c r="CC87" i="2"/>
  <c r="CD87" i="2" s="1"/>
  <c r="CA87" i="2"/>
  <c r="BX87" i="2"/>
  <c r="BY87" i="2" s="1"/>
  <c r="BV87" i="2"/>
  <c r="BS87" i="2"/>
  <c r="BT87" i="2" s="1"/>
  <c r="BQ87" i="2"/>
  <c r="BN87" i="2"/>
  <c r="BO87" i="2" s="1"/>
  <c r="BL87" i="2"/>
  <c r="BI87" i="2"/>
  <c r="BJ87" i="2" s="1"/>
  <c r="BG87" i="2"/>
  <c r="BD87" i="2"/>
  <c r="BE87" i="2" s="1"/>
  <c r="BB87" i="2"/>
  <c r="AY87" i="2"/>
  <c r="AZ87" i="2" s="1"/>
  <c r="AW87" i="2"/>
  <c r="AT87" i="2"/>
  <c r="AU87" i="2" s="1"/>
  <c r="AR87" i="2"/>
  <c r="AO87" i="2"/>
  <c r="AP87" i="2" s="1"/>
  <c r="AM87" i="2"/>
  <c r="AJ87" i="2"/>
  <c r="AK87" i="2" s="1"/>
  <c r="AH87" i="2"/>
  <c r="AE87" i="2"/>
  <c r="AF87" i="2" s="1"/>
  <c r="AC87" i="2"/>
  <c r="S87" i="2"/>
  <c r="I87" i="2"/>
  <c r="A87" i="2"/>
  <c r="CC86" i="2"/>
  <c r="CD86" i="2" s="1"/>
  <c r="CA86" i="2"/>
  <c r="BX86" i="2"/>
  <c r="BY86" i="2" s="1"/>
  <c r="BV86" i="2"/>
  <c r="BS86" i="2"/>
  <c r="BT86" i="2" s="1"/>
  <c r="BQ86" i="2"/>
  <c r="BN86" i="2"/>
  <c r="BO86" i="2" s="1"/>
  <c r="BL86" i="2"/>
  <c r="BI86" i="2"/>
  <c r="BJ86" i="2" s="1"/>
  <c r="BG86" i="2"/>
  <c r="BD86" i="2"/>
  <c r="BE86" i="2" s="1"/>
  <c r="BB86" i="2"/>
  <c r="AY86" i="2"/>
  <c r="AZ86" i="2" s="1"/>
  <c r="AW86" i="2"/>
  <c r="AT86" i="2"/>
  <c r="AU86" i="2" s="1"/>
  <c r="AR86" i="2"/>
  <c r="AO86" i="2"/>
  <c r="AP86" i="2" s="1"/>
  <c r="AM86" i="2"/>
  <c r="AJ86" i="2"/>
  <c r="AK86" i="2" s="1"/>
  <c r="AH86" i="2"/>
  <c r="S86" i="2"/>
  <c r="I86" i="2"/>
  <c r="A86" i="2"/>
  <c r="CC85" i="2"/>
  <c r="CD85" i="2" s="1"/>
  <c r="CA85" i="2"/>
  <c r="BX85" i="2"/>
  <c r="BY85" i="2" s="1"/>
  <c r="BV85" i="2"/>
  <c r="BS85" i="2"/>
  <c r="BT85" i="2" s="1"/>
  <c r="BQ85" i="2"/>
  <c r="BN85" i="2"/>
  <c r="BO85" i="2" s="1"/>
  <c r="BL85" i="2"/>
  <c r="BI85" i="2"/>
  <c r="BJ85" i="2" s="1"/>
  <c r="BG85" i="2"/>
  <c r="BD85" i="2"/>
  <c r="BE85" i="2" s="1"/>
  <c r="BB85" i="2"/>
  <c r="AY85" i="2"/>
  <c r="AZ85" i="2" s="1"/>
  <c r="AW85" i="2"/>
  <c r="AT85" i="2"/>
  <c r="AU85" i="2" s="1"/>
  <c r="AR85" i="2"/>
  <c r="AO85" i="2"/>
  <c r="AP85" i="2" s="1"/>
  <c r="AM85" i="2"/>
  <c r="AJ85" i="2"/>
  <c r="AK85" i="2" s="1"/>
  <c r="AH85" i="2"/>
  <c r="AE85" i="2"/>
  <c r="AF85" i="2" s="1"/>
  <c r="AC85" i="2"/>
  <c r="S85" i="2"/>
  <c r="I85" i="2"/>
  <c r="A85" i="2"/>
  <c r="CC84" i="2"/>
  <c r="CD84" i="2" s="1"/>
  <c r="CA84" i="2"/>
  <c r="BX84" i="2"/>
  <c r="BY84" i="2" s="1"/>
  <c r="BV84" i="2"/>
  <c r="BS84" i="2"/>
  <c r="BT84" i="2" s="1"/>
  <c r="BQ84" i="2"/>
  <c r="BN84" i="2"/>
  <c r="BO84" i="2" s="1"/>
  <c r="BL84" i="2"/>
  <c r="BI84" i="2"/>
  <c r="BJ84" i="2" s="1"/>
  <c r="BG84" i="2"/>
  <c r="BD84" i="2"/>
  <c r="BE84" i="2" s="1"/>
  <c r="BB84" i="2"/>
  <c r="AY84" i="2"/>
  <c r="AZ84" i="2" s="1"/>
  <c r="AW84" i="2"/>
  <c r="AT84" i="2"/>
  <c r="AU84" i="2" s="1"/>
  <c r="AR84" i="2"/>
  <c r="AO84" i="2"/>
  <c r="AP84" i="2" s="1"/>
  <c r="AM84" i="2"/>
  <c r="AJ84" i="2"/>
  <c r="AK84" i="2" s="1"/>
  <c r="AH84" i="2"/>
  <c r="S84" i="2"/>
  <c r="I84" i="2"/>
  <c r="A84" i="2"/>
  <c r="CC83" i="2"/>
  <c r="CD83" i="2" s="1"/>
  <c r="CA83" i="2"/>
  <c r="BX83" i="2"/>
  <c r="BY83" i="2" s="1"/>
  <c r="BV83" i="2"/>
  <c r="BS83" i="2"/>
  <c r="BT83" i="2" s="1"/>
  <c r="BQ83" i="2"/>
  <c r="BN83" i="2"/>
  <c r="BO83" i="2" s="1"/>
  <c r="BL83" i="2"/>
  <c r="BI83" i="2"/>
  <c r="BJ83" i="2" s="1"/>
  <c r="BG83" i="2"/>
  <c r="BD83" i="2"/>
  <c r="BE83" i="2" s="1"/>
  <c r="BB83" i="2"/>
  <c r="AY83" i="2"/>
  <c r="AZ83" i="2" s="1"/>
  <c r="AW83" i="2"/>
  <c r="AT83" i="2"/>
  <c r="AU83" i="2" s="1"/>
  <c r="AR83" i="2"/>
  <c r="AO83" i="2"/>
  <c r="AP83" i="2" s="1"/>
  <c r="AM83" i="2"/>
  <c r="AJ83" i="2"/>
  <c r="AK83" i="2" s="1"/>
  <c r="AH83" i="2"/>
  <c r="S83" i="2"/>
  <c r="I83" i="2"/>
  <c r="A83" i="2"/>
  <c r="CC82" i="2"/>
  <c r="CD82" i="2" s="1"/>
  <c r="CA82" i="2"/>
  <c r="BX82" i="2"/>
  <c r="BY82" i="2" s="1"/>
  <c r="BV82" i="2"/>
  <c r="BS82" i="2"/>
  <c r="BT82" i="2" s="1"/>
  <c r="BQ82" i="2"/>
  <c r="BN82" i="2"/>
  <c r="BO82" i="2" s="1"/>
  <c r="BL82" i="2"/>
  <c r="BI82" i="2"/>
  <c r="BJ82" i="2" s="1"/>
  <c r="BG82" i="2"/>
  <c r="BD82" i="2"/>
  <c r="BE82" i="2" s="1"/>
  <c r="BB82" i="2"/>
  <c r="AY82" i="2"/>
  <c r="AZ82" i="2" s="1"/>
  <c r="AW82" i="2"/>
  <c r="AT82" i="2"/>
  <c r="AU82" i="2" s="1"/>
  <c r="AR82" i="2"/>
  <c r="AO82" i="2"/>
  <c r="AP82" i="2" s="1"/>
  <c r="AM82" i="2"/>
  <c r="AJ82" i="2"/>
  <c r="AK82" i="2" s="1"/>
  <c r="AH82" i="2"/>
  <c r="S82" i="2"/>
  <c r="I82" i="2"/>
  <c r="A82" i="2"/>
  <c r="CC81" i="2"/>
  <c r="CD81" i="2" s="1"/>
  <c r="CA81" i="2"/>
  <c r="BX81" i="2"/>
  <c r="BY81" i="2" s="1"/>
  <c r="BV81" i="2"/>
  <c r="BS81" i="2"/>
  <c r="BT81" i="2" s="1"/>
  <c r="BQ81" i="2"/>
  <c r="BN81" i="2"/>
  <c r="BO81" i="2" s="1"/>
  <c r="BL81" i="2"/>
  <c r="BI81" i="2"/>
  <c r="BJ81" i="2" s="1"/>
  <c r="BG81" i="2"/>
  <c r="BD81" i="2"/>
  <c r="BE81" i="2" s="1"/>
  <c r="BB81" i="2"/>
  <c r="AY81" i="2"/>
  <c r="AZ81" i="2" s="1"/>
  <c r="AW81" i="2"/>
  <c r="AT81" i="2"/>
  <c r="AU81" i="2" s="1"/>
  <c r="AR81" i="2"/>
  <c r="AO81" i="2"/>
  <c r="AP81" i="2" s="1"/>
  <c r="AM81" i="2"/>
  <c r="AJ81" i="2"/>
  <c r="AK81" i="2" s="1"/>
  <c r="AH81" i="2"/>
  <c r="S81" i="2"/>
  <c r="I81" i="2"/>
  <c r="A81" i="2"/>
  <c r="C6" i="2" l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B6" i="2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B112" i="3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H111" i="3"/>
  <c r="H109" i="3"/>
  <c r="H108" i="3"/>
  <c r="H107" i="3"/>
  <c r="H106" i="3"/>
  <c r="H105" i="3"/>
  <c r="H104" i="3"/>
  <c r="H103" i="3"/>
  <c r="H102" i="3"/>
  <c r="B102" i="3"/>
  <c r="B103" i="3" s="1"/>
  <c r="B104" i="3" s="1"/>
  <c r="B105" i="3" s="1"/>
  <c r="B106" i="3" s="1"/>
  <c r="B107" i="3" s="1"/>
  <c r="B108" i="3" s="1"/>
  <c r="B109" i="3" s="1"/>
  <c r="H101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B51" i="3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H50" i="3"/>
  <c r="H48" i="3"/>
  <c r="H47" i="3"/>
  <c r="B47" i="3"/>
  <c r="B48" i="3" s="1"/>
  <c r="H46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C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H4" i="3"/>
  <c r="C6" i="3" l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6" i="3" s="1"/>
  <c r="C47" i="3" s="1"/>
  <c r="C48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1" i="3" s="1"/>
  <c r="C102" i="3" s="1"/>
  <c r="C103" i="3" s="1"/>
  <c r="C104" i="3" s="1"/>
  <c r="C105" i="3" s="1"/>
  <c r="C106" i="3" s="1"/>
  <c r="C107" i="3" s="1"/>
  <c r="C108" i="3" s="1"/>
  <c r="C109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AE466" i="2"/>
  <c r="AF466" i="2" s="1"/>
  <c r="AC466" i="2"/>
  <c r="Z466" i="2"/>
  <c r="AA466" i="2" s="1"/>
  <c r="T466" i="2" s="1"/>
  <c r="X466" i="2"/>
  <c r="Z465" i="2"/>
  <c r="AA465" i="2" s="1"/>
  <c r="T465" i="2" s="1"/>
  <c r="X465" i="2"/>
  <c r="AE464" i="2"/>
  <c r="AF464" i="2" s="1"/>
  <c r="AC464" i="2"/>
  <c r="Z464" i="2"/>
  <c r="AA464" i="2" s="1"/>
  <c r="T464" i="2" s="1"/>
  <c r="X464" i="2"/>
  <c r="Z463" i="2"/>
  <c r="AA463" i="2" s="1"/>
  <c r="T463" i="2" s="1"/>
  <c r="X463" i="2"/>
  <c r="AE462" i="2"/>
  <c r="AF462" i="2" s="1"/>
  <c r="AC462" i="2"/>
  <c r="Z462" i="2"/>
  <c r="AA462" i="2" s="1"/>
  <c r="T462" i="2" s="1"/>
  <c r="X462" i="2"/>
  <c r="AE461" i="2"/>
  <c r="AF461" i="2" s="1"/>
  <c r="AC461" i="2"/>
  <c r="Z461" i="2"/>
  <c r="AA461" i="2" s="1"/>
  <c r="T461" i="2" s="1"/>
  <c r="X461" i="2"/>
  <c r="Z460" i="2"/>
  <c r="AA460" i="2" s="1"/>
  <c r="T460" i="2" s="1"/>
  <c r="X460" i="2"/>
  <c r="AE459" i="2"/>
  <c r="AF459" i="2" s="1"/>
  <c r="AC459" i="2"/>
  <c r="Z459" i="2"/>
  <c r="AA459" i="2" s="1"/>
  <c r="T459" i="2" s="1"/>
  <c r="X459" i="2"/>
  <c r="Z458" i="2"/>
  <c r="AA458" i="2" s="1"/>
  <c r="T458" i="2" s="1"/>
  <c r="X458" i="2"/>
  <c r="Z457" i="2"/>
  <c r="AA457" i="2" s="1"/>
  <c r="T457" i="2" s="1"/>
  <c r="X457" i="2"/>
  <c r="AE456" i="2"/>
  <c r="AF456" i="2" s="1"/>
  <c r="AC456" i="2"/>
  <c r="Z456" i="2"/>
  <c r="AA456" i="2" s="1"/>
  <c r="T456" i="2" s="1"/>
  <c r="X456" i="2"/>
  <c r="Z455" i="2"/>
  <c r="AA455" i="2" s="1"/>
  <c r="T455" i="2" s="1"/>
  <c r="X455" i="2"/>
  <c r="AE454" i="2"/>
  <c r="AF454" i="2" s="1"/>
  <c r="AC454" i="2"/>
  <c r="Z454" i="2"/>
  <c r="AA454" i="2" s="1"/>
  <c r="T454" i="2" s="1"/>
  <c r="X454" i="2"/>
  <c r="Z453" i="2"/>
  <c r="AA453" i="2" s="1"/>
  <c r="T453" i="2" s="1"/>
  <c r="X453" i="2"/>
  <c r="AE452" i="2"/>
  <c r="AF452" i="2" s="1"/>
  <c r="AC452" i="2"/>
  <c r="Z452" i="2"/>
  <c r="AA452" i="2" s="1"/>
  <c r="T452" i="2" s="1"/>
  <c r="X452" i="2"/>
  <c r="Z451" i="2"/>
  <c r="AA451" i="2" s="1"/>
  <c r="T451" i="2" s="1"/>
  <c r="X451" i="2"/>
  <c r="AE450" i="2"/>
  <c r="AF450" i="2" s="1"/>
  <c r="AC450" i="2"/>
  <c r="Z450" i="2"/>
  <c r="AA450" i="2" s="1"/>
  <c r="T450" i="2" s="1"/>
  <c r="X450" i="2"/>
  <c r="AE449" i="2"/>
  <c r="AF449" i="2" s="1"/>
  <c r="AC449" i="2"/>
  <c r="Z449" i="2"/>
  <c r="AA449" i="2" s="1"/>
  <c r="T449" i="2" s="1"/>
  <c r="X449" i="2"/>
  <c r="AE448" i="2"/>
  <c r="AF448" i="2" s="1"/>
  <c r="AC448" i="2"/>
  <c r="Z448" i="2"/>
  <c r="AA448" i="2" s="1"/>
  <c r="T448" i="2" s="1"/>
  <c r="X448" i="2"/>
  <c r="AE447" i="2"/>
  <c r="AF447" i="2" s="1"/>
  <c r="AC447" i="2"/>
  <c r="Z447" i="2"/>
  <c r="AA447" i="2" s="1"/>
  <c r="T447" i="2" s="1"/>
  <c r="X447" i="2"/>
  <c r="AE446" i="2"/>
  <c r="AF446" i="2" s="1"/>
  <c r="AC446" i="2"/>
  <c r="Z446" i="2"/>
  <c r="AA446" i="2" s="1"/>
  <c r="T446" i="2" s="1"/>
  <c r="X446" i="2"/>
  <c r="AE445" i="2"/>
  <c r="AF445" i="2" s="1"/>
  <c r="AC445" i="2"/>
  <c r="Z445" i="2"/>
  <c r="AA445" i="2" s="1"/>
  <c r="T445" i="2" s="1"/>
  <c r="X445" i="2"/>
  <c r="AE444" i="2"/>
  <c r="AF444" i="2" s="1"/>
  <c r="AC444" i="2"/>
  <c r="Z444" i="2"/>
  <c r="AA444" i="2" s="1"/>
  <c r="T444" i="2" s="1"/>
  <c r="X444" i="2"/>
  <c r="AE443" i="2"/>
  <c r="AF443" i="2" s="1"/>
  <c r="AC443" i="2"/>
  <c r="Z443" i="2"/>
  <c r="AA443" i="2" s="1"/>
  <c r="T443" i="2" s="1"/>
  <c r="X443" i="2"/>
  <c r="AE442" i="2"/>
  <c r="AF442" i="2" s="1"/>
  <c r="AC442" i="2"/>
  <c r="Z442" i="2"/>
  <c r="AA442" i="2" s="1"/>
  <c r="T442" i="2" s="1"/>
  <c r="X442" i="2"/>
  <c r="AE441" i="2"/>
  <c r="AF441" i="2" s="1"/>
  <c r="AC441" i="2"/>
  <c r="Z441" i="2"/>
  <c r="AA441" i="2" s="1"/>
  <c r="T441" i="2" s="1"/>
  <c r="X441" i="2"/>
  <c r="AE440" i="2"/>
  <c r="AF440" i="2" s="1"/>
  <c r="AC440" i="2"/>
  <c r="Z440" i="2"/>
  <c r="AA440" i="2" s="1"/>
  <c r="T440" i="2" s="1"/>
  <c r="X440" i="2"/>
  <c r="AE439" i="2"/>
  <c r="AF439" i="2" s="1"/>
  <c r="AC439" i="2"/>
  <c r="Z439" i="2"/>
  <c r="AA439" i="2" s="1"/>
  <c r="T439" i="2" s="1"/>
  <c r="X439" i="2"/>
  <c r="AE438" i="2"/>
  <c r="AF438" i="2" s="1"/>
  <c r="AC438" i="2"/>
  <c r="Z438" i="2"/>
  <c r="AA438" i="2" s="1"/>
  <c r="T438" i="2" s="1"/>
  <c r="X438" i="2"/>
  <c r="AE437" i="2"/>
  <c r="AF437" i="2" s="1"/>
  <c r="AC437" i="2"/>
  <c r="Z437" i="2"/>
  <c r="AA437" i="2" s="1"/>
  <c r="T437" i="2" s="1"/>
  <c r="X437" i="2"/>
  <c r="AE436" i="2"/>
  <c r="AF436" i="2" s="1"/>
  <c r="AC436" i="2"/>
  <c r="Z436" i="2"/>
  <c r="AA436" i="2" s="1"/>
  <c r="T436" i="2" s="1"/>
  <c r="X436" i="2"/>
  <c r="AE435" i="2"/>
  <c r="AF435" i="2" s="1"/>
  <c r="AC435" i="2"/>
  <c r="Z435" i="2"/>
  <c r="AA435" i="2" s="1"/>
  <c r="T435" i="2" s="1"/>
  <c r="X435" i="2"/>
  <c r="AE434" i="2"/>
  <c r="AF434" i="2" s="1"/>
  <c r="AC434" i="2"/>
  <c r="Z434" i="2"/>
  <c r="AA434" i="2" s="1"/>
  <c r="T434" i="2" s="1"/>
  <c r="X434" i="2"/>
  <c r="AE433" i="2"/>
  <c r="AF433" i="2" s="1"/>
  <c r="AC433" i="2"/>
  <c r="Z433" i="2"/>
  <c r="AA433" i="2" s="1"/>
  <c r="T433" i="2" s="1"/>
  <c r="X433" i="2"/>
  <c r="AE432" i="2"/>
  <c r="AF432" i="2" s="1"/>
  <c r="AC432" i="2"/>
  <c r="Z432" i="2"/>
  <c r="AA432" i="2" s="1"/>
  <c r="T432" i="2" s="1"/>
  <c r="X432" i="2"/>
  <c r="AE431" i="2"/>
  <c r="AF431" i="2" s="1"/>
  <c r="AC431" i="2"/>
  <c r="Z431" i="2"/>
  <c r="AA431" i="2" s="1"/>
  <c r="T431" i="2" s="1"/>
  <c r="X431" i="2"/>
  <c r="AE430" i="2"/>
  <c r="AF430" i="2" s="1"/>
  <c r="AC430" i="2"/>
  <c r="Z430" i="2"/>
  <c r="AA430" i="2" s="1"/>
  <c r="T430" i="2" s="1"/>
  <c r="X430" i="2"/>
  <c r="AE429" i="2"/>
  <c r="AF429" i="2" s="1"/>
  <c r="AC429" i="2"/>
  <c r="Z429" i="2"/>
  <c r="AA429" i="2" s="1"/>
  <c r="T429" i="2" s="1"/>
  <c r="X429" i="2"/>
  <c r="AE428" i="2"/>
  <c r="AF428" i="2" s="1"/>
  <c r="AC428" i="2"/>
  <c r="Z428" i="2"/>
  <c r="AA428" i="2" s="1"/>
  <c r="T428" i="2" s="1"/>
  <c r="X428" i="2"/>
  <c r="AE427" i="2"/>
  <c r="AF427" i="2" s="1"/>
  <c r="AC427" i="2"/>
  <c r="Z427" i="2"/>
  <c r="AA427" i="2" s="1"/>
  <c r="T427" i="2" s="1"/>
  <c r="X427" i="2"/>
  <c r="AE426" i="2"/>
  <c r="AF426" i="2" s="1"/>
  <c r="AC426" i="2"/>
  <c r="Z426" i="2"/>
  <c r="AA426" i="2" s="1"/>
  <c r="T426" i="2" s="1"/>
  <c r="X426" i="2"/>
  <c r="AE425" i="2"/>
  <c r="AF425" i="2" s="1"/>
  <c r="AC425" i="2"/>
  <c r="Z425" i="2"/>
  <c r="AA425" i="2" s="1"/>
  <c r="T425" i="2" s="1"/>
  <c r="X425" i="2"/>
  <c r="AE424" i="2"/>
  <c r="AF424" i="2" s="1"/>
  <c r="AC424" i="2"/>
  <c r="Z424" i="2"/>
  <c r="AA424" i="2" s="1"/>
  <c r="T424" i="2" s="1"/>
  <c r="X424" i="2"/>
  <c r="AE423" i="2"/>
  <c r="AF423" i="2" s="1"/>
  <c r="AC423" i="2"/>
  <c r="Z423" i="2"/>
  <c r="AA423" i="2" s="1"/>
  <c r="T423" i="2" s="1"/>
  <c r="X423" i="2"/>
  <c r="AE422" i="2"/>
  <c r="AF422" i="2" s="1"/>
  <c r="AC422" i="2"/>
  <c r="Z422" i="2"/>
  <c r="AA422" i="2" s="1"/>
  <c r="T422" i="2" s="1"/>
  <c r="X422" i="2"/>
  <c r="AE421" i="2"/>
  <c r="AF421" i="2" s="1"/>
  <c r="AC421" i="2"/>
  <c r="Z421" i="2"/>
  <c r="AA421" i="2" s="1"/>
  <c r="T421" i="2" s="1"/>
  <c r="X421" i="2"/>
  <c r="AE420" i="2"/>
  <c r="AF420" i="2" s="1"/>
  <c r="AC420" i="2"/>
  <c r="Z420" i="2"/>
  <c r="AA420" i="2" s="1"/>
  <c r="T420" i="2" s="1"/>
  <c r="X420" i="2"/>
  <c r="AE419" i="2"/>
  <c r="AF419" i="2" s="1"/>
  <c r="AC419" i="2"/>
  <c r="Z419" i="2"/>
  <c r="AA419" i="2" s="1"/>
  <c r="T419" i="2" s="1"/>
  <c r="X419" i="2"/>
  <c r="AE418" i="2"/>
  <c r="AF418" i="2" s="1"/>
  <c r="AC418" i="2"/>
  <c r="Z418" i="2"/>
  <c r="AA418" i="2" s="1"/>
  <c r="T418" i="2" s="1"/>
  <c r="X418" i="2"/>
  <c r="AE417" i="2"/>
  <c r="AF417" i="2" s="1"/>
  <c r="AC417" i="2"/>
  <c r="Z417" i="2"/>
  <c r="AA417" i="2" s="1"/>
  <c r="T417" i="2" s="1"/>
  <c r="X417" i="2"/>
  <c r="AE416" i="2"/>
  <c r="AF416" i="2" s="1"/>
  <c r="AC416" i="2"/>
  <c r="Z416" i="2"/>
  <c r="AA416" i="2" s="1"/>
  <c r="T416" i="2" s="1"/>
  <c r="X416" i="2"/>
  <c r="AE415" i="2"/>
  <c r="AF415" i="2" s="1"/>
  <c r="AC415" i="2"/>
  <c r="Z415" i="2"/>
  <c r="AA415" i="2" s="1"/>
  <c r="T415" i="2" s="1"/>
  <c r="X415" i="2"/>
  <c r="AE414" i="2"/>
  <c r="AF414" i="2" s="1"/>
  <c r="AC414" i="2"/>
  <c r="Z414" i="2"/>
  <c r="AA414" i="2" s="1"/>
  <c r="T414" i="2" s="1"/>
  <c r="X414" i="2"/>
  <c r="AE413" i="2"/>
  <c r="AF413" i="2" s="1"/>
  <c r="AC413" i="2"/>
  <c r="Z413" i="2"/>
  <c r="AA413" i="2" s="1"/>
  <c r="T413" i="2" s="1"/>
  <c r="X413" i="2"/>
  <c r="AE412" i="2"/>
  <c r="AF412" i="2" s="1"/>
  <c r="AC412" i="2"/>
  <c r="Z412" i="2"/>
  <c r="AA412" i="2" s="1"/>
  <c r="T412" i="2" s="1"/>
  <c r="X412" i="2"/>
  <c r="AE411" i="2"/>
  <c r="AF411" i="2" s="1"/>
  <c r="AC411" i="2"/>
  <c r="Z411" i="2"/>
  <c r="AA411" i="2" s="1"/>
  <c r="T411" i="2" s="1"/>
  <c r="X411" i="2"/>
  <c r="AE410" i="2"/>
  <c r="AF410" i="2" s="1"/>
  <c r="AC410" i="2"/>
  <c r="Z410" i="2"/>
  <c r="AA410" i="2" s="1"/>
  <c r="T410" i="2" s="1"/>
  <c r="X410" i="2"/>
  <c r="AE409" i="2"/>
  <c r="AF409" i="2" s="1"/>
  <c r="AC409" i="2"/>
  <c r="Z409" i="2"/>
  <c r="AA409" i="2" s="1"/>
  <c r="T409" i="2" s="1"/>
  <c r="X409" i="2"/>
  <c r="AE408" i="2"/>
  <c r="AF408" i="2" s="1"/>
  <c r="AC408" i="2"/>
  <c r="Z408" i="2"/>
  <c r="AA408" i="2" s="1"/>
  <c r="T408" i="2" s="1"/>
  <c r="X408" i="2"/>
  <c r="AE407" i="2"/>
  <c r="AF407" i="2" s="1"/>
  <c r="AC407" i="2"/>
  <c r="Z407" i="2"/>
  <c r="AA407" i="2" s="1"/>
  <c r="T407" i="2" s="1"/>
  <c r="X407" i="2"/>
  <c r="AE406" i="2"/>
  <c r="AF406" i="2" s="1"/>
  <c r="AC406" i="2"/>
  <c r="Z406" i="2"/>
  <c r="AA406" i="2" s="1"/>
  <c r="T406" i="2" s="1"/>
  <c r="X406" i="2"/>
  <c r="AE405" i="2"/>
  <c r="AF405" i="2" s="1"/>
  <c r="AC405" i="2"/>
  <c r="Z405" i="2"/>
  <c r="AA405" i="2" s="1"/>
  <c r="T405" i="2" s="1"/>
  <c r="X405" i="2"/>
  <c r="AE404" i="2"/>
  <c r="AF404" i="2" s="1"/>
  <c r="AC404" i="2"/>
  <c r="Z404" i="2"/>
  <c r="AA404" i="2" s="1"/>
  <c r="T404" i="2" s="1"/>
  <c r="X404" i="2"/>
  <c r="AE403" i="2"/>
  <c r="AF403" i="2" s="1"/>
  <c r="AC403" i="2"/>
  <c r="Z403" i="2"/>
  <c r="AA403" i="2" s="1"/>
  <c r="T403" i="2" s="1"/>
  <c r="X403" i="2"/>
  <c r="AE402" i="2"/>
  <c r="AF402" i="2" s="1"/>
  <c r="AC402" i="2"/>
  <c r="Z402" i="2"/>
  <c r="AA402" i="2" s="1"/>
  <c r="T402" i="2" s="1"/>
  <c r="X402" i="2"/>
  <c r="AE401" i="2"/>
  <c r="AF401" i="2" s="1"/>
  <c r="AC401" i="2"/>
  <c r="Z401" i="2"/>
  <c r="AA401" i="2" s="1"/>
  <c r="T401" i="2" s="1"/>
  <c r="X401" i="2"/>
  <c r="AE400" i="2"/>
  <c r="AF400" i="2" s="1"/>
  <c r="AC400" i="2"/>
  <c r="Z400" i="2"/>
  <c r="AA400" i="2" s="1"/>
  <c r="T400" i="2" s="1"/>
  <c r="X400" i="2"/>
  <c r="AE399" i="2"/>
  <c r="AF399" i="2" s="1"/>
  <c r="AC399" i="2"/>
  <c r="Z399" i="2"/>
  <c r="AA399" i="2" s="1"/>
  <c r="T399" i="2" s="1"/>
  <c r="X399" i="2"/>
  <c r="AE398" i="2"/>
  <c r="AF398" i="2" s="1"/>
  <c r="AC398" i="2"/>
  <c r="Z398" i="2"/>
  <c r="AA398" i="2" s="1"/>
  <c r="T398" i="2" s="1"/>
  <c r="X398" i="2"/>
  <c r="AE397" i="2"/>
  <c r="AF397" i="2" s="1"/>
  <c r="AC397" i="2"/>
  <c r="Z397" i="2"/>
  <c r="AA397" i="2" s="1"/>
  <c r="T397" i="2" s="1"/>
  <c r="X397" i="2"/>
  <c r="AE396" i="2"/>
  <c r="AF396" i="2" s="1"/>
  <c r="AC396" i="2"/>
  <c r="Z396" i="2"/>
  <c r="AA396" i="2" s="1"/>
  <c r="T396" i="2" s="1"/>
  <c r="X396" i="2"/>
  <c r="AE395" i="2"/>
  <c r="AF395" i="2" s="1"/>
  <c r="AC395" i="2"/>
  <c r="Z395" i="2"/>
  <c r="AA395" i="2" s="1"/>
  <c r="T395" i="2" s="1"/>
  <c r="X395" i="2"/>
  <c r="AE394" i="2"/>
  <c r="AF394" i="2" s="1"/>
  <c r="AC394" i="2"/>
  <c r="Z394" i="2"/>
  <c r="AA394" i="2" s="1"/>
  <c r="T394" i="2" s="1"/>
  <c r="X394" i="2"/>
  <c r="AE393" i="2"/>
  <c r="AF393" i="2" s="1"/>
  <c r="AC393" i="2"/>
  <c r="Z393" i="2"/>
  <c r="AA393" i="2" s="1"/>
  <c r="T393" i="2" s="1"/>
  <c r="X393" i="2"/>
  <c r="AE392" i="2"/>
  <c r="AF392" i="2" s="1"/>
  <c r="AC392" i="2"/>
  <c r="Z392" i="2"/>
  <c r="AA392" i="2" s="1"/>
  <c r="T392" i="2" s="1"/>
  <c r="X392" i="2"/>
  <c r="AE391" i="2"/>
  <c r="AF391" i="2" s="1"/>
  <c r="AC391" i="2"/>
  <c r="Z391" i="2"/>
  <c r="AA391" i="2" s="1"/>
  <c r="T391" i="2" s="1"/>
  <c r="X391" i="2"/>
  <c r="AE390" i="2"/>
  <c r="AF390" i="2" s="1"/>
  <c r="AC390" i="2"/>
  <c r="Z390" i="2"/>
  <c r="AA390" i="2" s="1"/>
  <c r="T390" i="2" s="1"/>
  <c r="X390" i="2"/>
  <c r="AE389" i="2"/>
  <c r="AF389" i="2" s="1"/>
  <c r="AC389" i="2"/>
  <c r="Z389" i="2"/>
  <c r="AA389" i="2" s="1"/>
  <c r="T389" i="2" s="1"/>
  <c r="X389" i="2"/>
  <c r="AE388" i="2"/>
  <c r="AF388" i="2" s="1"/>
  <c r="AC388" i="2"/>
  <c r="Z388" i="2"/>
  <c r="AA388" i="2" s="1"/>
  <c r="T388" i="2" s="1"/>
  <c r="X388" i="2"/>
  <c r="AE387" i="2"/>
  <c r="AF387" i="2" s="1"/>
  <c r="AC387" i="2"/>
  <c r="Z387" i="2"/>
  <c r="AA387" i="2" s="1"/>
  <c r="T387" i="2" s="1"/>
  <c r="X387" i="2"/>
  <c r="AE386" i="2"/>
  <c r="AF386" i="2" s="1"/>
  <c r="AC386" i="2"/>
  <c r="Z386" i="2"/>
  <c r="AA386" i="2" s="1"/>
  <c r="T386" i="2" s="1"/>
  <c r="X386" i="2"/>
  <c r="AE385" i="2"/>
  <c r="AF385" i="2" s="1"/>
  <c r="AC385" i="2"/>
  <c r="Z385" i="2"/>
  <c r="AA385" i="2" s="1"/>
  <c r="T385" i="2" s="1"/>
  <c r="X385" i="2"/>
  <c r="AE384" i="2"/>
  <c r="AF384" i="2" s="1"/>
  <c r="AC384" i="2"/>
  <c r="Z384" i="2"/>
  <c r="AA384" i="2" s="1"/>
  <c r="T384" i="2" s="1"/>
  <c r="X384" i="2"/>
  <c r="AE383" i="2"/>
  <c r="AF383" i="2" s="1"/>
  <c r="AC383" i="2"/>
  <c r="Z383" i="2"/>
  <c r="AA383" i="2" s="1"/>
  <c r="T383" i="2" s="1"/>
  <c r="X383" i="2"/>
  <c r="AE382" i="2"/>
  <c r="AF382" i="2" s="1"/>
  <c r="AC382" i="2"/>
  <c r="Z382" i="2"/>
  <c r="AA382" i="2" s="1"/>
  <c r="T382" i="2" s="1"/>
  <c r="X382" i="2"/>
  <c r="AE381" i="2"/>
  <c r="AF381" i="2" s="1"/>
  <c r="AC381" i="2"/>
  <c r="Z381" i="2"/>
  <c r="AA381" i="2" s="1"/>
  <c r="T381" i="2" s="1"/>
  <c r="X381" i="2"/>
  <c r="AE380" i="2"/>
  <c r="AF380" i="2" s="1"/>
  <c r="AC380" i="2"/>
  <c r="Z380" i="2"/>
  <c r="AA380" i="2" s="1"/>
  <c r="T380" i="2" s="1"/>
  <c r="X380" i="2"/>
  <c r="AE379" i="2"/>
  <c r="AF379" i="2" s="1"/>
  <c r="AC379" i="2"/>
  <c r="Z379" i="2"/>
  <c r="AA379" i="2" s="1"/>
  <c r="T379" i="2" s="1"/>
  <c r="X379" i="2"/>
  <c r="AE378" i="2"/>
  <c r="AF378" i="2" s="1"/>
  <c r="AC378" i="2"/>
  <c r="Z378" i="2"/>
  <c r="AA378" i="2" s="1"/>
  <c r="T378" i="2" s="1"/>
  <c r="X378" i="2"/>
  <c r="AE377" i="2"/>
  <c r="AF377" i="2" s="1"/>
  <c r="AC377" i="2"/>
  <c r="Z377" i="2"/>
  <c r="AA377" i="2" s="1"/>
  <c r="T377" i="2" s="1"/>
  <c r="X377" i="2"/>
  <c r="AE376" i="2"/>
  <c r="AF376" i="2" s="1"/>
  <c r="AC376" i="2"/>
  <c r="Z376" i="2"/>
  <c r="AA376" i="2" s="1"/>
  <c r="T376" i="2" s="1"/>
  <c r="X376" i="2"/>
  <c r="AE375" i="2"/>
  <c r="AF375" i="2" s="1"/>
  <c r="AC375" i="2"/>
  <c r="Z375" i="2"/>
  <c r="AA375" i="2" s="1"/>
  <c r="T375" i="2" s="1"/>
  <c r="X375" i="2"/>
  <c r="AE374" i="2"/>
  <c r="AF374" i="2" s="1"/>
  <c r="AC374" i="2"/>
  <c r="Z374" i="2"/>
  <c r="AA374" i="2" s="1"/>
  <c r="T374" i="2" s="1"/>
  <c r="X374" i="2"/>
  <c r="AE373" i="2"/>
  <c r="AF373" i="2" s="1"/>
  <c r="AC373" i="2"/>
  <c r="Z373" i="2"/>
  <c r="AA373" i="2" s="1"/>
  <c r="T373" i="2" s="1"/>
  <c r="X373" i="2"/>
  <c r="AE372" i="2"/>
  <c r="AF372" i="2" s="1"/>
  <c r="AC372" i="2"/>
  <c r="Z372" i="2"/>
  <c r="AA372" i="2" s="1"/>
  <c r="T372" i="2" s="1"/>
  <c r="X372" i="2"/>
  <c r="AE371" i="2"/>
  <c r="AF371" i="2" s="1"/>
  <c r="AC371" i="2"/>
  <c r="Z371" i="2"/>
  <c r="AA371" i="2" s="1"/>
  <c r="T371" i="2" s="1"/>
  <c r="X371" i="2"/>
  <c r="AE370" i="2"/>
  <c r="AF370" i="2" s="1"/>
  <c r="AC370" i="2"/>
  <c r="Z370" i="2"/>
  <c r="AA370" i="2" s="1"/>
  <c r="T370" i="2" s="1"/>
  <c r="X370" i="2"/>
  <c r="AE369" i="2"/>
  <c r="AF369" i="2" s="1"/>
  <c r="AC369" i="2"/>
  <c r="Z369" i="2"/>
  <c r="AA369" i="2" s="1"/>
  <c r="T369" i="2" s="1"/>
  <c r="X369" i="2"/>
  <c r="AE368" i="2"/>
  <c r="AF368" i="2" s="1"/>
  <c r="AC368" i="2"/>
  <c r="Z368" i="2"/>
  <c r="AA368" i="2" s="1"/>
  <c r="T368" i="2" s="1"/>
  <c r="X368" i="2"/>
  <c r="AE367" i="2"/>
  <c r="AF367" i="2" s="1"/>
  <c r="AC367" i="2"/>
  <c r="Z367" i="2"/>
  <c r="AA367" i="2" s="1"/>
  <c r="T367" i="2" s="1"/>
  <c r="X367" i="2"/>
  <c r="AE366" i="2"/>
  <c r="AF366" i="2" s="1"/>
  <c r="AC366" i="2"/>
  <c r="Z366" i="2"/>
  <c r="AA366" i="2" s="1"/>
  <c r="T366" i="2" s="1"/>
  <c r="X366" i="2"/>
  <c r="AE365" i="2"/>
  <c r="AF365" i="2" s="1"/>
  <c r="AC365" i="2"/>
  <c r="Z365" i="2"/>
  <c r="AA365" i="2" s="1"/>
  <c r="T365" i="2" s="1"/>
  <c r="X365" i="2"/>
  <c r="AE364" i="2"/>
  <c r="AF364" i="2" s="1"/>
  <c r="AC364" i="2"/>
  <c r="Z364" i="2"/>
  <c r="AA364" i="2" s="1"/>
  <c r="T364" i="2" s="1"/>
  <c r="X364" i="2"/>
  <c r="AE363" i="2"/>
  <c r="AF363" i="2" s="1"/>
  <c r="AC363" i="2"/>
  <c r="Z363" i="2"/>
  <c r="AA363" i="2" s="1"/>
  <c r="T363" i="2" s="1"/>
  <c r="X363" i="2"/>
  <c r="AE362" i="2"/>
  <c r="AF362" i="2" s="1"/>
  <c r="AC362" i="2"/>
  <c r="Z362" i="2"/>
  <c r="AA362" i="2" s="1"/>
  <c r="T362" i="2" s="1"/>
  <c r="X362" i="2"/>
  <c r="AE361" i="2"/>
  <c r="AF361" i="2" s="1"/>
  <c r="AC361" i="2"/>
  <c r="Z361" i="2"/>
  <c r="AA361" i="2" s="1"/>
  <c r="T361" i="2" s="1"/>
  <c r="X361" i="2"/>
  <c r="AE360" i="2"/>
  <c r="AF360" i="2" s="1"/>
  <c r="AC360" i="2"/>
  <c r="Z360" i="2"/>
  <c r="AA360" i="2" s="1"/>
  <c r="T360" i="2" s="1"/>
  <c r="X360" i="2"/>
  <c r="AE359" i="2"/>
  <c r="AF359" i="2" s="1"/>
  <c r="AC359" i="2"/>
  <c r="Z359" i="2"/>
  <c r="AA359" i="2" s="1"/>
  <c r="T359" i="2" s="1"/>
  <c r="X359" i="2"/>
  <c r="AE358" i="2"/>
  <c r="AF358" i="2" s="1"/>
  <c r="AC358" i="2"/>
  <c r="Z358" i="2"/>
  <c r="AA358" i="2" s="1"/>
  <c r="T358" i="2" s="1"/>
  <c r="X358" i="2"/>
  <c r="AE357" i="2"/>
  <c r="AF357" i="2" s="1"/>
  <c r="AC357" i="2"/>
  <c r="Z357" i="2"/>
  <c r="AA357" i="2" s="1"/>
  <c r="T357" i="2" s="1"/>
  <c r="X357" i="2"/>
  <c r="Z356" i="2"/>
  <c r="AA356" i="2" s="1"/>
  <c r="T356" i="2" s="1"/>
  <c r="X356" i="2"/>
  <c r="AE355" i="2"/>
  <c r="AF355" i="2" s="1"/>
  <c r="AC355" i="2"/>
  <c r="Z355" i="2"/>
  <c r="AA355" i="2" s="1"/>
  <c r="T355" i="2" s="1"/>
  <c r="X355" i="2"/>
  <c r="AE354" i="2"/>
  <c r="AF354" i="2" s="1"/>
  <c r="AC354" i="2"/>
  <c r="Z354" i="2"/>
  <c r="AA354" i="2" s="1"/>
  <c r="T354" i="2" s="1"/>
  <c r="X354" i="2"/>
  <c r="Z353" i="2"/>
  <c r="AA353" i="2" s="1"/>
  <c r="T353" i="2" s="1"/>
  <c r="X353" i="2"/>
  <c r="AE352" i="2"/>
  <c r="AF352" i="2" s="1"/>
  <c r="AC352" i="2"/>
  <c r="Z352" i="2"/>
  <c r="AA352" i="2" s="1"/>
  <c r="T352" i="2" s="1"/>
  <c r="X352" i="2"/>
  <c r="AE351" i="2"/>
  <c r="AF351" i="2" s="1"/>
  <c r="AC351" i="2"/>
  <c r="Z351" i="2"/>
  <c r="AA351" i="2" s="1"/>
  <c r="T351" i="2" s="1"/>
  <c r="X351" i="2"/>
  <c r="Z350" i="2"/>
  <c r="AA350" i="2" s="1"/>
  <c r="T350" i="2" s="1"/>
  <c r="X350" i="2"/>
  <c r="AE349" i="2"/>
  <c r="AF349" i="2" s="1"/>
  <c r="AC349" i="2"/>
  <c r="Z349" i="2"/>
  <c r="AA349" i="2" s="1"/>
  <c r="T349" i="2" s="1"/>
  <c r="X349" i="2"/>
  <c r="AE348" i="2"/>
  <c r="AF348" i="2" s="1"/>
  <c r="AC348" i="2"/>
  <c r="Z348" i="2"/>
  <c r="AA348" i="2" s="1"/>
  <c r="T348" i="2" s="1"/>
  <c r="X348" i="2"/>
  <c r="AE347" i="2"/>
  <c r="AF347" i="2" s="1"/>
  <c r="AC347" i="2"/>
  <c r="Z347" i="2"/>
  <c r="AA347" i="2" s="1"/>
  <c r="T347" i="2" s="1"/>
  <c r="X347" i="2"/>
  <c r="AE346" i="2"/>
  <c r="AF346" i="2" s="1"/>
  <c r="AC346" i="2"/>
  <c r="Z346" i="2"/>
  <c r="AA346" i="2" s="1"/>
  <c r="T346" i="2" s="1"/>
  <c r="X346" i="2"/>
  <c r="AE345" i="2"/>
  <c r="AF345" i="2" s="1"/>
  <c r="AC345" i="2"/>
  <c r="Z345" i="2"/>
  <c r="AA345" i="2" s="1"/>
  <c r="T345" i="2" s="1"/>
  <c r="X345" i="2"/>
  <c r="AE344" i="2"/>
  <c r="AF344" i="2" s="1"/>
  <c r="AC344" i="2"/>
  <c r="Z344" i="2"/>
  <c r="AA344" i="2" s="1"/>
  <c r="T344" i="2" s="1"/>
  <c r="X344" i="2"/>
  <c r="AE343" i="2"/>
  <c r="AF343" i="2" s="1"/>
  <c r="AC343" i="2"/>
  <c r="Z343" i="2"/>
  <c r="AA343" i="2" s="1"/>
  <c r="T343" i="2" s="1"/>
  <c r="X343" i="2"/>
  <c r="AE342" i="2"/>
  <c r="AF342" i="2" s="1"/>
  <c r="AC342" i="2"/>
  <c r="Z342" i="2"/>
  <c r="AA342" i="2" s="1"/>
  <c r="T342" i="2" s="1"/>
  <c r="X342" i="2"/>
  <c r="AE341" i="2"/>
  <c r="AF341" i="2" s="1"/>
  <c r="AC341" i="2"/>
  <c r="Z341" i="2"/>
  <c r="AA341" i="2" s="1"/>
  <c r="T341" i="2" s="1"/>
  <c r="X341" i="2"/>
  <c r="AE340" i="2"/>
  <c r="AF340" i="2" s="1"/>
  <c r="AC340" i="2"/>
  <c r="Z340" i="2"/>
  <c r="AA340" i="2" s="1"/>
  <c r="T340" i="2" s="1"/>
  <c r="X340" i="2"/>
  <c r="AE339" i="2"/>
  <c r="AF339" i="2" s="1"/>
  <c r="AC339" i="2"/>
  <c r="Z339" i="2"/>
  <c r="AA339" i="2" s="1"/>
  <c r="T339" i="2" s="1"/>
  <c r="X339" i="2"/>
  <c r="AE338" i="2"/>
  <c r="AF338" i="2" s="1"/>
  <c r="AC338" i="2"/>
  <c r="Z338" i="2"/>
  <c r="AA338" i="2" s="1"/>
  <c r="T338" i="2" s="1"/>
  <c r="X338" i="2"/>
  <c r="AE337" i="2"/>
  <c r="AF337" i="2" s="1"/>
  <c r="AC337" i="2"/>
  <c r="Z337" i="2"/>
  <c r="AA337" i="2" s="1"/>
  <c r="T337" i="2" s="1"/>
  <c r="X337" i="2"/>
  <c r="AE336" i="2"/>
  <c r="AF336" i="2" s="1"/>
  <c r="AC336" i="2"/>
  <c r="Z336" i="2"/>
  <c r="AA336" i="2" s="1"/>
  <c r="T336" i="2" s="1"/>
  <c r="X336" i="2"/>
  <c r="AE335" i="2"/>
  <c r="AF335" i="2" s="1"/>
  <c r="AC335" i="2"/>
  <c r="Z335" i="2"/>
  <c r="AA335" i="2" s="1"/>
  <c r="T335" i="2" s="1"/>
  <c r="X335" i="2"/>
  <c r="AE334" i="2"/>
  <c r="AF334" i="2" s="1"/>
  <c r="AC334" i="2"/>
  <c r="Z334" i="2"/>
  <c r="AA334" i="2" s="1"/>
  <c r="T334" i="2" s="1"/>
  <c r="X334" i="2"/>
  <c r="AE333" i="2"/>
  <c r="AF333" i="2" s="1"/>
  <c r="AC333" i="2"/>
  <c r="Z333" i="2"/>
  <c r="AA333" i="2" s="1"/>
  <c r="T333" i="2" s="1"/>
  <c r="X333" i="2"/>
  <c r="AE332" i="2"/>
  <c r="AF332" i="2" s="1"/>
  <c r="AC332" i="2"/>
  <c r="Z332" i="2"/>
  <c r="AA332" i="2" s="1"/>
  <c r="T332" i="2" s="1"/>
  <c r="X332" i="2"/>
  <c r="AE331" i="2"/>
  <c r="AF331" i="2" s="1"/>
  <c r="AC331" i="2"/>
  <c r="Z331" i="2"/>
  <c r="AA331" i="2" s="1"/>
  <c r="T331" i="2" s="1"/>
  <c r="X331" i="2"/>
  <c r="AE330" i="2"/>
  <c r="AF330" i="2" s="1"/>
  <c r="AC330" i="2"/>
  <c r="Z330" i="2"/>
  <c r="AA330" i="2" s="1"/>
  <c r="T330" i="2" s="1"/>
  <c r="X330" i="2"/>
  <c r="AE329" i="2"/>
  <c r="AF329" i="2" s="1"/>
  <c r="AC329" i="2"/>
  <c r="Z329" i="2"/>
  <c r="AA329" i="2" s="1"/>
  <c r="T329" i="2" s="1"/>
  <c r="X329" i="2"/>
  <c r="AE328" i="2"/>
  <c r="AF328" i="2" s="1"/>
  <c r="AC328" i="2"/>
  <c r="Z328" i="2"/>
  <c r="AA328" i="2" s="1"/>
  <c r="T328" i="2" s="1"/>
  <c r="X328" i="2"/>
  <c r="AJ327" i="2"/>
  <c r="AK327" i="2" s="1"/>
  <c r="AH327" i="2"/>
  <c r="AE327" i="2"/>
  <c r="AF327" i="2" s="1"/>
  <c r="AC327" i="2"/>
  <c r="Z327" i="2"/>
  <c r="AA327" i="2" s="1"/>
  <c r="T327" i="2" s="1"/>
  <c r="X327" i="2"/>
  <c r="AE326" i="2"/>
  <c r="AF326" i="2" s="1"/>
  <c r="AC326" i="2"/>
  <c r="Z326" i="2"/>
  <c r="AA326" i="2" s="1"/>
  <c r="T326" i="2" s="1"/>
  <c r="X326" i="2"/>
  <c r="AE325" i="2"/>
  <c r="AF325" i="2" s="1"/>
  <c r="AC325" i="2"/>
  <c r="Z325" i="2"/>
  <c r="AA325" i="2" s="1"/>
  <c r="T325" i="2" s="1"/>
  <c r="X325" i="2"/>
  <c r="AE324" i="2"/>
  <c r="AF324" i="2" s="1"/>
  <c r="AC324" i="2"/>
  <c r="Z324" i="2"/>
  <c r="AA324" i="2" s="1"/>
  <c r="T324" i="2" s="1"/>
  <c r="X324" i="2"/>
  <c r="AE323" i="2"/>
  <c r="AF323" i="2" s="1"/>
  <c r="AC323" i="2"/>
  <c r="Z323" i="2"/>
  <c r="AA323" i="2" s="1"/>
  <c r="T323" i="2" s="1"/>
  <c r="X323" i="2"/>
  <c r="AE322" i="2"/>
  <c r="AF322" i="2" s="1"/>
  <c r="AC322" i="2"/>
  <c r="Z322" i="2"/>
  <c r="AA322" i="2" s="1"/>
  <c r="T322" i="2" s="1"/>
  <c r="X322" i="2"/>
  <c r="AE321" i="2"/>
  <c r="AF321" i="2" s="1"/>
  <c r="AC321" i="2"/>
  <c r="Z321" i="2"/>
  <c r="AA321" i="2" s="1"/>
  <c r="T321" i="2" s="1"/>
  <c r="X321" i="2"/>
  <c r="AE320" i="2"/>
  <c r="AF320" i="2" s="1"/>
  <c r="AC320" i="2"/>
  <c r="Z320" i="2"/>
  <c r="AA320" i="2" s="1"/>
  <c r="T320" i="2" s="1"/>
  <c r="X320" i="2"/>
  <c r="AE319" i="2"/>
  <c r="AF319" i="2" s="1"/>
  <c r="AC319" i="2"/>
  <c r="Z319" i="2"/>
  <c r="AA319" i="2" s="1"/>
  <c r="T319" i="2" s="1"/>
  <c r="X319" i="2"/>
  <c r="AE318" i="2"/>
  <c r="AF318" i="2" s="1"/>
  <c r="AC318" i="2"/>
  <c r="Z318" i="2"/>
  <c r="AA318" i="2" s="1"/>
  <c r="T318" i="2" s="1"/>
  <c r="X318" i="2"/>
  <c r="AE317" i="2"/>
  <c r="AF317" i="2" s="1"/>
  <c r="AC317" i="2"/>
  <c r="Z317" i="2"/>
  <c r="AA317" i="2" s="1"/>
  <c r="T317" i="2" s="1"/>
  <c r="X317" i="2"/>
  <c r="AE316" i="2"/>
  <c r="AF316" i="2" s="1"/>
  <c r="AC316" i="2"/>
  <c r="Z316" i="2"/>
  <c r="AA316" i="2" s="1"/>
  <c r="T316" i="2" s="1"/>
  <c r="X316" i="2"/>
  <c r="AE315" i="2"/>
  <c r="AF315" i="2" s="1"/>
  <c r="AC315" i="2"/>
  <c r="Z315" i="2"/>
  <c r="AA315" i="2" s="1"/>
  <c r="T315" i="2" s="1"/>
  <c r="X315" i="2"/>
  <c r="AE314" i="2"/>
  <c r="AF314" i="2" s="1"/>
  <c r="AC314" i="2"/>
  <c r="Z314" i="2"/>
  <c r="AA314" i="2" s="1"/>
  <c r="T314" i="2" s="1"/>
  <c r="X314" i="2"/>
  <c r="AE313" i="2"/>
  <c r="AF313" i="2" s="1"/>
  <c r="AC313" i="2"/>
  <c r="Z313" i="2"/>
  <c r="AA313" i="2" s="1"/>
  <c r="T313" i="2" s="1"/>
  <c r="X313" i="2"/>
  <c r="AE312" i="2"/>
  <c r="AF312" i="2" s="1"/>
  <c r="AC312" i="2"/>
  <c r="Z312" i="2"/>
  <c r="AA312" i="2" s="1"/>
  <c r="T312" i="2" s="1"/>
  <c r="X312" i="2"/>
  <c r="AE311" i="2"/>
  <c r="AF311" i="2" s="1"/>
  <c r="AC311" i="2"/>
  <c r="Z311" i="2"/>
  <c r="AA311" i="2" s="1"/>
  <c r="T311" i="2" s="1"/>
  <c r="X311" i="2"/>
  <c r="AE310" i="2"/>
  <c r="AF310" i="2" s="1"/>
  <c r="AC310" i="2"/>
  <c r="Z310" i="2"/>
  <c r="AA310" i="2" s="1"/>
  <c r="T310" i="2" s="1"/>
  <c r="X310" i="2"/>
  <c r="AE309" i="2"/>
  <c r="AF309" i="2" s="1"/>
  <c r="AC309" i="2"/>
  <c r="Z309" i="2"/>
  <c r="AA309" i="2" s="1"/>
  <c r="T309" i="2" s="1"/>
  <c r="X309" i="2"/>
  <c r="AE308" i="2"/>
  <c r="AF308" i="2" s="1"/>
  <c r="AC308" i="2"/>
  <c r="Z308" i="2"/>
  <c r="AA308" i="2" s="1"/>
  <c r="T308" i="2" s="1"/>
  <c r="X308" i="2"/>
  <c r="AE307" i="2"/>
  <c r="AF307" i="2" s="1"/>
  <c r="AC307" i="2"/>
  <c r="Z307" i="2"/>
  <c r="AA307" i="2" s="1"/>
  <c r="T307" i="2" s="1"/>
  <c r="X307" i="2"/>
  <c r="AE306" i="2"/>
  <c r="AF306" i="2" s="1"/>
  <c r="AC306" i="2"/>
  <c r="Z306" i="2"/>
  <c r="AA306" i="2" s="1"/>
  <c r="T306" i="2" s="1"/>
  <c r="X306" i="2"/>
  <c r="AE305" i="2"/>
  <c r="AF305" i="2" s="1"/>
  <c r="AC305" i="2"/>
  <c r="Z305" i="2"/>
  <c r="AA305" i="2" s="1"/>
  <c r="T305" i="2" s="1"/>
  <c r="X305" i="2"/>
  <c r="AE304" i="2"/>
  <c r="AF304" i="2" s="1"/>
  <c r="AC304" i="2"/>
  <c r="Z304" i="2"/>
  <c r="AA304" i="2" s="1"/>
  <c r="T304" i="2" s="1"/>
  <c r="X304" i="2"/>
  <c r="AE303" i="2"/>
  <c r="AF303" i="2" s="1"/>
  <c r="AC303" i="2"/>
  <c r="Z303" i="2"/>
  <c r="AA303" i="2" s="1"/>
  <c r="T303" i="2" s="1"/>
  <c r="X303" i="2"/>
  <c r="AE302" i="2"/>
  <c r="AF302" i="2" s="1"/>
  <c r="AC302" i="2"/>
  <c r="Z302" i="2"/>
  <c r="AA302" i="2" s="1"/>
  <c r="T302" i="2" s="1"/>
  <c r="X302" i="2"/>
  <c r="AE301" i="2"/>
  <c r="AF301" i="2" s="1"/>
  <c r="AC301" i="2"/>
  <c r="Z301" i="2"/>
  <c r="AA301" i="2" s="1"/>
  <c r="T301" i="2" s="1"/>
  <c r="X301" i="2"/>
  <c r="AE300" i="2"/>
  <c r="AF300" i="2" s="1"/>
  <c r="AC300" i="2"/>
  <c r="Z300" i="2"/>
  <c r="AA300" i="2" s="1"/>
  <c r="T300" i="2" s="1"/>
  <c r="X300" i="2"/>
  <c r="AE299" i="2"/>
  <c r="AF299" i="2" s="1"/>
  <c r="AC299" i="2"/>
  <c r="Z299" i="2"/>
  <c r="AA299" i="2" s="1"/>
  <c r="T299" i="2" s="1"/>
  <c r="X299" i="2"/>
  <c r="AE298" i="2"/>
  <c r="AF298" i="2" s="1"/>
  <c r="AC298" i="2"/>
  <c r="Z298" i="2"/>
  <c r="AA298" i="2" s="1"/>
  <c r="T298" i="2" s="1"/>
  <c r="X298" i="2"/>
  <c r="AE297" i="2"/>
  <c r="AF297" i="2" s="1"/>
  <c r="AC297" i="2"/>
  <c r="Z297" i="2"/>
  <c r="AA297" i="2" s="1"/>
  <c r="T297" i="2" s="1"/>
  <c r="X297" i="2"/>
  <c r="AE296" i="2"/>
  <c r="AF296" i="2" s="1"/>
  <c r="AC296" i="2"/>
  <c r="Z296" i="2"/>
  <c r="AA296" i="2" s="1"/>
  <c r="T296" i="2" s="1"/>
  <c r="X296" i="2"/>
  <c r="AE295" i="2"/>
  <c r="AF295" i="2" s="1"/>
  <c r="AC295" i="2"/>
  <c r="Z295" i="2"/>
  <c r="AA295" i="2" s="1"/>
  <c r="T295" i="2" s="1"/>
  <c r="X295" i="2"/>
  <c r="AE294" i="2"/>
  <c r="AF294" i="2" s="1"/>
  <c r="AC294" i="2"/>
  <c r="Z294" i="2"/>
  <c r="AA294" i="2" s="1"/>
  <c r="T294" i="2" s="1"/>
  <c r="X294" i="2"/>
  <c r="AE293" i="2"/>
  <c r="AF293" i="2" s="1"/>
  <c r="AC293" i="2"/>
  <c r="Z293" i="2"/>
  <c r="AA293" i="2" s="1"/>
  <c r="T293" i="2" s="1"/>
  <c r="X293" i="2"/>
  <c r="AE292" i="2"/>
  <c r="AF292" i="2" s="1"/>
  <c r="AC292" i="2"/>
  <c r="Z292" i="2"/>
  <c r="AA292" i="2" s="1"/>
  <c r="T292" i="2" s="1"/>
  <c r="X292" i="2"/>
  <c r="AE291" i="2"/>
  <c r="AF291" i="2" s="1"/>
  <c r="AC291" i="2"/>
  <c r="Z291" i="2"/>
  <c r="AA291" i="2" s="1"/>
  <c r="T291" i="2" s="1"/>
  <c r="X291" i="2"/>
  <c r="AE290" i="2"/>
  <c r="AF290" i="2" s="1"/>
  <c r="AC290" i="2"/>
  <c r="Z290" i="2"/>
  <c r="AA290" i="2" s="1"/>
  <c r="T290" i="2" s="1"/>
  <c r="X290" i="2"/>
  <c r="AE289" i="2"/>
  <c r="AF289" i="2" s="1"/>
  <c r="AC289" i="2"/>
  <c r="Z289" i="2"/>
  <c r="AA289" i="2" s="1"/>
  <c r="T289" i="2" s="1"/>
  <c r="X289" i="2"/>
  <c r="AE288" i="2"/>
  <c r="AF288" i="2" s="1"/>
  <c r="AC288" i="2"/>
  <c r="Z288" i="2"/>
  <c r="AA288" i="2" s="1"/>
  <c r="T288" i="2" s="1"/>
  <c r="X288" i="2"/>
  <c r="AE287" i="2"/>
  <c r="AF287" i="2" s="1"/>
  <c r="AC287" i="2"/>
  <c r="Z287" i="2"/>
  <c r="AA287" i="2" s="1"/>
  <c r="T287" i="2" s="1"/>
  <c r="X287" i="2"/>
  <c r="AE286" i="2"/>
  <c r="AF286" i="2" s="1"/>
  <c r="AC286" i="2"/>
  <c r="Z286" i="2"/>
  <c r="AA286" i="2" s="1"/>
  <c r="T286" i="2" s="1"/>
  <c r="X286" i="2"/>
  <c r="AE285" i="2"/>
  <c r="AF285" i="2" s="1"/>
  <c r="AC285" i="2"/>
  <c r="Z285" i="2"/>
  <c r="AA285" i="2" s="1"/>
  <c r="T285" i="2" s="1"/>
  <c r="X285" i="2"/>
  <c r="AE284" i="2"/>
  <c r="AF284" i="2" s="1"/>
  <c r="AC284" i="2"/>
  <c r="Z284" i="2"/>
  <c r="AA284" i="2" s="1"/>
  <c r="T284" i="2" s="1"/>
  <c r="X284" i="2"/>
  <c r="AE283" i="2"/>
  <c r="AF283" i="2" s="1"/>
  <c r="AC283" i="2"/>
  <c r="Z283" i="2"/>
  <c r="AA283" i="2" s="1"/>
  <c r="T283" i="2" s="1"/>
  <c r="X283" i="2"/>
  <c r="AE282" i="2"/>
  <c r="AF282" i="2" s="1"/>
  <c r="AC282" i="2"/>
  <c r="Z282" i="2"/>
  <c r="AA282" i="2" s="1"/>
  <c r="T282" i="2" s="1"/>
  <c r="X282" i="2"/>
  <c r="AE281" i="2"/>
  <c r="AF281" i="2" s="1"/>
  <c r="AC281" i="2"/>
  <c r="Z281" i="2"/>
  <c r="AA281" i="2" s="1"/>
  <c r="T281" i="2" s="1"/>
  <c r="X281" i="2"/>
  <c r="AE280" i="2"/>
  <c r="AF280" i="2" s="1"/>
  <c r="AC280" i="2"/>
  <c r="Z280" i="2"/>
  <c r="AA280" i="2" s="1"/>
  <c r="T280" i="2" s="1"/>
  <c r="X280" i="2"/>
  <c r="Z279" i="2"/>
  <c r="AA279" i="2" s="1"/>
  <c r="T279" i="2" s="1"/>
  <c r="X279" i="2"/>
  <c r="AE278" i="2"/>
  <c r="AF278" i="2" s="1"/>
  <c r="AC278" i="2"/>
  <c r="Z278" i="2"/>
  <c r="AA278" i="2" s="1"/>
  <c r="T278" i="2" s="1"/>
  <c r="X278" i="2"/>
  <c r="AE277" i="2"/>
  <c r="AF277" i="2" s="1"/>
  <c r="AC277" i="2"/>
  <c r="Z277" i="2"/>
  <c r="AA277" i="2" s="1"/>
  <c r="T277" i="2" s="1"/>
  <c r="X277" i="2"/>
  <c r="Z276" i="2"/>
  <c r="AA276" i="2" s="1"/>
  <c r="T276" i="2" s="1"/>
  <c r="X276" i="2"/>
  <c r="AE275" i="2"/>
  <c r="AF275" i="2" s="1"/>
  <c r="AC275" i="2"/>
  <c r="Z275" i="2"/>
  <c r="AA275" i="2" s="1"/>
  <c r="T275" i="2" s="1"/>
  <c r="X275" i="2"/>
  <c r="Z274" i="2"/>
  <c r="AA274" i="2" s="1"/>
  <c r="T274" i="2" s="1"/>
  <c r="X274" i="2"/>
  <c r="Z273" i="2"/>
  <c r="AA273" i="2" s="1"/>
  <c r="T273" i="2" s="1"/>
  <c r="X273" i="2"/>
  <c r="AE272" i="2"/>
  <c r="AF272" i="2" s="1"/>
  <c r="AC272" i="2"/>
  <c r="Z272" i="2"/>
  <c r="AA272" i="2" s="1"/>
  <c r="T272" i="2" s="1"/>
  <c r="X272" i="2"/>
  <c r="Z271" i="2"/>
  <c r="AA271" i="2" s="1"/>
  <c r="T271" i="2" s="1"/>
  <c r="X271" i="2"/>
  <c r="AE270" i="2"/>
  <c r="AF270" i="2" s="1"/>
  <c r="AC270" i="2"/>
  <c r="Z270" i="2"/>
  <c r="AA270" i="2" s="1"/>
  <c r="T270" i="2" s="1"/>
  <c r="X270" i="2"/>
  <c r="Z269" i="2"/>
  <c r="AA269" i="2" s="1"/>
  <c r="T269" i="2" s="1"/>
  <c r="X269" i="2"/>
  <c r="AE268" i="2"/>
  <c r="AF268" i="2" s="1"/>
  <c r="AC268" i="2"/>
  <c r="Z268" i="2"/>
  <c r="AA268" i="2" s="1"/>
  <c r="T268" i="2" s="1"/>
  <c r="X268" i="2"/>
  <c r="Z267" i="2"/>
  <c r="AA267" i="2" s="1"/>
  <c r="T267" i="2" s="1"/>
  <c r="X267" i="2"/>
  <c r="AE266" i="2"/>
  <c r="AF266" i="2" s="1"/>
  <c r="AC266" i="2"/>
  <c r="Z266" i="2"/>
  <c r="AA266" i="2" s="1"/>
  <c r="T266" i="2" s="1"/>
  <c r="X266" i="2"/>
  <c r="AE265" i="2"/>
  <c r="AF265" i="2" s="1"/>
  <c r="AC265" i="2"/>
  <c r="Z265" i="2"/>
  <c r="AA265" i="2" s="1"/>
  <c r="T265" i="2" s="1"/>
  <c r="X265" i="2"/>
  <c r="Z264" i="2"/>
  <c r="AA264" i="2" s="1"/>
  <c r="T264" i="2" s="1"/>
  <c r="X264" i="2"/>
  <c r="Z263" i="2"/>
  <c r="AA263" i="2" s="1"/>
  <c r="T263" i="2" s="1"/>
  <c r="X263" i="2"/>
  <c r="AE262" i="2"/>
  <c r="AF262" i="2" s="1"/>
  <c r="AC262" i="2"/>
  <c r="Z262" i="2"/>
  <c r="AA262" i="2" s="1"/>
  <c r="T262" i="2" s="1"/>
  <c r="X262" i="2"/>
  <c r="Z261" i="2"/>
  <c r="AA261" i="2" s="1"/>
  <c r="T261" i="2" s="1"/>
  <c r="X261" i="2"/>
  <c r="Z260" i="2"/>
  <c r="AA260" i="2" s="1"/>
  <c r="T260" i="2" s="1"/>
  <c r="X260" i="2"/>
  <c r="AE259" i="2"/>
  <c r="AF259" i="2" s="1"/>
  <c r="AC259" i="2"/>
  <c r="Z259" i="2"/>
  <c r="AA259" i="2" s="1"/>
  <c r="T259" i="2" s="1"/>
  <c r="X259" i="2"/>
  <c r="AE258" i="2"/>
  <c r="AF258" i="2" s="1"/>
  <c r="AC258" i="2"/>
  <c r="Z258" i="2"/>
  <c r="AA258" i="2" s="1"/>
  <c r="T258" i="2" s="1"/>
  <c r="X258" i="2"/>
  <c r="AE257" i="2"/>
  <c r="AF257" i="2" s="1"/>
  <c r="AC257" i="2"/>
  <c r="Z257" i="2"/>
  <c r="AA257" i="2" s="1"/>
  <c r="T257" i="2" s="1"/>
  <c r="X257" i="2"/>
  <c r="AJ256" i="2"/>
  <c r="AK256" i="2" s="1"/>
  <c r="AH256" i="2"/>
  <c r="AE256" i="2"/>
  <c r="AF256" i="2" s="1"/>
  <c r="AC256" i="2"/>
  <c r="Z256" i="2"/>
  <c r="AA256" i="2" s="1"/>
  <c r="T256" i="2" s="1"/>
  <c r="X256" i="2"/>
  <c r="AJ255" i="2"/>
  <c r="AK255" i="2" s="1"/>
  <c r="AH255" i="2"/>
  <c r="AE255" i="2"/>
  <c r="AF255" i="2" s="1"/>
  <c r="AC255" i="2"/>
  <c r="Z255" i="2"/>
  <c r="AA255" i="2" s="1"/>
  <c r="T255" i="2" s="1"/>
  <c r="X255" i="2"/>
  <c r="AJ254" i="2"/>
  <c r="AK254" i="2" s="1"/>
  <c r="AH254" i="2"/>
  <c r="AE254" i="2"/>
  <c r="AF254" i="2" s="1"/>
  <c r="AC254" i="2"/>
  <c r="Z254" i="2"/>
  <c r="AA254" i="2" s="1"/>
  <c r="T254" i="2" s="1"/>
  <c r="X254" i="2"/>
  <c r="AJ253" i="2"/>
  <c r="AK253" i="2" s="1"/>
  <c r="AH253" i="2"/>
  <c r="AE253" i="2"/>
  <c r="AF253" i="2" s="1"/>
  <c r="AC253" i="2"/>
  <c r="Z253" i="2"/>
  <c r="AA253" i="2" s="1"/>
  <c r="T253" i="2" s="1"/>
  <c r="X253" i="2"/>
  <c r="AJ252" i="2"/>
  <c r="AK252" i="2" s="1"/>
  <c r="AH252" i="2"/>
  <c r="AE252" i="2"/>
  <c r="AF252" i="2" s="1"/>
  <c r="AC252" i="2"/>
  <c r="Z252" i="2"/>
  <c r="AA252" i="2" s="1"/>
  <c r="T252" i="2" s="1"/>
  <c r="X252" i="2"/>
  <c r="AJ251" i="2"/>
  <c r="AK251" i="2" s="1"/>
  <c r="AH251" i="2"/>
  <c r="AE251" i="2"/>
  <c r="AF251" i="2" s="1"/>
  <c r="AC251" i="2"/>
  <c r="Z251" i="2"/>
  <c r="AA251" i="2" s="1"/>
  <c r="T251" i="2" s="1"/>
  <c r="X251" i="2"/>
  <c r="AJ250" i="2"/>
  <c r="AK250" i="2" s="1"/>
  <c r="AH250" i="2"/>
  <c r="AE250" i="2"/>
  <c r="AF250" i="2" s="1"/>
  <c r="AC250" i="2"/>
  <c r="Z250" i="2"/>
  <c r="AA250" i="2" s="1"/>
  <c r="T250" i="2" s="1"/>
  <c r="X250" i="2"/>
  <c r="AE249" i="2"/>
  <c r="AF249" i="2" s="1"/>
  <c r="AC249" i="2"/>
  <c r="Z249" i="2"/>
  <c r="AA249" i="2" s="1"/>
  <c r="T249" i="2" s="1"/>
  <c r="X249" i="2"/>
  <c r="AJ248" i="2"/>
  <c r="AK248" i="2" s="1"/>
  <c r="AH248" i="2"/>
  <c r="AE248" i="2"/>
  <c r="AF248" i="2" s="1"/>
  <c r="AC248" i="2"/>
  <c r="Z248" i="2"/>
  <c r="AA248" i="2" s="1"/>
  <c r="T248" i="2" s="1"/>
  <c r="X248" i="2"/>
  <c r="Z247" i="2"/>
  <c r="AA247" i="2" s="1"/>
  <c r="T247" i="2" s="1"/>
  <c r="X247" i="2"/>
  <c r="AJ246" i="2"/>
  <c r="AK246" i="2" s="1"/>
  <c r="AH246" i="2"/>
  <c r="Z246" i="2"/>
  <c r="AA246" i="2" s="1"/>
  <c r="T246" i="2" s="1"/>
  <c r="X246" i="2"/>
  <c r="AE245" i="2"/>
  <c r="AF245" i="2" s="1"/>
  <c r="AC245" i="2"/>
  <c r="Z245" i="2"/>
  <c r="AA245" i="2" s="1"/>
  <c r="T245" i="2" s="1"/>
  <c r="X245" i="2"/>
  <c r="Z244" i="2"/>
  <c r="AA244" i="2" s="1"/>
  <c r="T244" i="2" s="1"/>
  <c r="X244" i="2"/>
  <c r="AJ243" i="2"/>
  <c r="AK243" i="2" s="1"/>
  <c r="AH243" i="2"/>
  <c r="AE243" i="2"/>
  <c r="AF243" i="2" s="1"/>
  <c r="AC243" i="2"/>
  <c r="Z243" i="2"/>
  <c r="AA243" i="2" s="1"/>
  <c r="T243" i="2" s="1"/>
  <c r="X243" i="2"/>
  <c r="AJ242" i="2"/>
  <c r="AK242" i="2" s="1"/>
  <c r="AH242" i="2"/>
  <c r="Z242" i="2"/>
  <c r="AA242" i="2" s="1"/>
  <c r="T242" i="2" s="1"/>
  <c r="X242" i="2"/>
  <c r="AJ241" i="2"/>
  <c r="AK241" i="2" s="1"/>
  <c r="AH241" i="2"/>
  <c r="Z241" i="2"/>
  <c r="AA241" i="2" s="1"/>
  <c r="T241" i="2" s="1"/>
  <c r="X241" i="2"/>
  <c r="AE240" i="2"/>
  <c r="AF240" i="2" s="1"/>
  <c r="AC240" i="2"/>
  <c r="Z240" i="2"/>
  <c r="AA240" i="2" s="1"/>
  <c r="T240" i="2" s="1"/>
  <c r="X240" i="2"/>
  <c r="Z239" i="2"/>
  <c r="AA239" i="2" s="1"/>
  <c r="T239" i="2" s="1"/>
  <c r="X239" i="2"/>
  <c r="AJ238" i="2"/>
  <c r="AK238" i="2" s="1"/>
  <c r="AH238" i="2"/>
  <c r="AE238" i="2"/>
  <c r="AF238" i="2" s="1"/>
  <c r="AC238" i="2"/>
  <c r="Z238" i="2"/>
  <c r="AA238" i="2" s="1"/>
  <c r="T238" i="2" s="1"/>
  <c r="X238" i="2"/>
  <c r="Z237" i="2"/>
  <c r="AA237" i="2" s="1"/>
  <c r="T237" i="2" s="1"/>
  <c r="X237" i="2"/>
  <c r="AE236" i="2"/>
  <c r="AF236" i="2" s="1"/>
  <c r="AC236" i="2"/>
  <c r="Z236" i="2"/>
  <c r="AA236" i="2" s="1"/>
  <c r="T236" i="2" s="1"/>
  <c r="X236" i="2"/>
  <c r="AJ235" i="2"/>
  <c r="AK235" i="2" s="1"/>
  <c r="AH235" i="2"/>
  <c r="Z235" i="2"/>
  <c r="AA235" i="2" s="1"/>
  <c r="T235" i="2" s="1"/>
  <c r="X235" i="2"/>
  <c r="AE234" i="2"/>
  <c r="AF234" i="2" s="1"/>
  <c r="AC234" i="2"/>
  <c r="Z234" i="2"/>
  <c r="AA234" i="2" s="1"/>
  <c r="T234" i="2" s="1"/>
  <c r="X234" i="2"/>
  <c r="AJ233" i="2"/>
  <c r="AK233" i="2" s="1"/>
  <c r="AH233" i="2"/>
  <c r="Z233" i="2"/>
  <c r="AA233" i="2" s="1"/>
  <c r="T233" i="2" s="1"/>
  <c r="X233" i="2"/>
  <c r="Z232" i="2"/>
  <c r="AA232" i="2" s="1"/>
  <c r="T232" i="2" s="1"/>
  <c r="X232" i="2"/>
  <c r="AE231" i="2"/>
  <c r="AF231" i="2" s="1"/>
  <c r="AC231" i="2"/>
  <c r="Z231" i="2"/>
  <c r="AA231" i="2" s="1"/>
  <c r="T231" i="2" s="1"/>
  <c r="X231" i="2"/>
  <c r="AJ230" i="2"/>
  <c r="AK230" i="2" s="1"/>
  <c r="AH230" i="2"/>
  <c r="Z230" i="2"/>
  <c r="AA230" i="2" s="1"/>
  <c r="T230" i="2" s="1"/>
  <c r="X230" i="2"/>
  <c r="AJ229" i="2"/>
  <c r="AK229" i="2" s="1"/>
  <c r="AH229" i="2"/>
  <c r="AE229" i="2"/>
  <c r="AF229" i="2" s="1"/>
  <c r="AC229" i="2"/>
  <c r="Z229" i="2"/>
  <c r="AA229" i="2" s="1"/>
  <c r="T229" i="2" s="1"/>
  <c r="X229" i="2"/>
  <c r="Z228" i="2"/>
  <c r="AA228" i="2" s="1"/>
  <c r="T228" i="2" s="1"/>
  <c r="X228" i="2"/>
  <c r="Z227" i="2"/>
  <c r="AA227" i="2" s="1"/>
  <c r="T227" i="2" s="1"/>
  <c r="X227" i="2"/>
  <c r="AE226" i="2"/>
  <c r="AF226" i="2" s="1"/>
  <c r="AC226" i="2"/>
  <c r="Z226" i="2"/>
  <c r="AA226" i="2" s="1"/>
  <c r="T226" i="2" s="1"/>
  <c r="X226" i="2"/>
  <c r="Z225" i="2"/>
  <c r="AA225" i="2" s="1"/>
  <c r="T225" i="2" s="1"/>
  <c r="X225" i="2"/>
  <c r="AE224" i="2"/>
  <c r="AF224" i="2" s="1"/>
  <c r="AC224" i="2"/>
  <c r="Z224" i="2"/>
  <c r="AA224" i="2" s="1"/>
  <c r="T224" i="2" s="1"/>
  <c r="X224" i="2"/>
  <c r="Z223" i="2"/>
  <c r="AA223" i="2" s="1"/>
  <c r="T223" i="2" s="1"/>
  <c r="X223" i="2"/>
  <c r="AE222" i="2"/>
  <c r="AF222" i="2" s="1"/>
  <c r="AC222" i="2"/>
  <c r="Z222" i="2"/>
  <c r="AA222" i="2" s="1"/>
  <c r="T222" i="2" s="1"/>
  <c r="X222" i="2"/>
  <c r="AE221" i="2"/>
  <c r="AF221" i="2" s="1"/>
  <c r="AC221" i="2"/>
  <c r="Z221" i="2"/>
  <c r="AA221" i="2" s="1"/>
  <c r="T221" i="2" s="1"/>
  <c r="X221" i="2"/>
  <c r="AE220" i="2"/>
  <c r="AF220" i="2" s="1"/>
  <c r="AC220" i="2"/>
  <c r="Z220" i="2"/>
  <c r="AA220" i="2" s="1"/>
  <c r="T220" i="2" s="1"/>
  <c r="X220" i="2"/>
  <c r="AE219" i="2"/>
  <c r="AF219" i="2" s="1"/>
  <c r="AC219" i="2"/>
  <c r="Z219" i="2"/>
  <c r="AA219" i="2" s="1"/>
  <c r="T219" i="2" s="1"/>
  <c r="X219" i="2"/>
  <c r="AE218" i="2"/>
  <c r="AF218" i="2" s="1"/>
  <c r="AC218" i="2"/>
  <c r="Z218" i="2"/>
  <c r="AA218" i="2" s="1"/>
  <c r="T218" i="2" s="1"/>
  <c r="X218" i="2"/>
  <c r="AE217" i="2"/>
  <c r="AF217" i="2" s="1"/>
  <c r="AC217" i="2"/>
  <c r="Z217" i="2"/>
  <c r="AA217" i="2" s="1"/>
  <c r="T217" i="2" s="1"/>
  <c r="X217" i="2"/>
  <c r="Z216" i="2"/>
  <c r="AA216" i="2" s="1"/>
  <c r="T216" i="2" s="1"/>
  <c r="X216" i="2"/>
  <c r="AE215" i="2"/>
  <c r="AF215" i="2" s="1"/>
  <c r="AC215" i="2"/>
  <c r="Z215" i="2"/>
  <c r="AA215" i="2" s="1"/>
  <c r="T215" i="2" s="1"/>
  <c r="X215" i="2"/>
  <c r="AE214" i="2"/>
  <c r="AF214" i="2" s="1"/>
  <c r="AC214" i="2"/>
  <c r="Z214" i="2"/>
  <c r="AA214" i="2" s="1"/>
  <c r="T214" i="2" s="1"/>
  <c r="X214" i="2"/>
  <c r="AE213" i="2"/>
  <c r="AF213" i="2" s="1"/>
  <c r="AC213" i="2"/>
  <c r="Z213" i="2"/>
  <c r="AA213" i="2" s="1"/>
  <c r="T213" i="2" s="1"/>
  <c r="X213" i="2"/>
  <c r="AE212" i="2"/>
  <c r="AF212" i="2" s="1"/>
  <c r="AC212" i="2"/>
  <c r="Z212" i="2"/>
  <c r="AA212" i="2" s="1"/>
  <c r="T212" i="2" s="1"/>
  <c r="X212" i="2"/>
  <c r="AE211" i="2"/>
  <c r="AF211" i="2" s="1"/>
  <c r="AC211" i="2"/>
  <c r="Z211" i="2"/>
  <c r="AA211" i="2" s="1"/>
  <c r="T211" i="2" s="1"/>
  <c r="X211" i="2"/>
  <c r="Z210" i="2"/>
  <c r="AA210" i="2" s="1"/>
  <c r="T210" i="2" s="1"/>
  <c r="X210" i="2"/>
  <c r="AE209" i="2"/>
  <c r="AF209" i="2" s="1"/>
  <c r="AC209" i="2"/>
  <c r="Z209" i="2"/>
  <c r="AA209" i="2" s="1"/>
  <c r="T209" i="2" s="1"/>
  <c r="X209" i="2"/>
  <c r="Z208" i="2"/>
  <c r="AA208" i="2" s="1"/>
  <c r="T208" i="2" s="1"/>
  <c r="X208" i="2"/>
  <c r="AE207" i="2"/>
  <c r="AF207" i="2" s="1"/>
  <c r="AC207" i="2"/>
  <c r="Z207" i="2"/>
  <c r="AA207" i="2" s="1"/>
  <c r="T207" i="2" s="1"/>
  <c r="X207" i="2"/>
  <c r="Z206" i="2"/>
  <c r="AA206" i="2" s="1"/>
  <c r="T206" i="2" s="1"/>
  <c r="X206" i="2"/>
  <c r="AE205" i="2"/>
  <c r="AF205" i="2" s="1"/>
  <c r="AC205" i="2"/>
  <c r="Z205" i="2"/>
  <c r="AA205" i="2" s="1"/>
  <c r="T205" i="2" s="1"/>
  <c r="X205" i="2"/>
  <c r="AE204" i="2"/>
  <c r="AF204" i="2" s="1"/>
  <c r="AC204" i="2"/>
  <c r="Z204" i="2"/>
  <c r="AA204" i="2" s="1"/>
  <c r="T204" i="2" s="1"/>
  <c r="X204" i="2"/>
  <c r="Z203" i="2"/>
  <c r="AA203" i="2" s="1"/>
  <c r="T203" i="2" s="1"/>
  <c r="X203" i="2"/>
  <c r="AE202" i="2"/>
  <c r="AF202" i="2" s="1"/>
  <c r="AC202" i="2"/>
  <c r="Z202" i="2"/>
  <c r="AA202" i="2" s="1"/>
  <c r="T202" i="2" s="1"/>
  <c r="X202" i="2"/>
  <c r="Z201" i="2"/>
  <c r="AA201" i="2" s="1"/>
  <c r="T201" i="2" s="1"/>
  <c r="X201" i="2"/>
  <c r="AE200" i="2"/>
  <c r="AF200" i="2" s="1"/>
  <c r="AC200" i="2"/>
  <c r="Z200" i="2"/>
  <c r="AA200" i="2" s="1"/>
  <c r="T200" i="2" s="1"/>
  <c r="X200" i="2"/>
  <c r="AE199" i="2"/>
  <c r="AF199" i="2" s="1"/>
  <c r="AC199" i="2"/>
  <c r="Z199" i="2"/>
  <c r="AA199" i="2" s="1"/>
  <c r="T199" i="2" s="1"/>
  <c r="X199" i="2"/>
  <c r="AE198" i="2"/>
  <c r="AF198" i="2" s="1"/>
  <c r="AC198" i="2"/>
  <c r="Z198" i="2"/>
  <c r="AA198" i="2" s="1"/>
  <c r="T198" i="2" s="1"/>
  <c r="X198" i="2"/>
  <c r="AE197" i="2"/>
  <c r="AF197" i="2" s="1"/>
  <c r="AC197" i="2"/>
  <c r="Z197" i="2"/>
  <c r="AA197" i="2" s="1"/>
  <c r="T197" i="2" s="1"/>
  <c r="X197" i="2"/>
  <c r="Z196" i="2"/>
  <c r="AA196" i="2" s="1"/>
  <c r="T196" i="2" s="1"/>
  <c r="X196" i="2"/>
  <c r="Z195" i="2"/>
  <c r="AA195" i="2" s="1"/>
  <c r="T195" i="2" s="1"/>
  <c r="X195" i="2"/>
  <c r="AE194" i="2"/>
  <c r="AF194" i="2" s="1"/>
  <c r="AC194" i="2"/>
  <c r="Z194" i="2"/>
  <c r="AA194" i="2" s="1"/>
  <c r="T194" i="2" s="1"/>
  <c r="X194" i="2"/>
  <c r="AE193" i="2"/>
  <c r="AF193" i="2" s="1"/>
  <c r="AC193" i="2"/>
  <c r="Z193" i="2"/>
  <c r="AA193" i="2" s="1"/>
  <c r="T193" i="2" s="1"/>
  <c r="X193" i="2"/>
  <c r="AE192" i="2"/>
  <c r="AF192" i="2" s="1"/>
  <c r="AC192" i="2"/>
  <c r="Z192" i="2"/>
  <c r="AA192" i="2" s="1"/>
  <c r="T192" i="2" s="1"/>
  <c r="X192" i="2"/>
  <c r="Z191" i="2"/>
  <c r="AA191" i="2" s="1"/>
  <c r="T191" i="2" s="1"/>
  <c r="X191" i="2"/>
  <c r="AE190" i="2"/>
  <c r="AF190" i="2" s="1"/>
  <c r="AC190" i="2"/>
  <c r="Z190" i="2"/>
  <c r="AA190" i="2" s="1"/>
  <c r="T190" i="2" s="1"/>
  <c r="X190" i="2"/>
  <c r="AE189" i="2"/>
  <c r="AF189" i="2" s="1"/>
  <c r="AC189" i="2"/>
  <c r="Z189" i="2"/>
  <c r="AA189" i="2" s="1"/>
  <c r="T189" i="2" s="1"/>
  <c r="X189" i="2"/>
  <c r="AE188" i="2"/>
  <c r="AF188" i="2" s="1"/>
  <c r="AC188" i="2"/>
  <c r="Z188" i="2"/>
  <c r="AA188" i="2" s="1"/>
  <c r="T188" i="2" s="1"/>
  <c r="X188" i="2"/>
  <c r="AE187" i="2"/>
  <c r="AF187" i="2" s="1"/>
  <c r="AC187" i="2"/>
  <c r="Z187" i="2"/>
  <c r="AA187" i="2" s="1"/>
  <c r="T187" i="2" s="1"/>
  <c r="X187" i="2"/>
  <c r="Z186" i="2"/>
  <c r="AA186" i="2" s="1"/>
  <c r="T186" i="2" s="1"/>
  <c r="X186" i="2"/>
  <c r="Z185" i="2"/>
  <c r="AA185" i="2" s="1"/>
  <c r="T185" i="2" s="1"/>
  <c r="X185" i="2"/>
  <c r="AE184" i="2"/>
  <c r="AF184" i="2" s="1"/>
  <c r="AC184" i="2"/>
  <c r="Z184" i="2"/>
  <c r="AA184" i="2" s="1"/>
  <c r="T184" i="2" s="1"/>
  <c r="X184" i="2"/>
  <c r="Z183" i="2"/>
  <c r="AA183" i="2" s="1"/>
  <c r="T183" i="2" s="1"/>
  <c r="X183" i="2"/>
  <c r="Z182" i="2"/>
  <c r="AA182" i="2" s="1"/>
  <c r="T182" i="2" s="1"/>
  <c r="X182" i="2"/>
  <c r="AE181" i="2"/>
  <c r="AF181" i="2" s="1"/>
  <c r="AC181" i="2"/>
  <c r="Z181" i="2"/>
  <c r="AA181" i="2" s="1"/>
  <c r="T181" i="2" s="1"/>
  <c r="X181" i="2"/>
  <c r="Z180" i="2"/>
  <c r="AA180" i="2" s="1"/>
  <c r="T180" i="2" s="1"/>
  <c r="X180" i="2"/>
  <c r="AE179" i="2"/>
  <c r="AF179" i="2" s="1"/>
  <c r="AC179" i="2"/>
  <c r="Z179" i="2"/>
  <c r="AA179" i="2" s="1"/>
  <c r="T179" i="2" s="1"/>
  <c r="X179" i="2"/>
  <c r="Z178" i="2"/>
  <c r="AA178" i="2" s="1"/>
  <c r="T178" i="2" s="1"/>
  <c r="X178" i="2"/>
  <c r="Z177" i="2"/>
  <c r="AA177" i="2" s="1"/>
  <c r="T177" i="2" s="1"/>
  <c r="X177" i="2"/>
  <c r="AE176" i="2"/>
  <c r="AF176" i="2" s="1"/>
  <c r="AC176" i="2"/>
  <c r="Z176" i="2"/>
  <c r="AA176" i="2" s="1"/>
  <c r="T176" i="2" s="1"/>
  <c r="X176" i="2"/>
  <c r="AE175" i="2"/>
  <c r="AF175" i="2" s="1"/>
  <c r="AC175" i="2"/>
  <c r="Z175" i="2"/>
  <c r="AA175" i="2" s="1"/>
  <c r="T175" i="2" s="1"/>
  <c r="X175" i="2"/>
  <c r="AE174" i="2"/>
  <c r="AF174" i="2" s="1"/>
  <c r="AC174" i="2"/>
  <c r="Z174" i="2"/>
  <c r="AA174" i="2" s="1"/>
  <c r="T174" i="2" s="1"/>
  <c r="X174" i="2"/>
  <c r="AE173" i="2"/>
  <c r="AF173" i="2" s="1"/>
  <c r="AC173" i="2"/>
  <c r="Z173" i="2"/>
  <c r="AA173" i="2" s="1"/>
  <c r="T173" i="2" s="1"/>
  <c r="X173" i="2"/>
  <c r="AE172" i="2"/>
  <c r="AF172" i="2" s="1"/>
  <c r="AC172" i="2"/>
  <c r="Z172" i="2"/>
  <c r="AA172" i="2" s="1"/>
  <c r="T172" i="2" s="1"/>
  <c r="X172" i="2"/>
  <c r="Z171" i="2"/>
  <c r="AA171" i="2" s="1"/>
  <c r="T171" i="2" s="1"/>
  <c r="X171" i="2"/>
  <c r="AE170" i="2"/>
  <c r="AF170" i="2" s="1"/>
  <c r="AC170" i="2"/>
  <c r="Z170" i="2"/>
  <c r="AA170" i="2" s="1"/>
  <c r="T170" i="2" s="1"/>
  <c r="X170" i="2"/>
  <c r="Z169" i="2"/>
  <c r="AA169" i="2" s="1"/>
  <c r="T169" i="2" s="1"/>
  <c r="X169" i="2"/>
  <c r="AE168" i="2"/>
  <c r="AF168" i="2" s="1"/>
  <c r="AC168" i="2"/>
  <c r="Z168" i="2"/>
  <c r="AA168" i="2" s="1"/>
  <c r="T168" i="2" s="1"/>
  <c r="X168" i="2"/>
  <c r="AE167" i="2"/>
  <c r="AF167" i="2" s="1"/>
  <c r="AC167" i="2"/>
  <c r="Z167" i="2"/>
  <c r="AA167" i="2" s="1"/>
  <c r="T167" i="2" s="1"/>
  <c r="X167" i="2"/>
  <c r="AE166" i="2"/>
  <c r="AF166" i="2" s="1"/>
  <c r="AC166" i="2"/>
  <c r="Z166" i="2"/>
  <c r="AA166" i="2" s="1"/>
  <c r="T166" i="2" s="1"/>
  <c r="X166" i="2"/>
  <c r="AE165" i="2"/>
  <c r="AF165" i="2" s="1"/>
  <c r="AC165" i="2"/>
  <c r="Z165" i="2"/>
  <c r="AA165" i="2" s="1"/>
  <c r="T165" i="2" s="1"/>
  <c r="X165" i="2"/>
  <c r="AE164" i="2"/>
  <c r="AF164" i="2" s="1"/>
  <c r="AC164" i="2"/>
  <c r="Z164" i="2"/>
  <c r="AA164" i="2" s="1"/>
  <c r="T164" i="2" s="1"/>
  <c r="X164" i="2"/>
  <c r="AE163" i="2"/>
  <c r="AF163" i="2" s="1"/>
  <c r="AC163" i="2"/>
  <c r="Z163" i="2"/>
  <c r="AA163" i="2" s="1"/>
  <c r="T163" i="2" s="1"/>
  <c r="X163" i="2"/>
  <c r="Z162" i="2"/>
  <c r="AA162" i="2" s="1"/>
  <c r="T162" i="2" s="1"/>
  <c r="X162" i="2"/>
  <c r="Z161" i="2"/>
  <c r="AA161" i="2" s="1"/>
  <c r="T161" i="2" s="1"/>
  <c r="X161" i="2"/>
  <c r="AE160" i="2"/>
  <c r="AF160" i="2" s="1"/>
  <c r="AC160" i="2"/>
  <c r="Z160" i="2"/>
  <c r="AA160" i="2" s="1"/>
  <c r="T160" i="2" s="1"/>
  <c r="X160" i="2"/>
  <c r="Z159" i="2"/>
  <c r="AA159" i="2" s="1"/>
  <c r="T159" i="2" s="1"/>
  <c r="X159" i="2"/>
  <c r="AE158" i="2"/>
  <c r="AF158" i="2" s="1"/>
  <c r="AC158" i="2"/>
  <c r="Z158" i="2"/>
  <c r="AA158" i="2" s="1"/>
  <c r="T158" i="2" s="1"/>
  <c r="X158" i="2"/>
  <c r="AE157" i="2"/>
  <c r="AF157" i="2" s="1"/>
  <c r="AC157" i="2"/>
  <c r="Z157" i="2"/>
  <c r="AA157" i="2" s="1"/>
  <c r="T157" i="2" s="1"/>
  <c r="X157" i="2"/>
  <c r="AE156" i="2"/>
  <c r="AF156" i="2" s="1"/>
  <c r="AC156" i="2"/>
  <c r="Z156" i="2"/>
  <c r="AA156" i="2" s="1"/>
  <c r="T156" i="2" s="1"/>
  <c r="X156" i="2"/>
  <c r="AE155" i="2"/>
  <c r="AF155" i="2" s="1"/>
  <c r="AC155" i="2"/>
  <c r="Z155" i="2"/>
  <c r="AA155" i="2" s="1"/>
  <c r="T155" i="2" s="1"/>
  <c r="X155" i="2"/>
  <c r="AE154" i="2"/>
  <c r="AF154" i="2" s="1"/>
  <c r="AC154" i="2"/>
  <c r="Z154" i="2"/>
  <c r="AA154" i="2" s="1"/>
  <c r="T154" i="2" s="1"/>
  <c r="X154" i="2"/>
  <c r="AE153" i="2"/>
  <c r="AF153" i="2" s="1"/>
  <c r="AC153" i="2"/>
  <c r="Z153" i="2"/>
  <c r="AA153" i="2" s="1"/>
  <c r="T153" i="2" s="1"/>
  <c r="X153" i="2"/>
  <c r="AE152" i="2"/>
  <c r="AF152" i="2" s="1"/>
  <c r="AC152" i="2"/>
  <c r="Z152" i="2"/>
  <c r="AA152" i="2" s="1"/>
  <c r="T152" i="2" s="1"/>
  <c r="X152" i="2"/>
  <c r="AE151" i="2"/>
  <c r="AF151" i="2" s="1"/>
  <c r="AC151" i="2"/>
  <c r="Z151" i="2"/>
  <c r="AA151" i="2" s="1"/>
  <c r="T151" i="2" s="1"/>
  <c r="X151" i="2"/>
  <c r="AE150" i="2"/>
  <c r="AF150" i="2" s="1"/>
  <c r="AC150" i="2"/>
  <c r="Z150" i="2"/>
  <c r="AA150" i="2" s="1"/>
  <c r="T150" i="2" s="1"/>
  <c r="X150" i="2"/>
  <c r="Z149" i="2"/>
  <c r="AA149" i="2" s="1"/>
  <c r="T149" i="2" s="1"/>
  <c r="X149" i="2"/>
  <c r="AE148" i="2"/>
  <c r="AF148" i="2" s="1"/>
  <c r="AC148" i="2"/>
  <c r="Z148" i="2"/>
  <c r="AA148" i="2" s="1"/>
  <c r="T148" i="2" s="1"/>
  <c r="X148" i="2"/>
  <c r="AE147" i="2"/>
  <c r="AF147" i="2" s="1"/>
  <c r="AC147" i="2"/>
  <c r="Z147" i="2"/>
  <c r="AA147" i="2" s="1"/>
  <c r="T147" i="2" s="1"/>
  <c r="X147" i="2"/>
  <c r="AE146" i="2"/>
  <c r="AF146" i="2" s="1"/>
  <c r="AC146" i="2"/>
  <c r="Z146" i="2"/>
  <c r="AA146" i="2" s="1"/>
  <c r="T146" i="2" s="1"/>
  <c r="X146" i="2"/>
  <c r="AE145" i="2"/>
  <c r="AF145" i="2" s="1"/>
  <c r="AC145" i="2"/>
  <c r="Z145" i="2"/>
  <c r="AA145" i="2" s="1"/>
  <c r="T145" i="2" s="1"/>
  <c r="X145" i="2"/>
  <c r="AE144" i="2"/>
  <c r="AF144" i="2" s="1"/>
  <c r="AC144" i="2"/>
  <c r="Z144" i="2"/>
  <c r="AA144" i="2" s="1"/>
  <c r="T144" i="2" s="1"/>
  <c r="X144" i="2"/>
  <c r="Z143" i="2"/>
  <c r="AA143" i="2" s="1"/>
  <c r="T143" i="2" s="1"/>
  <c r="X143" i="2"/>
  <c r="AE142" i="2"/>
  <c r="AF142" i="2" s="1"/>
  <c r="AC142" i="2"/>
  <c r="Z142" i="2"/>
  <c r="AA142" i="2" s="1"/>
  <c r="T142" i="2" s="1"/>
  <c r="X142" i="2"/>
  <c r="AE141" i="2"/>
  <c r="AF141" i="2" s="1"/>
  <c r="AC141" i="2"/>
  <c r="Z141" i="2"/>
  <c r="AA141" i="2" s="1"/>
  <c r="T141" i="2" s="1"/>
  <c r="X141" i="2"/>
  <c r="Z140" i="2"/>
  <c r="AA140" i="2" s="1"/>
  <c r="T140" i="2" s="1"/>
  <c r="X140" i="2"/>
  <c r="AE139" i="2"/>
  <c r="AF139" i="2" s="1"/>
  <c r="AC139" i="2"/>
  <c r="Z139" i="2"/>
  <c r="AA139" i="2" s="1"/>
  <c r="T139" i="2" s="1"/>
  <c r="X139" i="2"/>
  <c r="Z138" i="2"/>
  <c r="AA138" i="2" s="1"/>
  <c r="T138" i="2" s="1"/>
  <c r="X138" i="2"/>
  <c r="Z137" i="2"/>
  <c r="AA137" i="2" s="1"/>
  <c r="T137" i="2" s="1"/>
  <c r="X137" i="2"/>
  <c r="AE136" i="2"/>
  <c r="AF136" i="2" s="1"/>
  <c r="AC136" i="2"/>
  <c r="Z136" i="2"/>
  <c r="AA136" i="2" s="1"/>
  <c r="T136" i="2" s="1"/>
  <c r="X136" i="2"/>
  <c r="Z135" i="2"/>
  <c r="AA135" i="2" s="1"/>
  <c r="T135" i="2" s="1"/>
  <c r="X135" i="2"/>
  <c r="AE134" i="2"/>
  <c r="AF134" i="2" s="1"/>
  <c r="AC134" i="2"/>
  <c r="Z134" i="2"/>
  <c r="AA134" i="2" s="1"/>
  <c r="T134" i="2" s="1"/>
  <c r="X134" i="2"/>
  <c r="Z133" i="2"/>
  <c r="AA133" i="2" s="1"/>
  <c r="T133" i="2" s="1"/>
  <c r="X133" i="2"/>
  <c r="AE132" i="2"/>
  <c r="AF132" i="2" s="1"/>
  <c r="AC132" i="2"/>
  <c r="Z132" i="2"/>
  <c r="AA132" i="2" s="1"/>
  <c r="T132" i="2" s="1"/>
  <c r="X132" i="2"/>
  <c r="AE131" i="2"/>
  <c r="AF131" i="2" s="1"/>
  <c r="AC131" i="2"/>
  <c r="Z131" i="2"/>
  <c r="AA131" i="2" s="1"/>
  <c r="T131" i="2" s="1"/>
  <c r="X131" i="2"/>
  <c r="AE130" i="2"/>
  <c r="AF130" i="2" s="1"/>
  <c r="AC130" i="2"/>
  <c r="Z130" i="2"/>
  <c r="AA130" i="2" s="1"/>
  <c r="T130" i="2" s="1"/>
  <c r="X130" i="2"/>
  <c r="Z129" i="2"/>
  <c r="AA129" i="2" s="1"/>
  <c r="T129" i="2" s="1"/>
  <c r="X129" i="2"/>
  <c r="AE128" i="2"/>
  <c r="AF128" i="2" s="1"/>
  <c r="AC128" i="2"/>
  <c r="Z128" i="2"/>
  <c r="AA128" i="2" s="1"/>
  <c r="T128" i="2" s="1"/>
  <c r="X128" i="2"/>
  <c r="Z127" i="2"/>
  <c r="AA127" i="2" s="1"/>
  <c r="T127" i="2" s="1"/>
  <c r="X127" i="2"/>
  <c r="AE126" i="2"/>
  <c r="AF126" i="2" s="1"/>
  <c r="AC126" i="2"/>
  <c r="Z126" i="2"/>
  <c r="AA126" i="2" s="1"/>
  <c r="T126" i="2" s="1"/>
  <c r="X126" i="2"/>
  <c r="Z125" i="2"/>
  <c r="AA125" i="2" s="1"/>
  <c r="T125" i="2" s="1"/>
  <c r="X125" i="2"/>
  <c r="AE124" i="2"/>
  <c r="AF124" i="2" s="1"/>
  <c r="AC124" i="2"/>
  <c r="Z124" i="2"/>
  <c r="AA124" i="2" s="1"/>
  <c r="T124" i="2" s="1"/>
  <c r="X124" i="2"/>
  <c r="Z123" i="2"/>
  <c r="AA123" i="2" s="1"/>
  <c r="T123" i="2" s="1"/>
  <c r="X123" i="2"/>
  <c r="AE122" i="2"/>
  <c r="AF122" i="2" s="1"/>
  <c r="AC122" i="2"/>
  <c r="Z122" i="2"/>
  <c r="AA122" i="2" s="1"/>
  <c r="T122" i="2" s="1"/>
  <c r="X122" i="2"/>
  <c r="AE121" i="2"/>
  <c r="AF121" i="2" s="1"/>
  <c r="AC121" i="2"/>
  <c r="Z121" i="2"/>
  <c r="AA121" i="2" s="1"/>
  <c r="T121" i="2" s="1"/>
  <c r="X121" i="2"/>
  <c r="AE120" i="2"/>
  <c r="AF120" i="2" s="1"/>
  <c r="AC120" i="2"/>
  <c r="Z120" i="2"/>
  <c r="AA120" i="2" s="1"/>
  <c r="T120" i="2" s="1"/>
  <c r="X120" i="2"/>
  <c r="AE119" i="2"/>
  <c r="AF119" i="2" s="1"/>
  <c r="AC119" i="2"/>
  <c r="Z119" i="2"/>
  <c r="AA119" i="2" s="1"/>
  <c r="T119" i="2" s="1"/>
  <c r="X119" i="2"/>
  <c r="AE118" i="2"/>
  <c r="AF118" i="2" s="1"/>
  <c r="AC118" i="2"/>
  <c r="Z118" i="2"/>
  <c r="AA118" i="2" s="1"/>
  <c r="T118" i="2" s="1"/>
  <c r="X118" i="2"/>
  <c r="AE117" i="2"/>
  <c r="AF117" i="2" s="1"/>
  <c r="AC117" i="2"/>
  <c r="Z117" i="2"/>
  <c r="AA117" i="2" s="1"/>
  <c r="T117" i="2" s="1"/>
  <c r="X117" i="2"/>
  <c r="Z116" i="2"/>
  <c r="AA116" i="2" s="1"/>
  <c r="T116" i="2" s="1"/>
  <c r="X116" i="2"/>
  <c r="AE115" i="2"/>
  <c r="AF115" i="2" s="1"/>
  <c r="AC115" i="2"/>
  <c r="Z115" i="2"/>
  <c r="AA115" i="2" s="1"/>
  <c r="T115" i="2" s="1"/>
  <c r="X115" i="2"/>
  <c r="Z114" i="2"/>
  <c r="AA114" i="2" s="1"/>
  <c r="T114" i="2" s="1"/>
  <c r="X114" i="2"/>
  <c r="AE113" i="2"/>
  <c r="AF113" i="2" s="1"/>
  <c r="AC113" i="2"/>
  <c r="Z113" i="2"/>
  <c r="AA113" i="2" s="1"/>
  <c r="T113" i="2" s="1"/>
  <c r="X113" i="2"/>
  <c r="AE112" i="2"/>
  <c r="AF112" i="2" s="1"/>
  <c r="AC112" i="2"/>
  <c r="Z112" i="2"/>
  <c r="AA112" i="2" s="1"/>
  <c r="T112" i="2" s="1"/>
  <c r="X112" i="2"/>
  <c r="AE111" i="2"/>
  <c r="AF111" i="2" s="1"/>
  <c r="AC111" i="2"/>
  <c r="Z111" i="2"/>
  <c r="AA111" i="2" s="1"/>
  <c r="T111" i="2" s="1"/>
  <c r="X111" i="2"/>
  <c r="AE110" i="2"/>
  <c r="AF110" i="2" s="1"/>
  <c r="AC110" i="2"/>
  <c r="Z110" i="2"/>
  <c r="AA110" i="2" s="1"/>
  <c r="T110" i="2" s="1"/>
  <c r="X110" i="2"/>
  <c r="AE109" i="2"/>
  <c r="AF109" i="2" s="1"/>
  <c r="AC109" i="2"/>
  <c r="Z109" i="2"/>
  <c r="AA109" i="2" s="1"/>
  <c r="T109" i="2" s="1"/>
  <c r="X109" i="2"/>
  <c r="AE108" i="2"/>
  <c r="AF108" i="2" s="1"/>
  <c r="AC108" i="2"/>
  <c r="Z108" i="2"/>
  <c r="AA108" i="2" s="1"/>
  <c r="T108" i="2" s="1"/>
  <c r="X108" i="2"/>
  <c r="AE107" i="2"/>
  <c r="AF107" i="2" s="1"/>
  <c r="AC107" i="2"/>
  <c r="Z107" i="2"/>
  <c r="AA107" i="2" s="1"/>
  <c r="T107" i="2" s="1"/>
  <c r="X107" i="2"/>
  <c r="Z106" i="2"/>
  <c r="AA106" i="2" s="1"/>
  <c r="T106" i="2" s="1"/>
  <c r="X106" i="2"/>
  <c r="AE105" i="2"/>
  <c r="AF105" i="2" s="1"/>
  <c r="AC105" i="2"/>
  <c r="Z105" i="2"/>
  <c r="AA105" i="2" s="1"/>
  <c r="T105" i="2" s="1"/>
  <c r="X105" i="2"/>
  <c r="Z104" i="2"/>
  <c r="AA104" i="2" s="1"/>
  <c r="T104" i="2" s="1"/>
  <c r="X104" i="2"/>
  <c r="AE103" i="2"/>
  <c r="AF103" i="2" s="1"/>
  <c r="AC103" i="2"/>
  <c r="Z103" i="2"/>
  <c r="AA103" i="2" s="1"/>
  <c r="T103" i="2" s="1"/>
  <c r="X103" i="2"/>
  <c r="Z102" i="2"/>
  <c r="AA102" i="2" s="1"/>
  <c r="T102" i="2" s="1"/>
  <c r="X102" i="2"/>
  <c r="AE101" i="2"/>
  <c r="AF101" i="2" s="1"/>
  <c r="AC101" i="2"/>
  <c r="Z101" i="2"/>
  <c r="AA101" i="2" s="1"/>
  <c r="T101" i="2" s="1"/>
  <c r="X101" i="2"/>
  <c r="AE100" i="2"/>
  <c r="AF100" i="2" s="1"/>
  <c r="AC100" i="2"/>
  <c r="Z100" i="2"/>
  <c r="AA100" i="2" s="1"/>
  <c r="T100" i="2" s="1"/>
  <c r="X100" i="2"/>
  <c r="AE99" i="2"/>
  <c r="AF99" i="2" s="1"/>
  <c r="AC99" i="2"/>
  <c r="Z99" i="2"/>
  <c r="AA99" i="2" s="1"/>
  <c r="T99" i="2" s="1"/>
  <c r="X99" i="2"/>
  <c r="AE98" i="2"/>
  <c r="AF98" i="2" s="1"/>
  <c r="AC98" i="2"/>
  <c r="Z98" i="2"/>
  <c r="AA98" i="2" s="1"/>
  <c r="T98" i="2" s="1"/>
  <c r="X98" i="2"/>
  <c r="AE97" i="2"/>
  <c r="AF97" i="2" s="1"/>
  <c r="AC97" i="2"/>
  <c r="Z97" i="2"/>
  <c r="AA97" i="2" s="1"/>
  <c r="T97" i="2" s="1"/>
  <c r="X97" i="2"/>
  <c r="AE96" i="2"/>
  <c r="AF96" i="2" s="1"/>
  <c r="AC96" i="2"/>
  <c r="Z96" i="2"/>
  <c r="AA96" i="2" s="1"/>
  <c r="T96" i="2" s="1"/>
  <c r="X96" i="2"/>
  <c r="AE95" i="2"/>
  <c r="AF95" i="2" s="1"/>
  <c r="AC95" i="2"/>
  <c r="Z95" i="2"/>
  <c r="AA95" i="2" s="1"/>
  <c r="T95" i="2" s="1"/>
  <c r="X95" i="2"/>
  <c r="Z94" i="2"/>
  <c r="AA94" i="2" s="1"/>
  <c r="T94" i="2" s="1"/>
  <c r="X94" i="2"/>
  <c r="AE93" i="2"/>
  <c r="AF93" i="2" s="1"/>
  <c r="AC93" i="2"/>
  <c r="Z93" i="2"/>
  <c r="AA93" i="2" s="1"/>
  <c r="T93" i="2" s="1"/>
  <c r="X93" i="2"/>
  <c r="AE92" i="2"/>
  <c r="AF92" i="2" s="1"/>
  <c r="AC92" i="2"/>
  <c r="Z92" i="2"/>
  <c r="AA92" i="2" s="1"/>
  <c r="T92" i="2" s="1"/>
  <c r="X92" i="2"/>
  <c r="AE91" i="2"/>
  <c r="AF91" i="2" s="1"/>
  <c r="AC91" i="2"/>
  <c r="Z91" i="2"/>
  <c r="AA91" i="2" s="1"/>
  <c r="T91" i="2" s="1"/>
  <c r="X91" i="2"/>
  <c r="AE90" i="2"/>
  <c r="AF90" i="2" s="1"/>
  <c r="AC90" i="2"/>
  <c r="Z90" i="2"/>
  <c r="AA90" i="2" s="1"/>
  <c r="T90" i="2" s="1"/>
  <c r="X90" i="2"/>
  <c r="AE89" i="2"/>
  <c r="AF89" i="2" s="1"/>
  <c r="AC89" i="2"/>
  <c r="Z89" i="2"/>
  <c r="AA89" i="2" s="1"/>
  <c r="T89" i="2" s="1"/>
  <c r="X89" i="2"/>
  <c r="AE88" i="2"/>
  <c r="AF88" i="2" s="1"/>
  <c r="AC88" i="2"/>
  <c r="Z88" i="2"/>
  <c r="AA88" i="2" s="1"/>
  <c r="T88" i="2" s="1"/>
  <c r="X88" i="2"/>
  <c r="Z87" i="2"/>
  <c r="AA87" i="2" s="1"/>
  <c r="T87" i="2" s="1"/>
  <c r="X87" i="2"/>
  <c r="AE86" i="2"/>
  <c r="AF86" i="2" s="1"/>
  <c r="AC86" i="2"/>
  <c r="Z86" i="2"/>
  <c r="AA86" i="2" s="1"/>
  <c r="T86" i="2" s="1"/>
  <c r="X86" i="2"/>
  <c r="Z85" i="2"/>
  <c r="AA85" i="2" s="1"/>
  <c r="T85" i="2" s="1"/>
  <c r="X85" i="2"/>
  <c r="AE84" i="2"/>
  <c r="AF84" i="2" s="1"/>
  <c r="AC84" i="2"/>
  <c r="Z84" i="2"/>
  <c r="AA84" i="2" s="1"/>
  <c r="T84" i="2" s="1"/>
  <c r="X84" i="2"/>
  <c r="AE83" i="2"/>
  <c r="AF83" i="2" s="1"/>
  <c r="AC83" i="2"/>
  <c r="Z83" i="2"/>
  <c r="AA83" i="2" s="1"/>
  <c r="T83" i="2" s="1"/>
  <c r="X83" i="2"/>
  <c r="AE82" i="2"/>
  <c r="AF82" i="2" s="1"/>
  <c r="AC82" i="2"/>
  <c r="Z82" i="2"/>
  <c r="AA82" i="2" s="1"/>
  <c r="T82" i="2" s="1"/>
  <c r="X82" i="2"/>
  <c r="AE81" i="2"/>
  <c r="AF81" i="2" s="1"/>
  <c r="AC81" i="2"/>
  <c r="Z81" i="2"/>
  <c r="AA81" i="2" s="1"/>
  <c r="T81" i="2" s="1"/>
  <c r="X81" i="2"/>
  <c r="B7" i="2"/>
  <c r="CC80" i="2"/>
  <c r="CD80" i="2" s="1"/>
  <c r="CA80" i="2"/>
  <c r="BX80" i="2"/>
  <c r="BY80" i="2" s="1"/>
  <c r="BV80" i="2"/>
  <c r="BS80" i="2"/>
  <c r="BT80" i="2" s="1"/>
  <c r="BQ80" i="2"/>
  <c r="BN80" i="2"/>
  <c r="BO80" i="2" s="1"/>
  <c r="BL80" i="2"/>
  <c r="BI80" i="2"/>
  <c r="BJ80" i="2" s="1"/>
  <c r="BG80" i="2"/>
  <c r="BD80" i="2"/>
  <c r="BE80" i="2" s="1"/>
  <c r="BB80" i="2"/>
  <c r="AY80" i="2"/>
  <c r="AZ80" i="2" s="1"/>
  <c r="AW80" i="2"/>
  <c r="AT80" i="2"/>
  <c r="AU80" i="2" s="1"/>
  <c r="AR80" i="2"/>
  <c r="AO80" i="2"/>
  <c r="AP80" i="2" s="1"/>
  <c r="AM80" i="2"/>
  <c r="AJ80" i="2"/>
  <c r="AK80" i="2" s="1"/>
  <c r="AH80" i="2"/>
  <c r="AE80" i="2"/>
  <c r="AF80" i="2" s="1"/>
  <c r="AC80" i="2"/>
  <c r="Z80" i="2"/>
  <c r="AA80" i="2" s="1"/>
  <c r="X80" i="2"/>
  <c r="S80" i="2"/>
  <c r="I80" i="2"/>
  <c r="A80" i="2"/>
  <c r="CC79" i="2"/>
  <c r="CD79" i="2" s="1"/>
  <c r="CA79" i="2"/>
  <c r="BX79" i="2"/>
  <c r="BY79" i="2" s="1"/>
  <c r="BV79" i="2"/>
  <c r="BS79" i="2"/>
  <c r="BT79" i="2" s="1"/>
  <c r="BQ79" i="2"/>
  <c r="BN79" i="2"/>
  <c r="BO79" i="2" s="1"/>
  <c r="BL79" i="2"/>
  <c r="BI79" i="2"/>
  <c r="BJ79" i="2" s="1"/>
  <c r="BG79" i="2"/>
  <c r="BD79" i="2"/>
  <c r="BE79" i="2" s="1"/>
  <c r="BB79" i="2"/>
  <c r="AY79" i="2"/>
  <c r="AZ79" i="2" s="1"/>
  <c r="AW79" i="2"/>
  <c r="AT79" i="2"/>
  <c r="AU79" i="2" s="1"/>
  <c r="AR79" i="2"/>
  <c r="AO79" i="2"/>
  <c r="AP79" i="2" s="1"/>
  <c r="AM79" i="2"/>
  <c r="AJ79" i="2"/>
  <c r="AK79" i="2" s="1"/>
  <c r="AH79" i="2"/>
  <c r="AE79" i="2"/>
  <c r="AF79" i="2" s="1"/>
  <c r="AC79" i="2"/>
  <c r="Z79" i="2"/>
  <c r="AA79" i="2" s="1"/>
  <c r="X79" i="2"/>
  <c r="S79" i="2"/>
  <c r="I79" i="2"/>
  <c r="A79" i="2"/>
  <c r="CC78" i="2"/>
  <c r="CD78" i="2" s="1"/>
  <c r="CA78" i="2"/>
  <c r="BX78" i="2"/>
  <c r="BY78" i="2" s="1"/>
  <c r="BV78" i="2"/>
  <c r="BS78" i="2"/>
  <c r="BT78" i="2" s="1"/>
  <c r="BQ78" i="2"/>
  <c r="BN78" i="2"/>
  <c r="BO78" i="2" s="1"/>
  <c r="BL78" i="2"/>
  <c r="BI78" i="2"/>
  <c r="BJ78" i="2" s="1"/>
  <c r="BG78" i="2"/>
  <c r="BD78" i="2"/>
  <c r="BE78" i="2" s="1"/>
  <c r="BB78" i="2"/>
  <c r="AY78" i="2"/>
  <c r="AZ78" i="2" s="1"/>
  <c r="AW78" i="2"/>
  <c r="AT78" i="2"/>
  <c r="AU78" i="2" s="1"/>
  <c r="AR78" i="2"/>
  <c r="AO78" i="2"/>
  <c r="AP78" i="2" s="1"/>
  <c r="AM78" i="2"/>
  <c r="AJ78" i="2"/>
  <c r="AK78" i="2" s="1"/>
  <c r="AH78" i="2"/>
  <c r="AE78" i="2"/>
  <c r="AF78" i="2" s="1"/>
  <c r="AC78" i="2"/>
  <c r="Z78" i="2"/>
  <c r="AA78" i="2" s="1"/>
  <c r="X78" i="2"/>
  <c r="S78" i="2"/>
  <c r="I78" i="2"/>
  <c r="A78" i="2"/>
  <c r="CC77" i="2"/>
  <c r="CD77" i="2" s="1"/>
  <c r="CA77" i="2"/>
  <c r="BX77" i="2"/>
  <c r="BY77" i="2" s="1"/>
  <c r="BV77" i="2"/>
  <c r="BS77" i="2"/>
  <c r="BT77" i="2" s="1"/>
  <c r="BQ77" i="2"/>
  <c r="BN77" i="2"/>
  <c r="BO77" i="2" s="1"/>
  <c r="BL77" i="2"/>
  <c r="BI77" i="2"/>
  <c r="BJ77" i="2" s="1"/>
  <c r="BG77" i="2"/>
  <c r="BD77" i="2"/>
  <c r="BE77" i="2" s="1"/>
  <c r="BB77" i="2"/>
  <c r="AY77" i="2"/>
  <c r="AZ77" i="2" s="1"/>
  <c r="AW77" i="2"/>
  <c r="AT77" i="2"/>
  <c r="AU77" i="2" s="1"/>
  <c r="AR77" i="2"/>
  <c r="AO77" i="2"/>
  <c r="AP77" i="2" s="1"/>
  <c r="AM77" i="2"/>
  <c r="AJ77" i="2"/>
  <c r="AK77" i="2" s="1"/>
  <c r="AH77" i="2"/>
  <c r="AE77" i="2"/>
  <c r="AF77" i="2" s="1"/>
  <c r="AC77" i="2"/>
  <c r="Z77" i="2"/>
  <c r="AA77" i="2" s="1"/>
  <c r="X77" i="2"/>
  <c r="S77" i="2"/>
  <c r="I77" i="2"/>
  <c r="A77" i="2"/>
  <c r="CC76" i="2"/>
  <c r="CD76" i="2" s="1"/>
  <c r="CA76" i="2"/>
  <c r="BX76" i="2"/>
  <c r="BY76" i="2" s="1"/>
  <c r="BV76" i="2"/>
  <c r="BS76" i="2"/>
  <c r="BT76" i="2" s="1"/>
  <c r="BQ76" i="2"/>
  <c r="BN76" i="2"/>
  <c r="BO76" i="2" s="1"/>
  <c r="BL76" i="2"/>
  <c r="BI76" i="2"/>
  <c r="BJ76" i="2" s="1"/>
  <c r="BG76" i="2"/>
  <c r="BD76" i="2"/>
  <c r="BE76" i="2" s="1"/>
  <c r="BB76" i="2"/>
  <c r="AY76" i="2"/>
  <c r="AZ76" i="2" s="1"/>
  <c r="AW76" i="2"/>
  <c r="AT76" i="2"/>
  <c r="AU76" i="2" s="1"/>
  <c r="AR76" i="2"/>
  <c r="AO76" i="2"/>
  <c r="AP76" i="2" s="1"/>
  <c r="AM76" i="2"/>
  <c r="AJ76" i="2"/>
  <c r="AK76" i="2" s="1"/>
  <c r="AH76" i="2"/>
  <c r="AE76" i="2"/>
  <c r="AF76" i="2" s="1"/>
  <c r="AC76" i="2"/>
  <c r="Z76" i="2"/>
  <c r="AA76" i="2" s="1"/>
  <c r="X76" i="2"/>
  <c r="S76" i="2"/>
  <c r="I76" i="2"/>
  <c r="A76" i="2"/>
  <c r="CC75" i="2"/>
  <c r="CD75" i="2" s="1"/>
  <c r="CA75" i="2"/>
  <c r="BX75" i="2"/>
  <c r="BY75" i="2" s="1"/>
  <c r="BV75" i="2"/>
  <c r="BS75" i="2"/>
  <c r="BT75" i="2" s="1"/>
  <c r="BQ75" i="2"/>
  <c r="BN75" i="2"/>
  <c r="BO75" i="2" s="1"/>
  <c r="BL75" i="2"/>
  <c r="BI75" i="2"/>
  <c r="BJ75" i="2" s="1"/>
  <c r="BG75" i="2"/>
  <c r="BD75" i="2"/>
  <c r="BE75" i="2" s="1"/>
  <c r="BB75" i="2"/>
  <c r="AY75" i="2"/>
  <c r="AZ75" i="2" s="1"/>
  <c r="AW75" i="2"/>
  <c r="AT75" i="2"/>
  <c r="AU75" i="2" s="1"/>
  <c r="AR75" i="2"/>
  <c r="AO75" i="2"/>
  <c r="AP75" i="2" s="1"/>
  <c r="AM75" i="2"/>
  <c r="AJ75" i="2"/>
  <c r="AK75" i="2" s="1"/>
  <c r="AH75" i="2"/>
  <c r="AE75" i="2"/>
  <c r="AF75" i="2" s="1"/>
  <c r="AC75" i="2"/>
  <c r="Z75" i="2"/>
  <c r="AA75" i="2" s="1"/>
  <c r="X75" i="2"/>
  <c r="S75" i="2"/>
  <c r="I75" i="2"/>
  <c r="A75" i="2"/>
  <c r="CC74" i="2"/>
  <c r="CD74" i="2" s="1"/>
  <c r="CA74" i="2"/>
  <c r="BX74" i="2"/>
  <c r="BY74" i="2" s="1"/>
  <c r="BV74" i="2"/>
  <c r="BS74" i="2"/>
  <c r="BT74" i="2" s="1"/>
  <c r="BQ74" i="2"/>
  <c r="BN74" i="2"/>
  <c r="BO74" i="2" s="1"/>
  <c r="BL74" i="2"/>
  <c r="BI74" i="2"/>
  <c r="BJ74" i="2" s="1"/>
  <c r="BG74" i="2"/>
  <c r="BD74" i="2"/>
  <c r="BE74" i="2" s="1"/>
  <c r="BB74" i="2"/>
  <c r="AY74" i="2"/>
  <c r="AZ74" i="2" s="1"/>
  <c r="AW74" i="2"/>
  <c r="AT74" i="2"/>
  <c r="AU74" i="2" s="1"/>
  <c r="AR74" i="2"/>
  <c r="AO74" i="2"/>
  <c r="AP74" i="2" s="1"/>
  <c r="AM74" i="2"/>
  <c r="AJ74" i="2"/>
  <c r="AK74" i="2" s="1"/>
  <c r="AH74" i="2"/>
  <c r="AE74" i="2"/>
  <c r="AF74" i="2" s="1"/>
  <c r="AC74" i="2"/>
  <c r="Z74" i="2"/>
  <c r="AA74" i="2" s="1"/>
  <c r="X74" i="2"/>
  <c r="S74" i="2"/>
  <c r="I74" i="2"/>
  <c r="A74" i="2"/>
  <c r="CC73" i="2"/>
  <c r="CD73" i="2" s="1"/>
  <c r="CA73" i="2"/>
  <c r="BX73" i="2"/>
  <c r="BY73" i="2" s="1"/>
  <c r="BV73" i="2"/>
  <c r="BS73" i="2"/>
  <c r="BT73" i="2" s="1"/>
  <c r="BQ73" i="2"/>
  <c r="BN73" i="2"/>
  <c r="BO73" i="2" s="1"/>
  <c r="BL73" i="2"/>
  <c r="BI73" i="2"/>
  <c r="BJ73" i="2" s="1"/>
  <c r="BG73" i="2"/>
  <c r="BD73" i="2"/>
  <c r="BE73" i="2" s="1"/>
  <c r="BB73" i="2"/>
  <c r="AY73" i="2"/>
  <c r="AZ73" i="2" s="1"/>
  <c r="AW73" i="2"/>
  <c r="AT73" i="2"/>
  <c r="AU73" i="2" s="1"/>
  <c r="AR73" i="2"/>
  <c r="AO73" i="2"/>
  <c r="AP73" i="2" s="1"/>
  <c r="AM73" i="2"/>
  <c r="AJ73" i="2"/>
  <c r="AK73" i="2" s="1"/>
  <c r="AH73" i="2"/>
  <c r="AE73" i="2"/>
  <c r="AF73" i="2" s="1"/>
  <c r="AC73" i="2"/>
  <c r="Z73" i="2"/>
  <c r="AA73" i="2" s="1"/>
  <c r="X73" i="2"/>
  <c r="S73" i="2"/>
  <c r="I73" i="2"/>
  <c r="A73" i="2"/>
  <c r="CC72" i="2"/>
  <c r="CD72" i="2" s="1"/>
  <c r="CA72" i="2"/>
  <c r="BX72" i="2"/>
  <c r="BY72" i="2" s="1"/>
  <c r="BV72" i="2"/>
  <c r="BS72" i="2"/>
  <c r="BT72" i="2" s="1"/>
  <c r="BQ72" i="2"/>
  <c r="BN72" i="2"/>
  <c r="BO72" i="2" s="1"/>
  <c r="BL72" i="2"/>
  <c r="BI72" i="2"/>
  <c r="BJ72" i="2" s="1"/>
  <c r="BG72" i="2"/>
  <c r="BD72" i="2"/>
  <c r="BE72" i="2" s="1"/>
  <c r="BB72" i="2"/>
  <c r="AY72" i="2"/>
  <c r="AZ72" i="2" s="1"/>
  <c r="AW72" i="2"/>
  <c r="AT72" i="2"/>
  <c r="AU72" i="2" s="1"/>
  <c r="AR72" i="2"/>
  <c r="AO72" i="2"/>
  <c r="AP72" i="2" s="1"/>
  <c r="AM72" i="2"/>
  <c r="AJ72" i="2"/>
  <c r="AK72" i="2" s="1"/>
  <c r="AH72" i="2"/>
  <c r="AE72" i="2"/>
  <c r="AF72" i="2" s="1"/>
  <c r="AC72" i="2"/>
  <c r="Z72" i="2"/>
  <c r="AA72" i="2" s="1"/>
  <c r="X72" i="2"/>
  <c r="S72" i="2"/>
  <c r="I72" i="2"/>
  <c r="A72" i="2"/>
  <c r="CC71" i="2"/>
  <c r="CD71" i="2" s="1"/>
  <c r="CA71" i="2"/>
  <c r="BX71" i="2"/>
  <c r="BY71" i="2" s="1"/>
  <c r="BV71" i="2"/>
  <c r="BS71" i="2"/>
  <c r="BT71" i="2" s="1"/>
  <c r="BQ71" i="2"/>
  <c r="BN71" i="2"/>
  <c r="BO71" i="2" s="1"/>
  <c r="BL71" i="2"/>
  <c r="BI71" i="2"/>
  <c r="BJ71" i="2" s="1"/>
  <c r="BG71" i="2"/>
  <c r="BD71" i="2"/>
  <c r="BE71" i="2" s="1"/>
  <c r="BB71" i="2"/>
  <c r="AY71" i="2"/>
  <c r="AZ71" i="2" s="1"/>
  <c r="AW71" i="2"/>
  <c r="AT71" i="2"/>
  <c r="AU71" i="2" s="1"/>
  <c r="AR71" i="2"/>
  <c r="AO71" i="2"/>
  <c r="AP71" i="2" s="1"/>
  <c r="AM71" i="2"/>
  <c r="AJ71" i="2"/>
  <c r="AK71" i="2" s="1"/>
  <c r="AH71" i="2"/>
  <c r="AE71" i="2"/>
  <c r="AF71" i="2" s="1"/>
  <c r="AC71" i="2"/>
  <c r="Z71" i="2"/>
  <c r="AA71" i="2" s="1"/>
  <c r="X71" i="2"/>
  <c r="S71" i="2"/>
  <c r="I71" i="2"/>
  <c r="A71" i="2"/>
  <c r="CC70" i="2"/>
  <c r="CD70" i="2" s="1"/>
  <c r="CA70" i="2"/>
  <c r="BX70" i="2"/>
  <c r="BY70" i="2" s="1"/>
  <c r="BV70" i="2"/>
  <c r="BS70" i="2"/>
  <c r="BT70" i="2" s="1"/>
  <c r="BQ70" i="2"/>
  <c r="BN70" i="2"/>
  <c r="BO70" i="2" s="1"/>
  <c r="BL70" i="2"/>
  <c r="BI70" i="2"/>
  <c r="BJ70" i="2" s="1"/>
  <c r="BG70" i="2"/>
  <c r="BD70" i="2"/>
  <c r="BE70" i="2" s="1"/>
  <c r="BB70" i="2"/>
  <c r="AY70" i="2"/>
  <c r="AZ70" i="2" s="1"/>
  <c r="AW70" i="2"/>
  <c r="AT70" i="2"/>
  <c r="AU70" i="2" s="1"/>
  <c r="AR70" i="2"/>
  <c r="AO70" i="2"/>
  <c r="AP70" i="2" s="1"/>
  <c r="AM70" i="2"/>
  <c r="AJ70" i="2"/>
  <c r="AK70" i="2" s="1"/>
  <c r="AH70" i="2"/>
  <c r="AE70" i="2"/>
  <c r="AF70" i="2" s="1"/>
  <c r="AC70" i="2"/>
  <c r="Z70" i="2"/>
  <c r="AA70" i="2" s="1"/>
  <c r="X70" i="2"/>
  <c r="S70" i="2"/>
  <c r="I70" i="2"/>
  <c r="A70" i="2"/>
  <c r="CC69" i="2"/>
  <c r="CD69" i="2" s="1"/>
  <c r="CA69" i="2"/>
  <c r="BX69" i="2"/>
  <c r="BY69" i="2" s="1"/>
  <c r="BV69" i="2"/>
  <c r="BS69" i="2"/>
  <c r="BT69" i="2" s="1"/>
  <c r="BQ69" i="2"/>
  <c r="BN69" i="2"/>
  <c r="BO69" i="2" s="1"/>
  <c r="BL69" i="2"/>
  <c r="BI69" i="2"/>
  <c r="BJ69" i="2" s="1"/>
  <c r="BG69" i="2"/>
  <c r="BD69" i="2"/>
  <c r="BE69" i="2" s="1"/>
  <c r="BB69" i="2"/>
  <c r="AY69" i="2"/>
  <c r="AZ69" i="2" s="1"/>
  <c r="AW69" i="2"/>
  <c r="AT69" i="2"/>
  <c r="AU69" i="2" s="1"/>
  <c r="AR69" i="2"/>
  <c r="AO69" i="2"/>
  <c r="AP69" i="2" s="1"/>
  <c r="AM69" i="2"/>
  <c r="AJ69" i="2"/>
  <c r="AK69" i="2" s="1"/>
  <c r="AH69" i="2"/>
  <c r="AE69" i="2"/>
  <c r="AF69" i="2" s="1"/>
  <c r="AC69" i="2"/>
  <c r="Z69" i="2"/>
  <c r="AA69" i="2" s="1"/>
  <c r="X69" i="2"/>
  <c r="S69" i="2"/>
  <c r="I69" i="2"/>
  <c r="A69" i="2"/>
  <c r="CC68" i="2"/>
  <c r="CD68" i="2" s="1"/>
  <c r="CA68" i="2"/>
  <c r="BX68" i="2"/>
  <c r="BY68" i="2" s="1"/>
  <c r="BV68" i="2"/>
  <c r="BS68" i="2"/>
  <c r="BT68" i="2" s="1"/>
  <c r="BQ68" i="2"/>
  <c r="BN68" i="2"/>
  <c r="BO68" i="2" s="1"/>
  <c r="BL68" i="2"/>
  <c r="BI68" i="2"/>
  <c r="BJ68" i="2" s="1"/>
  <c r="BG68" i="2"/>
  <c r="BD68" i="2"/>
  <c r="BE68" i="2" s="1"/>
  <c r="BB68" i="2"/>
  <c r="AY68" i="2"/>
  <c r="AZ68" i="2" s="1"/>
  <c r="AW68" i="2"/>
  <c r="AT68" i="2"/>
  <c r="AU68" i="2" s="1"/>
  <c r="AR68" i="2"/>
  <c r="AO68" i="2"/>
  <c r="AP68" i="2" s="1"/>
  <c r="AM68" i="2"/>
  <c r="AJ68" i="2"/>
  <c r="AK68" i="2" s="1"/>
  <c r="AH68" i="2"/>
  <c r="AE68" i="2"/>
  <c r="AF68" i="2" s="1"/>
  <c r="AC68" i="2"/>
  <c r="Z68" i="2"/>
  <c r="AA68" i="2" s="1"/>
  <c r="X68" i="2"/>
  <c r="S68" i="2"/>
  <c r="I68" i="2"/>
  <c r="A68" i="2"/>
  <c r="CC67" i="2"/>
  <c r="CD67" i="2" s="1"/>
  <c r="CA67" i="2"/>
  <c r="BX67" i="2"/>
  <c r="BY67" i="2" s="1"/>
  <c r="BV67" i="2"/>
  <c r="BS67" i="2"/>
  <c r="BT67" i="2" s="1"/>
  <c r="BQ67" i="2"/>
  <c r="BN67" i="2"/>
  <c r="BO67" i="2" s="1"/>
  <c r="BL67" i="2"/>
  <c r="BI67" i="2"/>
  <c r="BJ67" i="2" s="1"/>
  <c r="BG67" i="2"/>
  <c r="BD67" i="2"/>
  <c r="BE67" i="2" s="1"/>
  <c r="BB67" i="2"/>
  <c r="AY67" i="2"/>
  <c r="AZ67" i="2" s="1"/>
  <c r="AW67" i="2"/>
  <c r="AT67" i="2"/>
  <c r="AU67" i="2" s="1"/>
  <c r="AR67" i="2"/>
  <c r="AO67" i="2"/>
  <c r="AP67" i="2" s="1"/>
  <c r="AM67" i="2"/>
  <c r="AJ67" i="2"/>
  <c r="AK67" i="2" s="1"/>
  <c r="AH67" i="2"/>
  <c r="AE67" i="2"/>
  <c r="AF67" i="2" s="1"/>
  <c r="AC67" i="2"/>
  <c r="Z67" i="2"/>
  <c r="AA67" i="2" s="1"/>
  <c r="X67" i="2"/>
  <c r="S67" i="2"/>
  <c r="I67" i="2"/>
  <c r="A67" i="2"/>
  <c r="CC66" i="2"/>
  <c r="CD66" i="2" s="1"/>
  <c r="CA66" i="2"/>
  <c r="BX66" i="2"/>
  <c r="BY66" i="2" s="1"/>
  <c r="BV66" i="2"/>
  <c r="BS66" i="2"/>
  <c r="BT66" i="2" s="1"/>
  <c r="BQ66" i="2"/>
  <c r="BN66" i="2"/>
  <c r="BO66" i="2" s="1"/>
  <c r="BL66" i="2"/>
  <c r="BI66" i="2"/>
  <c r="BJ66" i="2" s="1"/>
  <c r="BG66" i="2"/>
  <c r="BD66" i="2"/>
  <c r="BE66" i="2" s="1"/>
  <c r="BB66" i="2"/>
  <c r="AY66" i="2"/>
  <c r="AZ66" i="2" s="1"/>
  <c r="AW66" i="2"/>
  <c r="AT66" i="2"/>
  <c r="AU66" i="2" s="1"/>
  <c r="AR66" i="2"/>
  <c r="AO66" i="2"/>
  <c r="AP66" i="2" s="1"/>
  <c r="AM66" i="2"/>
  <c r="AJ66" i="2"/>
  <c r="AK66" i="2" s="1"/>
  <c r="AH66" i="2"/>
  <c r="AE66" i="2"/>
  <c r="AF66" i="2" s="1"/>
  <c r="AC66" i="2"/>
  <c r="Z66" i="2"/>
  <c r="AA66" i="2" s="1"/>
  <c r="X66" i="2"/>
  <c r="S66" i="2"/>
  <c r="I66" i="2"/>
  <c r="A66" i="2"/>
  <c r="CC65" i="2"/>
  <c r="CD65" i="2" s="1"/>
  <c r="CA65" i="2"/>
  <c r="BX65" i="2"/>
  <c r="BY65" i="2" s="1"/>
  <c r="BV65" i="2"/>
  <c r="BS65" i="2"/>
  <c r="BT65" i="2" s="1"/>
  <c r="BQ65" i="2"/>
  <c r="BN65" i="2"/>
  <c r="BO65" i="2" s="1"/>
  <c r="BL65" i="2"/>
  <c r="BI65" i="2"/>
  <c r="BJ65" i="2" s="1"/>
  <c r="BG65" i="2"/>
  <c r="BD65" i="2"/>
  <c r="BE65" i="2" s="1"/>
  <c r="BB65" i="2"/>
  <c r="AY65" i="2"/>
  <c r="AZ65" i="2" s="1"/>
  <c r="AW65" i="2"/>
  <c r="AT65" i="2"/>
  <c r="AU65" i="2" s="1"/>
  <c r="AR65" i="2"/>
  <c r="AO65" i="2"/>
  <c r="AP65" i="2" s="1"/>
  <c r="AM65" i="2"/>
  <c r="AJ65" i="2"/>
  <c r="AK65" i="2" s="1"/>
  <c r="AH65" i="2"/>
  <c r="AE65" i="2"/>
  <c r="AF65" i="2" s="1"/>
  <c r="AC65" i="2"/>
  <c r="Z65" i="2"/>
  <c r="AA65" i="2" s="1"/>
  <c r="X65" i="2"/>
  <c r="S65" i="2"/>
  <c r="I65" i="2"/>
  <c r="A65" i="2"/>
  <c r="CC64" i="2"/>
  <c r="CD64" i="2" s="1"/>
  <c r="CA64" i="2"/>
  <c r="BX64" i="2"/>
  <c r="BY64" i="2" s="1"/>
  <c r="BV64" i="2"/>
  <c r="BS64" i="2"/>
  <c r="BT64" i="2" s="1"/>
  <c r="BQ64" i="2"/>
  <c r="BN64" i="2"/>
  <c r="BO64" i="2" s="1"/>
  <c r="BL64" i="2"/>
  <c r="BI64" i="2"/>
  <c r="BJ64" i="2" s="1"/>
  <c r="BG64" i="2"/>
  <c r="BD64" i="2"/>
  <c r="BE64" i="2" s="1"/>
  <c r="BB64" i="2"/>
  <c r="AY64" i="2"/>
  <c r="AZ64" i="2" s="1"/>
  <c r="AW64" i="2"/>
  <c r="AT64" i="2"/>
  <c r="AU64" i="2" s="1"/>
  <c r="AR64" i="2"/>
  <c r="AO64" i="2"/>
  <c r="AP64" i="2" s="1"/>
  <c r="AM64" i="2"/>
  <c r="AJ64" i="2"/>
  <c r="AK64" i="2" s="1"/>
  <c r="AH64" i="2"/>
  <c r="AE64" i="2"/>
  <c r="AF64" i="2" s="1"/>
  <c r="AC64" i="2"/>
  <c r="Z64" i="2"/>
  <c r="AA64" i="2" s="1"/>
  <c r="X64" i="2"/>
  <c r="S64" i="2"/>
  <c r="I64" i="2"/>
  <c r="A64" i="2"/>
  <c r="CC63" i="2"/>
  <c r="CD63" i="2" s="1"/>
  <c r="CA63" i="2"/>
  <c r="BX63" i="2"/>
  <c r="BY63" i="2" s="1"/>
  <c r="BV63" i="2"/>
  <c r="BS63" i="2"/>
  <c r="BT63" i="2" s="1"/>
  <c r="BQ63" i="2"/>
  <c r="BN63" i="2"/>
  <c r="BO63" i="2" s="1"/>
  <c r="BL63" i="2"/>
  <c r="BI63" i="2"/>
  <c r="BJ63" i="2" s="1"/>
  <c r="BG63" i="2"/>
  <c r="BD63" i="2"/>
  <c r="BE63" i="2" s="1"/>
  <c r="BB63" i="2"/>
  <c r="AY63" i="2"/>
  <c r="AZ63" i="2" s="1"/>
  <c r="AW63" i="2"/>
  <c r="AT63" i="2"/>
  <c r="AU63" i="2" s="1"/>
  <c r="AR63" i="2"/>
  <c r="AO63" i="2"/>
  <c r="AP63" i="2" s="1"/>
  <c r="AM63" i="2"/>
  <c r="AJ63" i="2"/>
  <c r="AK63" i="2" s="1"/>
  <c r="AH63" i="2"/>
  <c r="AE63" i="2"/>
  <c r="AF63" i="2" s="1"/>
  <c r="AC63" i="2"/>
  <c r="Z63" i="2"/>
  <c r="AA63" i="2" s="1"/>
  <c r="X63" i="2"/>
  <c r="S63" i="2"/>
  <c r="I63" i="2"/>
  <c r="A63" i="2"/>
  <c r="CC62" i="2"/>
  <c r="CD62" i="2" s="1"/>
  <c r="CA62" i="2"/>
  <c r="BX62" i="2"/>
  <c r="BY62" i="2" s="1"/>
  <c r="BV62" i="2"/>
  <c r="BS62" i="2"/>
  <c r="BT62" i="2" s="1"/>
  <c r="BQ62" i="2"/>
  <c r="BN62" i="2"/>
  <c r="BO62" i="2" s="1"/>
  <c r="BL62" i="2"/>
  <c r="BI62" i="2"/>
  <c r="BJ62" i="2" s="1"/>
  <c r="BG62" i="2"/>
  <c r="BD62" i="2"/>
  <c r="BE62" i="2" s="1"/>
  <c r="BB62" i="2"/>
  <c r="AY62" i="2"/>
  <c r="AZ62" i="2" s="1"/>
  <c r="AW62" i="2"/>
  <c r="AT62" i="2"/>
  <c r="AU62" i="2" s="1"/>
  <c r="AR62" i="2"/>
  <c r="AO62" i="2"/>
  <c r="AP62" i="2" s="1"/>
  <c r="AM62" i="2"/>
  <c r="AJ62" i="2"/>
  <c r="AK62" i="2" s="1"/>
  <c r="AH62" i="2"/>
  <c r="AE62" i="2"/>
  <c r="AF62" i="2" s="1"/>
  <c r="AC62" i="2"/>
  <c r="Z62" i="2"/>
  <c r="AA62" i="2" s="1"/>
  <c r="X62" i="2"/>
  <c r="S62" i="2"/>
  <c r="I62" i="2"/>
  <c r="A62" i="2"/>
  <c r="CC61" i="2"/>
  <c r="CD61" i="2" s="1"/>
  <c r="CA61" i="2"/>
  <c r="BX61" i="2"/>
  <c r="BY61" i="2" s="1"/>
  <c r="BV61" i="2"/>
  <c r="BS61" i="2"/>
  <c r="BT61" i="2" s="1"/>
  <c r="BQ61" i="2"/>
  <c r="BN61" i="2"/>
  <c r="BO61" i="2" s="1"/>
  <c r="BL61" i="2"/>
  <c r="BI61" i="2"/>
  <c r="BJ61" i="2" s="1"/>
  <c r="BG61" i="2"/>
  <c r="BD61" i="2"/>
  <c r="BE61" i="2" s="1"/>
  <c r="BB61" i="2"/>
  <c r="AY61" i="2"/>
  <c r="AZ61" i="2" s="1"/>
  <c r="AW61" i="2"/>
  <c r="AT61" i="2"/>
  <c r="AU61" i="2" s="1"/>
  <c r="AR61" i="2"/>
  <c r="AO61" i="2"/>
  <c r="AP61" i="2" s="1"/>
  <c r="AM61" i="2"/>
  <c r="AJ61" i="2"/>
  <c r="AK61" i="2" s="1"/>
  <c r="AH61" i="2"/>
  <c r="AE61" i="2"/>
  <c r="AF61" i="2" s="1"/>
  <c r="AC61" i="2"/>
  <c r="Z61" i="2"/>
  <c r="AA61" i="2" s="1"/>
  <c r="X61" i="2"/>
  <c r="S61" i="2"/>
  <c r="I61" i="2"/>
  <c r="A61" i="2"/>
  <c r="CC60" i="2"/>
  <c r="CD60" i="2" s="1"/>
  <c r="CA60" i="2"/>
  <c r="BX60" i="2"/>
  <c r="BY60" i="2" s="1"/>
  <c r="BV60" i="2"/>
  <c r="BS60" i="2"/>
  <c r="BT60" i="2" s="1"/>
  <c r="BQ60" i="2"/>
  <c r="BN60" i="2"/>
  <c r="BO60" i="2" s="1"/>
  <c r="BL60" i="2"/>
  <c r="BI60" i="2"/>
  <c r="BJ60" i="2" s="1"/>
  <c r="BG60" i="2"/>
  <c r="BD60" i="2"/>
  <c r="BE60" i="2" s="1"/>
  <c r="BB60" i="2"/>
  <c r="AY60" i="2"/>
  <c r="AZ60" i="2" s="1"/>
  <c r="AW60" i="2"/>
  <c r="AT60" i="2"/>
  <c r="AU60" i="2" s="1"/>
  <c r="AR60" i="2"/>
  <c r="AO60" i="2"/>
  <c r="AP60" i="2" s="1"/>
  <c r="AM60" i="2"/>
  <c r="AJ60" i="2"/>
  <c r="AK60" i="2" s="1"/>
  <c r="AH60" i="2"/>
  <c r="AE60" i="2"/>
  <c r="AF60" i="2" s="1"/>
  <c r="AC60" i="2"/>
  <c r="Z60" i="2"/>
  <c r="AA60" i="2" s="1"/>
  <c r="X60" i="2"/>
  <c r="S60" i="2"/>
  <c r="I60" i="2"/>
  <c r="A60" i="2"/>
  <c r="CC59" i="2"/>
  <c r="CD59" i="2" s="1"/>
  <c r="CA59" i="2"/>
  <c r="BX59" i="2"/>
  <c r="BY59" i="2" s="1"/>
  <c r="BV59" i="2"/>
  <c r="BS59" i="2"/>
  <c r="BT59" i="2" s="1"/>
  <c r="BQ59" i="2"/>
  <c r="BN59" i="2"/>
  <c r="BO59" i="2" s="1"/>
  <c r="BL59" i="2"/>
  <c r="BI59" i="2"/>
  <c r="BJ59" i="2" s="1"/>
  <c r="BG59" i="2"/>
  <c r="BD59" i="2"/>
  <c r="BE59" i="2" s="1"/>
  <c r="BB59" i="2"/>
  <c r="AY59" i="2"/>
  <c r="AZ59" i="2" s="1"/>
  <c r="AW59" i="2"/>
  <c r="AT59" i="2"/>
  <c r="AU59" i="2" s="1"/>
  <c r="AR59" i="2"/>
  <c r="AO59" i="2"/>
  <c r="AP59" i="2" s="1"/>
  <c r="AM59" i="2"/>
  <c r="AJ59" i="2"/>
  <c r="AK59" i="2" s="1"/>
  <c r="AH59" i="2"/>
  <c r="AE59" i="2"/>
  <c r="AF59" i="2" s="1"/>
  <c r="AC59" i="2"/>
  <c r="Z59" i="2"/>
  <c r="AA59" i="2" s="1"/>
  <c r="X59" i="2"/>
  <c r="S59" i="2"/>
  <c r="I59" i="2"/>
  <c r="A59" i="2"/>
  <c r="CC58" i="2"/>
  <c r="CD58" i="2" s="1"/>
  <c r="CA58" i="2"/>
  <c r="BX58" i="2"/>
  <c r="BY58" i="2" s="1"/>
  <c r="BV58" i="2"/>
  <c r="BS58" i="2"/>
  <c r="BT58" i="2" s="1"/>
  <c r="BQ58" i="2"/>
  <c r="BN58" i="2"/>
  <c r="BO58" i="2" s="1"/>
  <c r="BL58" i="2"/>
  <c r="BI58" i="2"/>
  <c r="BJ58" i="2" s="1"/>
  <c r="BG58" i="2"/>
  <c r="BD58" i="2"/>
  <c r="BE58" i="2" s="1"/>
  <c r="BB58" i="2"/>
  <c r="AY58" i="2"/>
  <c r="AZ58" i="2" s="1"/>
  <c r="AW58" i="2"/>
  <c r="AT58" i="2"/>
  <c r="AU58" i="2" s="1"/>
  <c r="AR58" i="2"/>
  <c r="AO58" i="2"/>
  <c r="AP58" i="2" s="1"/>
  <c r="AM58" i="2"/>
  <c r="AJ58" i="2"/>
  <c r="AK58" i="2" s="1"/>
  <c r="AH58" i="2"/>
  <c r="AE58" i="2"/>
  <c r="AF58" i="2" s="1"/>
  <c r="AC58" i="2"/>
  <c r="Z58" i="2"/>
  <c r="AA58" i="2" s="1"/>
  <c r="X58" i="2"/>
  <c r="S58" i="2"/>
  <c r="I58" i="2"/>
  <c r="A58" i="2"/>
  <c r="CC57" i="2"/>
  <c r="CD57" i="2" s="1"/>
  <c r="CA57" i="2"/>
  <c r="BX57" i="2"/>
  <c r="BY57" i="2" s="1"/>
  <c r="BV57" i="2"/>
  <c r="BS57" i="2"/>
  <c r="BT57" i="2" s="1"/>
  <c r="BQ57" i="2"/>
  <c r="BN57" i="2"/>
  <c r="BO57" i="2" s="1"/>
  <c r="BL57" i="2"/>
  <c r="BI57" i="2"/>
  <c r="BJ57" i="2" s="1"/>
  <c r="BG57" i="2"/>
  <c r="BD57" i="2"/>
  <c r="BE57" i="2" s="1"/>
  <c r="BB57" i="2"/>
  <c r="AY57" i="2"/>
  <c r="AZ57" i="2" s="1"/>
  <c r="AW57" i="2"/>
  <c r="AT57" i="2"/>
  <c r="AU57" i="2" s="1"/>
  <c r="AR57" i="2"/>
  <c r="AO57" i="2"/>
  <c r="AP57" i="2" s="1"/>
  <c r="AM57" i="2"/>
  <c r="AJ57" i="2"/>
  <c r="AK57" i="2" s="1"/>
  <c r="AH57" i="2"/>
  <c r="AE57" i="2"/>
  <c r="AF57" i="2" s="1"/>
  <c r="AC57" i="2"/>
  <c r="Z57" i="2"/>
  <c r="AA57" i="2" s="1"/>
  <c r="X57" i="2"/>
  <c r="S57" i="2"/>
  <c r="I57" i="2"/>
  <c r="A57" i="2"/>
  <c r="CC56" i="2"/>
  <c r="CD56" i="2" s="1"/>
  <c r="CA56" i="2"/>
  <c r="BX56" i="2"/>
  <c r="BY56" i="2" s="1"/>
  <c r="BV56" i="2"/>
  <c r="BS56" i="2"/>
  <c r="BT56" i="2" s="1"/>
  <c r="BQ56" i="2"/>
  <c r="BN56" i="2"/>
  <c r="BO56" i="2" s="1"/>
  <c r="BL56" i="2"/>
  <c r="BI56" i="2"/>
  <c r="BJ56" i="2" s="1"/>
  <c r="BG56" i="2"/>
  <c r="BD56" i="2"/>
  <c r="BE56" i="2" s="1"/>
  <c r="BB56" i="2"/>
  <c r="AY56" i="2"/>
  <c r="AZ56" i="2" s="1"/>
  <c r="AW56" i="2"/>
  <c r="AT56" i="2"/>
  <c r="AU56" i="2" s="1"/>
  <c r="AR56" i="2"/>
  <c r="AO56" i="2"/>
  <c r="AP56" i="2" s="1"/>
  <c r="AM56" i="2"/>
  <c r="AJ56" i="2"/>
  <c r="AK56" i="2" s="1"/>
  <c r="AH56" i="2"/>
  <c r="AE56" i="2"/>
  <c r="AF56" i="2" s="1"/>
  <c r="AC56" i="2"/>
  <c r="Z56" i="2"/>
  <c r="AA56" i="2" s="1"/>
  <c r="X56" i="2"/>
  <c r="S56" i="2"/>
  <c r="I56" i="2"/>
  <c r="A56" i="2"/>
  <c r="CC55" i="2"/>
  <c r="CD55" i="2" s="1"/>
  <c r="CA55" i="2"/>
  <c r="BX55" i="2"/>
  <c r="BY55" i="2" s="1"/>
  <c r="BV55" i="2"/>
  <c r="BS55" i="2"/>
  <c r="BT55" i="2" s="1"/>
  <c r="BQ55" i="2"/>
  <c r="BN55" i="2"/>
  <c r="BO55" i="2" s="1"/>
  <c r="BL55" i="2"/>
  <c r="BI55" i="2"/>
  <c r="BJ55" i="2" s="1"/>
  <c r="BG55" i="2"/>
  <c r="BD55" i="2"/>
  <c r="BE55" i="2" s="1"/>
  <c r="BB55" i="2"/>
  <c r="AY55" i="2"/>
  <c r="AZ55" i="2" s="1"/>
  <c r="AW55" i="2"/>
  <c r="AT55" i="2"/>
  <c r="AU55" i="2" s="1"/>
  <c r="AR55" i="2"/>
  <c r="AO55" i="2"/>
  <c r="AP55" i="2" s="1"/>
  <c r="AM55" i="2"/>
  <c r="AJ55" i="2"/>
  <c r="AK55" i="2" s="1"/>
  <c r="AH55" i="2"/>
  <c r="AE55" i="2"/>
  <c r="AF55" i="2" s="1"/>
  <c r="AC55" i="2"/>
  <c r="Z55" i="2"/>
  <c r="AA55" i="2" s="1"/>
  <c r="X55" i="2"/>
  <c r="S55" i="2"/>
  <c r="I55" i="2"/>
  <c r="A55" i="2"/>
  <c r="CC54" i="2"/>
  <c r="CD54" i="2" s="1"/>
  <c r="CA54" i="2"/>
  <c r="BX54" i="2"/>
  <c r="BY54" i="2" s="1"/>
  <c r="BV54" i="2"/>
  <c r="BS54" i="2"/>
  <c r="BT54" i="2" s="1"/>
  <c r="BQ54" i="2"/>
  <c r="BN54" i="2"/>
  <c r="BO54" i="2" s="1"/>
  <c r="BL54" i="2"/>
  <c r="BI54" i="2"/>
  <c r="BJ54" i="2" s="1"/>
  <c r="BG54" i="2"/>
  <c r="BD54" i="2"/>
  <c r="BE54" i="2" s="1"/>
  <c r="BB54" i="2"/>
  <c r="AY54" i="2"/>
  <c r="AZ54" i="2" s="1"/>
  <c r="AW54" i="2"/>
  <c r="AT54" i="2"/>
  <c r="AU54" i="2" s="1"/>
  <c r="AR54" i="2"/>
  <c r="AO54" i="2"/>
  <c r="AP54" i="2" s="1"/>
  <c r="AM54" i="2"/>
  <c r="AJ54" i="2"/>
  <c r="AK54" i="2" s="1"/>
  <c r="AH54" i="2"/>
  <c r="AE54" i="2"/>
  <c r="AF54" i="2" s="1"/>
  <c r="AC54" i="2"/>
  <c r="Z54" i="2"/>
  <c r="AA54" i="2" s="1"/>
  <c r="X54" i="2"/>
  <c r="S54" i="2"/>
  <c r="I54" i="2"/>
  <c r="A54" i="2"/>
  <c r="CC53" i="2"/>
  <c r="CD53" i="2" s="1"/>
  <c r="CA53" i="2"/>
  <c r="BX53" i="2"/>
  <c r="BY53" i="2" s="1"/>
  <c r="BV53" i="2"/>
  <c r="BS53" i="2"/>
  <c r="BT53" i="2" s="1"/>
  <c r="BQ53" i="2"/>
  <c r="BN53" i="2"/>
  <c r="BO53" i="2" s="1"/>
  <c r="BL53" i="2"/>
  <c r="BI53" i="2"/>
  <c r="BJ53" i="2" s="1"/>
  <c r="BG53" i="2"/>
  <c r="BD53" i="2"/>
  <c r="BE53" i="2" s="1"/>
  <c r="BB53" i="2"/>
  <c r="AY53" i="2"/>
  <c r="AZ53" i="2" s="1"/>
  <c r="AW53" i="2"/>
  <c r="AT53" i="2"/>
  <c r="AU53" i="2" s="1"/>
  <c r="AR53" i="2"/>
  <c r="AO53" i="2"/>
  <c r="AP53" i="2" s="1"/>
  <c r="AM53" i="2"/>
  <c r="AJ53" i="2"/>
  <c r="AK53" i="2" s="1"/>
  <c r="AH53" i="2"/>
  <c r="AE53" i="2"/>
  <c r="AF53" i="2" s="1"/>
  <c r="AC53" i="2"/>
  <c r="Z53" i="2"/>
  <c r="AA53" i="2" s="1"/>
  <c r="X53" i="2"/>
  <c r="S53" i="2"/>
  <c r="I53" i="2"/>
  <c r="A53" i="2"/>
  <c r="CC52" i="2"/>
  <c r="CD52" i="2" s="1"/>
  <c r="CA52" i="2"/>
  <c r="BX52" i="2"/>
  <c r="BY52" i="2" s="1"/>
  <c r="BV52" i="2"/>
  <c r="BS52" i="2"/>
  <c r="BT52" i="2" s="1"/>
  <c r="BQ52" i="2"/>
  <c r="BN52" i="2"/>
  <c r="BO52" i="2" s="1"/>
  <c r="BL52" i="2"/>
  <c r="BI52" i="2"/>
  <c r="BJ52" i="2" s="1"/>
  <c r="BG52" i="2"/>
  <c r="BD52" i="2"/>
  <c r="BE52" i="2" s="1"/>
  <c r="BB52" i="2"/>
  <c r="AY52" i="2"/>
  <c r="AZ52" i="2" s="1"/>
  <c r="AW52" i="2"/>
  <c r="AT52" i="2"/>
  <c r="AU52" i="2" s="1"/>
  <c r="AR52" i="2"/>
  <c r="AO52" i="2"/>
  <c r="AP52" i="2" s="1"/>
  <c r="AM52" i="2"/>
  <c r="AJ52" i="2"/>
  <c r="AK52" i="2" s="1"/>
  <c r="AH52" i="2"/>
  <c r="AE52" i="2"/>
  <c r="AF52" i="2" s="1"/>
  <c r="AC52" i="2"/>
  <c r="Z52" i="2"/>
  <c r="AA52" i="2" s="1"/>
  <c r="X52" i="2"/>
  <c r="S52" i="2"/>
  <c r="I52" i="2"/>
  <c r="A52" i="2"/>
  <c r="CC51" i="2"/>
  <c r="CD51" i="2" s="1"/>
  <c r="CA51" i="2"/>
  <c r="BX51" i="2"/>
  <c r="BY51" i="2" s="1"/>
  <c r="BV51" i="2"/>
  <c r="BS51" i="2"/>
  <c r="BT51" i="2" s="1"/>
  <c r="BQ51" i="2"/>
  <c r="BN51" i="2"/>
  <c r="BO51" i="2" s="1"/>
  <c r="BL51" i="2"/>
  <c r="BI51" i="2"/>
  <c r="BJ51" i="2" s="1"/>
  <c r="BG51" i="2"/>
  <c r="BD51" i="2"/>
  <c r="BE51" i="2" s="1"/>
  <c r="BB51" i="2"/>
  <c r="AY51" i="2"/>
  <c r="AZ51" i="2" s="1"/>
  <c r="AW51" i="2"/>
  <c r="AT51" i="2"/>
  <c r="AU51" i="2" s="1"/>
  <c r="AR51" i="2"/>
  <c r="AO51" i="2"/>
  <c r="AP51" i="2" s="1"/>
  <c r="AM51" i="2"/>
  <c r="AJ51" i="2"/>
  <c r="AK51" i="2" s="1"/>
  <c r="AH51" i="2"/>
  <c r="AE51" i="2"/>
  <c r="AF51" i="2" s="1"/>
  <c r="AC51" i="2"/>
  <c r="Z51" i="2"/>
  <c r="AA51" i="2" s="1"/>
  <c r="X51" i="2"/>
  <c r="S51" i="2"/>
  <c r="I51" i="2"/>
  <c r="A51" i="2"/>
  <c r="CC50" i="2"/>
  <c r="CD50" i="2" s="1"/>
  <c r="CA50" i="2"/>
  <c r="BX50" i="2"/>
  <c r="BY50" i="2" s="1"/>
  <c r="BV50" i="2"/>
  <c r="BS50" i="2"/>
  <c r="BT50" i="2" s="1"/>
  <c r="BQ50" i="2"/>
  <c r="BN50" i="2"/>
  <c r="BO50" i="2" s="1"/>
  <c r="BL50" i="2"/>
  <c r="BI50" i="2"/>
  <c r="BJ50" i="2" s="1"/>
  <c r="BG50" i="2"/>
  <c r="BD50" i="2"/>
  <c r="BE50" i="2" s="1"/>
  <c r="BB50" i="2"/>
  <c r="AY50" i="2"/>
  <c r="AZ50" i="2" s="1"/>
  <c r="AW50" i="2"/>
  <c r="AT50" i="2"/>
  <c r="AU50" i="2" s="1"/>
  <c r="AR50" i="2"/>
  <c r="AO50" i="2"/>
  <c r="AP50" i="2" s="1"/>
  <c r="AM50" i="2"/>
  <c r="AJ50" i="2"/>
  <c r="AK50" i="2" s="1"/>
  <c r="AH50" i="2"/>
  <c r="AE50" i="2"/>
  <c r="AF50" i="2" s="1"/>
  <c r="AC50" i="2"/>
  <c r="Z50" i="2"/>
  <c r="AA50" i="2" s="1"/>
  <c r="X50" i="2"/>
  <c r="S50" i="2"/>
  <c r="I50" i="2"/>
  <c r="A50" i="2"/>
  <c r="CC49" i="2"/>
  <c r="CD49" i="2" s="1"/>
  <c r="CA49" i="2"/>
  <c r="BX49" i="2"/>
  <c r="BY49" i="2" s="1"/>
  <c r="BV49" i="2"/>
  <c r="BS49" i="2"/>
  <c r="BT49" i="2" s="1"/>
  <c r="BQ49" i="2"/>
  <c r="BN49" i="2"/>
  <c r="BO49" i="2" s="1"/>
  <c r="BL49" i="2"/>
  <c r="BI49" i="2"/>
  <c r="BJ49" i="2" s="1"/>
  <c r="BG49" i="2"/>
  <c r="BD49" i="2"/>
  <c r="BE49" i="2" s="1"/>
  <c r="BB49" i="2"/>
  <c r="AY49" i="2"/>
  <c r="AZ49" i="2" s="1"/>
  <c r="AW49" i="2"/>
  <c r="AT49" i="2"/>
  <c r="AU49" i="2" s="1"/>
  <c r="AR49" i="2"/>
  <c r="AO49" i="2"/>
  <c r="AP49" i="2" s="1"/>
  <c r="AM49" i="2"/>
  <c r="AJ49" i="2"/>
  <c r="AK49" i="2" s="1"/>
  <c r="AH49" i="2"/>
  <c r="AE49" i="2"/>
  <c r="AF49" i="2" s="1"/>
  <c r="AC49" i="2"/>
  <c r="Z49" i="2"/>
  <c r="AA49" i="2" s="1"/>
  <c r="X49" i="2"/>
  <c r="S49" i="2"/>
  <c r="I49" i="2"/>
  <c r="A49" i="2"/>
  <c r="CC48" i="2"/>
  <c r="CD48" i="2" s="1"/>
  <c r="CA48" i="2"/>
  <c r="BX48" i="2"/>
  <c r="BY48" i="2" s="1"/>
  <c r="BV48" i="2"/>
  <c r="BS48" i="2"/>
  <c r="BT48" i="2" s="1"/>
  <c r="BQ48" i="2"/>
  <c r="BN48" i="2"/>
  <c r="BO48" i="2" s="1"/>
  <c r="BL48" i="2"/>
  <c r="BI48" i="2"/>
  <c r="BJ48" i="2" s="1"/>
  <c r="BG48" i="2"/>
  <c r="BD48" i="2"/>
  <c r="BE48" i="2" s="1"/>
  <c r="BB48" i="2"/>
  <c r="AY48" i="2"/>
  <c r="AZ48" i="2" s="1"/>
  <c r="AW48" i="2"/>
  <c r="AT48" i="2"/>
  <c r="AU48" i="2" s="1"/>
  <c r="AR48" i="2"/>
  <c r="AO48" i="2"/>
  <c r="AP48" i="2" s="1"/>
  <c r="AM48" i="2"/>
  <c r="AJ48" i="2"/>
  <c r="AK48" i="2" s="1"/>
  <c r="AH48" i="2"/>
  <c r="AE48" i="2"/>
  <c r="AF48" i="2" s="1"/>
  <c r="AC48" i="2"/>
  <c r="Z48" i="2"/>
  <c r="AA48" i="2" s="1"/>
  <c r="X48" i="2"/>
  <c r="S48" i="2"/>
  <c r="I48" i="2"/>
  <c r="A48" i="2"/>
  <c r="B8" i="2" l="1"/>
  <c r="T77" i="2"/>
  <c r="T79" i="2"/>
  <c r="T75" i="2"/>
  <c r="T73" i="2"/>
  <c r="T57" i="2"/>
  <c r="T49" i="2"/>
  <c r="T51" i="2"/>
  <c r="T60" i="2"/>
  <c r="T68" i="2"/>
  <c r="T69" i="2"/>
  <c r="T53" i="2"/>
  <c r="T55" i="2"/>
  <c r="T58" i="2"/>
  <c r="T62" i="2"/>
  <c r="T64" i="2"/>
  <c r="T66" i="2"/>
  <c r="T71" i="2"/>
  <c r="T50" i="2"/>
  <c r="T52" i="2"/>
  <c r="T54" i="2"/>
  <c r="T59" i="2"/>
  <c r="T63" i="2"/>
  <c r="T65" i="2"/>
  <c r="T67" i="2"/>
  <c r="T74" i="2"/>
  <c r="T56" i="2"/>
  <c r="T61" i="2"/>
  <c r="T70" i="2"/>
  <c r="T72" i="2"/>
  <c r="T48" i="2"/>
  <c r="T76" i="2"/>
  <c r="T78" i="2"/>
  <c r="T80" i="2"/>
  <c r="B9" i="2" l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l="1"/>
  <c r="A35" i="2"/>
  <c r="I35" i="2"/>
  <c r="S35" i="2"/>
  <c r="X35" i="2"/>
  <c r="Z35" i="2"/>
  <c r="AA35" i="2" s="1"/>
  <c r="AC35" i="2"/>
  <c r="AE35" i="2"/>
  <c r="AF35" i="2" s="1"/>
  <c r="AH35" i="2"/>
  <c r="AJ35" i="2"/>
  <c r="AK35" i="2" s="1"/>
  <c r="AM35" i="2"/>
  <c r="AO35" i="2"/>
  <c r="AP35" i="2" s="1"/>
  <c r="AR35" i="2"/>
  <c r="AT35" i="2"/>
  <c r="AU35" i="2" s="1"/>
  <c r="AW35" i="2"/>
  <c r="AY35" i="2"/>
  <c r="AZ35" i="2" s="1"/>
  <c r="BB35" i="2"/>
  <c r="BD35" i="2"/>
  <c r="BE35" i="2" s="1"/>
  <c r="BG35" i="2"/>
  <c r="BI35" i="2"/>
  <c r="BJ35" i="2" s="1"/>
  <c r="BL35" i="2"/>
  <c r="BN35" i="2"/>
  <c r="BO35" i="2" s="1"/>
  <c r="BQ35" i="2"/>
  <c r="BS35" i="2"/>
  <c r="BT35" i="2" s="1"/>
  <c r="BV35" i="2"/>
  <c r="BX35" i="2"/>
  <c r="BY35" i="2" s="1"/>
  <c r="CA35" i="2"/>
  <c r="CC35" i="2"/>
  <c r="CD35" i="2" s="1"/>
  <c r="B347" i="2" l="1"/>
  <c r="T35" i="2"/>
  <c r="B348" i="2" l="1"/>
  <c r="B349" i="2" l="1"/>
  <c r="CC47" i="2"/>
  <c r="CD47" i="2" s="1"/>
  <c r="CA47" i="2"/>
  <c r="BX47" i="2"/>
  <c r="BY47" i="2" s="1"/>
  <c r="BV47" i="2"/>
  <c r="BS47" i="2"/>
  <c r="BT47" i="2" s="1"/>
  <c r="BQ47" i="2"/>
  <c r="BN47" i="2"/>
  <c r="BO47" i="2" s="1"/>
  <c r="BL47" i="2"/>
  <c r="BI47" i="2"/>
  <c r="BJ47" i="2" s="1"/>
  <c r="BG47" i="2"/>
  <c r="BD47" i="2"/>
  <c r="BE47" i="2" s="1"/>
  <c r="BB47" i="2"/>
  <c r="AY47" i="2"/>
  <c r="AZ47" i="2" s="1"/>
  <c r="AW47" i="2"/>
  <c r="AT47" i="2"/>
  <c r="AU47" i="2" s="1"/>
  <c r="AR47" i="2"/>
  <c r="AO47" i="2"/>
  <c r="AP47" i="2" s="1"/>
  <c r="AM47" i="2"/>
  <c r="AJ47" i="2"/>
  <c r="AK47" i="2" s="1"/>
  <c r="AH47" i="2"/>
  <c r="AE47" i="2"/>
  <c r="AF47" i="2" s="1"/>
  <c r="AC47" i="2"/>
  <c r="Z47" i="2"/>
  <c r="AA47" i="2" s="1"/>
  <c r="X47" i="2"/>
  <c r="S47" i="2"/>
  <c r="I47" i="2"/>
  <c r="A47" i="2"/>
  <c r="CC46" i="2"/>
  <c r="CD46" i="2" s="1"/>
  <c r="CA46" i="2"/>
  <c r="BX46" i="2"/>
  <c r="BY46" i="2" s="1"/>
  <c r="BV46" i="2"/>
  <c r="BS46" i="2"/>
  <c r="BT46" i="2" s="1"/>
  <c r="BQ46" i="2"/>
  <c r="BN46" i="2"/>
  <c r="BO46" i="2" s="1"/>
  <c r="BL46" i="2"/>
  <c r="BI46" i="2"/>
  <c r="BJ46" i="2" s="1"/>
  <c r="BG46" i="2"/>
  <c r="BD46" i="2"/>
  <c r="BE46" i="2" s="1"/>
  <c r="BB46" i="2"/>
  <c r="AY46" i="2"/>
  <c r="AZ46" i="2" s="1"/>
  <c r="AW46" i="2"/>
  <c r="AT46" i="2"/>
  <c r="AU46" i="2" s="1"/>
  <c r="AR46" i="2"/>
  <c r="AO46" i="2"/>
  <c r="AP46" i="2" s="1"/>
  <c r="AM46" i="2"/>
  <c r="AJ46" i="2"/>
  <c r="AK46" i="2" s="1"/>
  <c r="AH46" i="2"/>
  <c r="AE46" i="2"/>
  <c r="AF46" i="2" s="1"/>
  <c r="AC46" i="2"/>
  <c r="Z46" i="2"/>
  <c r="AA46" i="2" s="1"/>
  <c r="X46" i="2"/>
  <c r="S46" i="2"/>
  <c r="I46" i="2"/>
  <c r="A46" i="2"/>
  <c r="CC45" i="2"/>
  <c r="CD45" i="2" s="1"/>
  <c r="CA45" i="2"/>
  <c r="BX45" i="2"/>
  <c r="BY45" i="2" s="1"/>
  <c r="BV45" i="2"/>
  <c r="BS45" i="2"/>
  <c r="BT45" i="2" s="1"/>
  <c r="BQ45" i="2"/>
  <c r="BN45" i="2"/>
  <c r="BO45" i="2" s="1"/>
  <c r="BL45" i="2"/>
  <c r="BI45" i="2"/>
  <c r="BJ45" i="2" s="1"/>
  <c r="BG45" i="2"/>
  <c r="BD45" i="2"/>
  <c r="BE45" i="2" s="1"/>
  <c r="BB45" i="2"/>
  <c r="AY45" i="2"/>
  <c r="AZ45" i="2" s="1"/>
  <c r="AW45" i="2"/>
  <c r="AT45" i="2"/>
  <c r="AU45" i="2" s="1"/>
  <c r="AR45" i="2"/>
  <c r="AO45" i="2"/>
  <c r="AP45" i="2" s="1"/>
  <c r="AM45" i="2"/>
  <c r="AJ45" i="2"/>
  <c r="AK45" i="2" s="1"/>
  <c r="AH45" i="2"/>
  <c r="AE45" i="2"/>
  <c r="AF45" i="2" s="1"/>
  <c r="AC45" i="2"/>
  <c r="Z45" i="2"/>
  <c r="AA45" i="2" s="1"/>
  <c r="X45" i="2"/>
  <c r="S45" i="2"/>
  <c r="I45" i="2"/>
  <c r="A45" i="2"/>
  <c r="CC44" i="2"/>
  <c r="CD44" i="2" s="1"/>
  <c r="CA44" i="2"/>
  <c r="BX44" i="2"/>
  <c r="BY44" i="2" s="1"/>
  <c r="BV44" i="2"/>
  <c r="BS44" i="2"/>
  <c r="BT44" i="2" s="1"/>
  <c r="BQ44" i="2"/>
  <c r="BN44" i="2"/>
  <c r="BO44" i="2" s="1"/>
  <c r="BL44" i="2"/>
  <c r="BI44" i="2"/>
  <c r="BJ44" i="2" s="1"/>
  <c r="BG44" i="2"/>
  <c r="BD44" i="2"/>
  <c r="BE44" i="2" s="1"/>
  <c r="BB44" i="2"/>
  <c r="AY44" i="2"/>
  <c r="AZ44" i="2" s="1"/>
  <c r="AW44" i="2"/>
  <c r="AT44" i="2"/>
  <c r="AU44" i="2" s="1"/>
  <c r="AR44" i="2"/>
  <c r="AO44" i="2"/>
  <c r="AP44" i="2" s="1"/>
  <c r="AM44" i="2"/>
  <c r="AJ44" i="2"/>
  <c r="AK44" i="2" s="1"/>
  <c r="AH44" i="2"/>
  <c r="AE44" i="2"/>
  <c r="AF44" i="2" s="1"/>
  <c r="AC44" i="2"/>
  <c r="Z44" i="2"/>
  <c r="AA44" i="2" s="1"/>
  <c r="X44" i="2"/>
  <c r="S44" i="2"/>
  <c r="I44" i="2"/>
  <c r="A44" i="2"/>
  <c r="CC43" i="2"/>
  <c r="CD43" i="2" s="1"/>
  <c r="CA43" i="2"/>
  <c r="BX43" i="2"/>
  <c r="BY43" i="2" s="1"/>
  <c r="BV43" i="2"/>
  <c r="BS43" i="2"/>
  <c r="BT43" i="2" s="1"/>
  <c r="BQ43" i="2"/>
  <c r="BN43" i="2"/>
  <c r="BO43" i="2" s="1"/>
  <c r="BL43" i="2"/>
  <c r="BI43" i="2"/>
  <c r="BJ43" i="2" s="1"/>
  <c r="BG43" i="2"/>
  <c r="BD43" i="2"/>
  <c r="BE43" i="2" s="1"/>
  <c r="BB43" i="2"/>
  <c r="AY43" i="2"/>
  <c r="AZ43" i="2" s="1"/>
  <c r="AW43" i="2"/>
  <c r="AT43" i="2"/>
  <c r="AU43" i="2" s="1"/>
  <c r="AR43" i="2"/>
  <c r="AO43" i="2"/>
  <c r="AP43" i="2" s="1"/>
  <c r="AM43" i="2"/>
  <c r="AJ43" i="2"/>
  <c r="AK43" i="2" s="1"/>
  <c r="AH43" i="2"/>
  <c r="AE43" i="2"/>
  <c r="AF43" i="2" s="1"/>
  <c r="AC43" i="2"/>
  <c r="Z43" i="2"/>
  <c r="AA43" i="2" s="1"/>
  <c r="X43" i="2"/>
  <c r="S43" i="2"/>
  <c r="I43" i="2"/>
  <c r="A43" i="2"/>
  <c r="B350" i="2" l="1"/>
  <c r="T47" i="2"/>
  <c r="T45" i="2"/>
  <c r="T46" i="2"/>
  <c r="T44" i="2"/>
  <c r="T43" i="2"/>
  <c r="CC42" i="2"/>
  <c r="CD42" i="2" s="1"/>
  <c r="CA42" i="2"/>
  <c r="BX42" i="2"/>
  <c r="BY42" i="2" s="1"/>
  <c r="BV42" i="2"/>
  <c r="BS42" i="2"/>
  <c r="BT42" i="2" s="1"/>
  <c r="BQ42" i="2"/>
  <c r="BN42" i="2"/>
  <c r="BO42" i="2" s="1"/>
  <c r="BL42" i="2"/>
  <c r="BI42" i="2"/>
  <c r="BJ42" i="2" s="1"/>
  <c r="BG42" i="2"/>
  <c r="BD42" i="2"/>
  <c r="BE42" i="2" s="1"/>
  <c r="BB42" i="2"/>
  <c r="AY42" i="2"/>
  <c r="AZ42" i="2" s="1"/>
  <c r="AW42" i="2"/>
  <c r="AT42" i="2"/>
  <c r="AU42" i="2" s="1"/>
  <c r="AR42" i="2"/>
  <c r="AO42" i="2"/>
  <c r="AP42" i="2" s="1"/>
  <c r="AM42" i="2"/>
  <c r="AJ42" i="2"/>
  <c r="AK42" i="2" s="1"/>
  <c r="AH42" i="2"/>
  <c r="AE42" i="2"/>
  <c r="AF42" i="2" s="1"/>
  <c r="AC42" i="2"/>
  <c r="Z42" i="2"/>
  <c r="AA42" i="2" s="1"/>
  <c r="X42" i="2"/>
  <c r="S42" i="2"/>
  <c r="I42" i="2"/>
  <c r="A42" i="2"/>
  <c r="CC41" i="2"/>
  <c r="CD41" i="2" s="1"/>
  <c r="CA41" i="2"/>
  <c r="BX41" i="2"/>
  <c r="BY41" i="2" s="1"/>
  <c r="BV41" i="2"/>
  <c r="BS41" i="2"/>
  <c r="BT41" i="2" s="1"/>
  <c r="BQ41" i="2"/>
  <c r="BN41" i="2"/>
  <c r="BO41" i="2" s="1"/>
  <c r="BL41" i="2"/>
  <c r="BI41" i="2"/>
  <c r="BJ41" i="2" s="1"/>
  <c r="BG41" i="2"/>
  <c r="BD41" i="2"/>
  <c r="BE41" i="2" s="1"/>
  <c r="BB41" i="2"/>
  <c r="AY41" i="2"/>
  <c r="AZ41" i="2" s="1"/>
  <c r="AW41" i="2"/>
  <c r="AT41" i="2"/>
  <c r="AU41" i="2" s="1"/>
  <c r="AR41" i="2"/>
  <c r="AO41" i="2"/>
  <c r="AP41" i="2" s="1"/>
  <c r="AM41" i="2"/>
  <c r="AJ41" i="2"/>
  <c r="AK41" i="2" s="1"/>
  <c r="AH41" i="2"/>
  <c r="AE41" i="2"/>
  <c r="AF41" i="2" s="1"/>
  <c r="AC41" i="2"/>
  <c r="Z41" i="2"/>
  <c r="AA41" i="2" s="1"/>
  <c r="X41" i="2"/>
  <c r="S41" i="2"/>
  <c r="I41" i="2"/>
  <c r="A41" i="2"/>
  <c r="CC40" i="2"/>
  <c r="CD40" i="2" s="1"/>
  <c r="CA40" i="2"/>
  <c r="BX40" i="2"/>
  <c r="BY40" i="2" s="1"/>
  <c r="BV40" i="2"/>
  <c r="BS40" i="2"/>
  <c r="BT40" i="2" s="1"/>
  <c r="BQ40" i="2"/>
  <c r="BN40" i="2"/>
  <c r="BO40" i="2" s="1"/>
  <c r="BL40" i="2"/>
  <c r="BI40" i="2"/>
  <c r="BJ40" i="2" s="1"/>
  <c r="BG40" i="2"/>
  <c r="BD40" i="2"/>
  <c r="BE40" i="2" s="1"/>
  <c r="BB40" i="2"/>
  <c r="AY40" i="2"/>
  <c r="AZ40" i="2" s="1"/>
  <c r="AW40" i="2"/>
  <c r="AT40" i="2"/>
  <c r="AU40" i="2" s="1"/>
  <c r="AR40" i="2"/>
  <c r="AO40" i="2"/>
  <c r="AP40" i="2" s="1"/>
  <c r="AM40" i="2"/>
  <c r="AJ40" i="2"/>
  <c r="AK40" i="2" s="1"/>
  <c r="AH40" i="2"/>
  <c r="AE40" i="2"/>
  <c r="AF40" i="2" s="1"/>
  <c r="AC40" i="2"/>
  <c r="Z40" i="2"/>
  <c r="AA40" i="2" s="1"/>
  <c r="X40" i="2"/>
  <c r="S40" i="2"/>
  <c r="I40" i="2"/>
  <c r="A40" i="2"/>
  <c r="CC39" i="2"/>
  <c r="CD39" i="2" s="1"/>
  <c r="CA39" i="2"/>
  <c r="BX39" i="2"/>
  <c r="BY39" i="2" s="1"/>
  <c r="BV39" i="2"/>
  <c r="BS39" i="2"/>
  <c r="BT39" i="2" s="1"/>
  <c r="BQ39" i="2"/>
  <c r="BN39" i="2"/>
  <c r="BO39" i="2" s="1"/>
  <c r="BL39" i="2"/>
  <c r="BI39" i="2"/>
  <c r="BJ39" i="2" s="1"/>
  <c r="BG39" i="2"/>
  <c r="BD39" i="2"/>
  <c r="BE39" i="2" s="1"/>
  <c r="BB39" i="2"/>
  <c r="AY39" i="2"/>
  <c r="AZ39" i="2" s="1"/>
  <c r="AW39" i="2"/>
  <c r="AT39" i="2"/>
  <c r="AU39" i="2" s="1"/>
  <c r="AR39" i="2"/>
  <c r="AO39" i="2"/>
  <c r="AP39" i="2" s="1"/>
  <c r="AM39" i="2"/>
  <c r="AJ39" i="2"/>
  <c r="AK39" i="2" s="1"/>
  <c r="AH39" i="2"/>
  <c r="AE39" i="2"/>
  <c r="AF39" i="2" s="1"/>
  <c r="AC39" i="2"/>
  <c r="Z39" i="2"/>
  <c r="AA39" i="2" s="1"/>
  <c r="X39" i="2"/>
  <c r="S39" i="2"/>
  <c r="I39" i="2"/>
  <c r="A39" i="2"/>
  <c r="CC38" i="2"/>
  <c r="CD38" i="2" s="1"/>
  <c r="CA38" i="2"/>
  <c r="BX38" i="2"/>
  <c r="BY38" i="2" s="1"/>
  <c r="BV38" i="2"/>
  <c r="BS38" i="2"/>
  <c r="BT38" i="2" s="1"/>
  <c r="BQ38" i="2"/>
  <c r="BN38" i="2"/>
  <c r="BO38" i="2" s="1"/>
  <c r="BL38" i="2"/>
  <c r="BI38" i="2"/>
  <c r="BJ38" i="2" s="1"/>
  <c r="BG38" i="2"/>
  <c r="BD38" i="2"/>
  <c r="BE38" i="2" s="1"/>
  <c r="BB38" i="2"/>
  <c r="AY38" i="2"/>
  <c r="AZ38" i="2" s="1"/>
  <c r="AW38" i="2"/>
  <c r="AT38" i="2"/>
  <c r="AU38" i="2" s="1"/>
  <c r="AR38" i="2"/>
  <c r="AO38" i="2"/>
  <c r="AP38" i="2" s="1"/>
  <c r="AM38" i="2"/>
  <c r="AJ38" i="2"/>
  <c r="AK38" i="2" s="1"/>
  <c r="AH38" i="2"/>
  <c r="AE38" i="2"/>
  <c r="AF38" i="2" s="1"/>
  <c r="AC38" i="2"/>
  <c r="Z38" i="2"/>
  <c r="AA38" i="2" s="1"/>
  <c r="X38" i="2"/>
  <c r="S38" i="2"/>
  <c r="I38" i="2"/>
  <c r="A38" i="2"/>
  <c r="CC37" i="2"/>
  <c r="CD37" i="2" s="1"/>
  <c r="CA37" i="2"/>
  <c r="BX37" i="2"/>
  <c r="BY37" i="2" s="1"/>
  <c r="BV37" i="2"/>
  <c r="BS37" i="2"/>
  <c r="BT37" i="2" s="1"/>
  <c r="BQ37" i="2"/>
  <c r="BN37" i="2"/>
  <c r="BO37" i="2" s="1"/>
  <c r="BL37" i="2"/>
  <c r="BI37" i="2"/>
  <c r="BJ37" i="2" s="1"/>
  <c r="BG37" i="2"/>
  <c r="BD37" i="2"/>
  <c r="BE37" i="2" s="1"/>
  <c r="BB37" i="2"/>
  <c r="AY37" i="2"/>
  <c r="AZ37" i="2" s="1"/>
  <c r="AW37" i="2"/>
  <c r="AT37" i="2"/>
  <c r="AU37" i="2" s="1"/>
  <c r="AR37" i="2"/>
  <c r="AO37" i="2"/>
  <c r="AP37" i="2" s="1"/>
  <c r="AM37" i="2"/>
  <c r="AJ37" i="2"/>
  <c r="AK37" i="2" s="1"/>
  <c r="AH37" i="2"/>
  <c r="AE37" i="2"/>
  <c r="AF37" i="2" s="1"/>
  <c r="AC37" i="2"/>
  <c r="Z37" i="2"/>
  <c r="AA37" i="2" s="1"/>
  <c r="X37" i="2"/>
  <c r="S37" i="2"/>
  <c r="I37" i="2"/>
  <c r="A37" i="2"/>
  <c r="CC36" i="2"/>
  <c r="CD36" i="2" s="1"/>
  <c r="CA36" i="2"/>
  <c r="BX36" i="2"/>
  <c r="BY36" i="2" s="1"/>
  <c r="BV36" i="2"/>
  <c r="BS36" i="2"/>
  <c r="BT36" i="2" s="1"/>
  <c r="BQ36" i="2"/>
  <c r="BN36" i="2"/>
  <c r="BO36" i="2" s="1"/>
  <c r="BL36" i="2"/>
  <c r="BI36" i="2"/>
  <c r="BJ36" i="2" s="1"/>
  <c r="BG36" i="2"/>
  <c r="BD36" i="2"/>
  <c r="BE36" i="2" s="1"/>
  <c r="BB36" i="2"/>
  <c r="AY36" i="2"/>
  <c r="AZ36" i="2" s="1"/>
  <c r="AW36" i="2"/>
  <c r="AT36" i="2"/>
  <c r="AU36" i="2" s="1"/>
  <c r="AR36" i="2"/>
  <c r="AO36" i="2"/>
  <c r="AP36" i="2" s="1"/>
  <c r="AM36" i="2"/>
  <c r="AJ36" i="2"/>
  <c r="AK36" i="2" s="1"/>
  <c r="AH36" i="2"/>
  <c r="AE36" i="2"/>
  <c r="AF36" i="2" s="1"/>
  <c r="AC36" i="2"/>
  <c r="Z36" i="2"/>
  <c r="AA36" i="2" s="1"/>
  <c r="X36" i="2"/>
  <c r="S36" i="2"/>
  <c r="I36" i="2"/>
  <c r="A36" i="2"/>
  <c r="B351" i="2" l="1"/>
  <c r="T41" i="2"/>
  <c r="T38" i="2"/>
  <c r="T37" i="2"/>
  <c r="T36" i="2"/>
  <c r="T39" i="2"/>
  <c r="T40" i="2"/>
  <c r="T42" i="2"/>
  <c r="B352" i="2" l="1"/>
  <c r="B353" i="2" l="1"/>
  <c r="C5" i="1"/>
  <c r="B354" i="2" l="1"/>
  <c r="C6" i="1"/>
  <c r="B355" i="2" l="1"/>
  <c r="C7" i="1"/>
  <c r="CC34" i="2"/>
  <c r="CD34" i="2" s="1"/>
  <c r="CA34" i="2"/>
  <c r="BX34" i="2"/>
  <c r="BY34" i="2" s="1"/>
  <c r="BV34" i="2"/>
  <c r="BS34" i="2"/>
  <c r="BT34" i="2" s="1"/>
  <c r="BQ34" i="2"/>
  <c r="BN34" i="2"/>
  <c r="BO34" i="2" s="1"/>
  <c r="BL34" i="2"/>
  <c r="BI34" i="2"/>
  <c r="BJ34" i="2" s="1"/>
  <c r="BG34" i="2"/>
  <c r="BD34" i="2"/>
  <c r="BE34" i="2" s="1"/>
  <c r="BB34" i="2"/>
  <c r="AY34" i="2"/>
  <c r="AZ34" i="2" s="1"/>
  <c r="AW34" i="2"/>
  <c r="AT34" i="2"/>
  <c r="AU34" i="2" s="1"/>
  <c r="AR34" i="2"/>
  <c r="AO34" i="2"/>
  <c r="AP34" i="2" s="1"/>
  <c r="AM34" i="2"/>
  <c r="AJ34" i="2"/>
  <c r="AK34" i="2" s="1"/>
  <c r="AH34" i="2"/>
  <c r="AE34" i="2"/>
  <c r="AF34" i="2" s="1"/>
  <c r="AC34" i="2"/>
  <c r="Z34" i="2"/>
  <c r="AA34" i="2" s="1"/>
  <c r="X34" i="2"/>
  <c r="S34" i="2"/>
  <c r="I34" i="2"/>
  <c r="A34" i="2"/>
  <c r="CC33" i="2"/>
  <c r="CD33" i="2" s="1"/>
  <c r="CA33" i="2"/>
  <c r="BX33" i="2"/>
  <c r="BY33" i="2" s="1"/>
  <c r="BV33" i="2"/>
  <c r="BS33" i="2"/>
  <c r="BT33" i="2" s="1"/>
  <c r="BQ33" i="2"/>
  <c r="BN33" i="2"/>
  <c r="BO33" i="2" s="1"/>
  <c r="BL33" i="2"/>
  <c r="BI33" i="2"/>
  <c r="BJ33" i="2" s="1"/>
  <c r="BG33" i="2"/>
  <c r="BD33" i="2"/>
  <c r="BE33" i="2" s="1"/>
  <c r="BB33" i="2"/>
  <c r="AY33" i="2"/>
  <c r="AZ33" i="2" s="1"/>
  <c r="AW33" i="2"/>
  <c r="AT33" i="2"/>
  <c r="AU33" i="2" s="1"/>
  <c r="AR33" i="2"/>
  <c r="AO33" i="2"/>
  <c r="AP33" i="2" s="1"/>
  <c r="AM33" i="2"/>
  <c r="AJ33" i="2"/>
  <c r="AK33" i="2" s="1"/>
  <c r="AH33" i="2"/>
  <c r="AE33" i="2"/>
  <c r="AF33" i="2" s="1"/>
  <c r="AC33" i="2"/>
  <c r="Z33" i="2"/>
  <c r="AA33" i="2" s="1"/>
  <c r="X33" i="2"/>
  <c r="S33" i="2"/>
  <c r="I33" i="2"/>
  <c r="A33" i="2"/>
  <c r="CC32" i="2"/>
  <c r="CD32" i="2" s="1"/>
  <c r="CA32" i="2"/>
  <c r="BX32" i="2"/>
  <c r="BY32" i="2" s="1"/>
  <c r="BV32" i="2"/>
  <c r="BS32" i="2"/>
  <c r="BT32" i="2" s="1"/>
  <c r="BQ32" i="2"/>
  <c r="BN32" i="2"/>
  <c r="BO32" i="2" s="1"/>
  <c r="BL32" i="2"/>
  <c r="BI32" i="2"/>
  <c r="BJ32" i="2" s="1"/>
  <c r="BG32" i="2"/>
  <c r="BD32" i="2"/>
  <c r="BE32" i="2" s="1"/>
  <c r="BB32" i="2"/>
  <c r="AY32" i="2"/>
  <c r="AZ32" i="2" s="1"/>
  <c r="AW32" i="2"/>
  <c r="AT32" i="2"/>
  <c r="AU32" i="2" s="1"/>
  <c r="AR32" i="2"/>
  <c r="AO32" i="2"/>
  <c r="AP32" i="2" s="1"/>
  <c r="AM32" i="2"/>
  <c r="AJ32" i="2"/>
  <c r="AK32" i="2" s="1"/>
  <c r="AH32" i="2"/>
  <c r="AE32" i="2"/>
  <c r="AF32" i="2" s="1"/>
  <c r="AC32" i="2"/>
  <c r="Z32" i="2"/>
  <c r="AA32" i="2" s="1"/>
  <c r="X32" i="2"/>
  <c r="S32" i="2"/>
  <c r="I32" i="2"/>
  <c r="A32" i="2"/>
  <c r="CC31" i="2"/>
  <c r="CD31" i="2" s="1"/>
  <c r="CA31" i="2"/>
  <c r="BX31" i="2"/>
  <c r="BY31" i="2" s="1"/>
  <c r="BV31" i="2"/>
  <c r="BS31" i="2"/>
  <c r="BT31" i="2" s="1"/>
  <c r="BQ31" i="2"/>
  <c r="BN31" i="2"/>
  <c r="BO31" i="2" s="1"/>
  <c r="BL31" i="2"/>
  <c r="BI31" i="2"/>
  <c r="BJ31" i="2" s="1"/>
  <c r="BG31" i="2"/>
  <c r="BD31" i="2"/>
  <c r="BE31" i="2" s="1"/>
  <c r="BB31" i="2"/>
  <c r="AY31" i="2"/>
  <c r="AZ31" i="2" s="1"/>
  <c r="AW31" i="2"/>
  <c r="AT31" i="2"/>
  <c r="AU31" i="2" s="1"/>
  <c r="AR31" i="2"/>
  <c r="AO31" i="2"/>
  <c r="AP31" i="2" s="1"/>
  <c r="AM31" i="2"/>
  <c r="AJ31" i="2"/>
  <c r="AK31" i="2" s="1"/>
  <c r="AH31" i="2"/>
  <c r="AE31" i="2"/>
  <c r="AF31" i="2" s="1"/>
  <c r="AC31" i="2"/>
  <c r="Z31" i="2"/>
  <c r="AA31" i="2" s="1"/>
  <c r="X31" i="2"/>
  <c r="S31" i="2"/>
  <c r="I31" i="2"/>
  <c r="A31" i="2"/>
  <c r="CC30" i="2"/>
  <c r="CD30" i="2" s="1"/>
  <c r="CA30" i="2"/>
  <c r="BX30" i="2"/>
  <c r="BY30" i="2" s="1"/>
  <c r="BV30" i="2"/>
  <c r="BS30" i="2"/>
  <c r="BT30" i="2" s="1"/>
  <c r="BQ30" i="2"/>
  <c r="BN30" i="2"/>
  <c r="BO30" i="2" s="1"/>
  <c r="BL30" i="2"/>
  <c r="BI30" i="2"/>
  <c r="BJ30" i="2" s="1"/>
  <c r="BG30" i="2"/>
  <c r="BD30" i="2"/>
  <c r="BE30" i="2" s="1"/>
  <c r="BB30" i="2"/>
  <c r="AY30" i="2"/>
  <c r="AZ30" i="2" s="1"/>
  <c r="AW30" i="2"/>
  <c r="AT30" i="2"/>
  <c r="AU30" i="2" s="1"/>
  <c r="AR30" i="2"/>
  <c r="AO30" i="2"/>
  <c r="AP30" i="2" s="1"/>
  <c r="AM30" i="2"/>
  <c r="AJ30" i="2"/>
  <c r="AK30" i="2" s="1"/>
  <c r="AH30" i="2"/>
  <c r="AE30" i="2"/>
  <c r="AF30" i="2" s="1"/>
  <c r="AC30" i="2"/>
  <c r="Z30" i="2"/>
  <c r="AA30" i="2" s="1"/>
  <c r="X30" i="2"/>
  <c r="S30" i="2"/>
  <c r="I30" i="2"/>
  <c r="A30" i="2"/>
  <c r="CC29" i="2"/>
  <c r="CD29" i="2" s="1"/>
  <c r="CA29" i="2"/>
  <c r="BX29" i="2"/>
  <c r="BY29" i="2" s="1"/>
  <c r="BV29" i="2"/>
  <c r="BS29" i="2"/>
  <c r="BT29" i="2" s="1"/>
  <c r="BQ29" i="2"/>
  <c r="BN29" i="2"/>
  <c r="BO29" i="2" s="1"/>
  <c r="BL29" i="2"/>
  <c r="BI29" i="2"/>
  <c r="BJ29" i="2" s="1"/>
  <c r="BG29" i="2"/>
  <c r="BD29" i="2"/>
  <c r="BE29" i="2" s="1"/>
  <c r="BB29" i="2"/>
  <c r="AY29" i="2"/>
  <c r="AZ29" i="2" s="1"/>
  <c r="AW29" i="2"/>
  <c r="AT29" i="2"/>
  <c r="AU29" i="2" s="1"/>
  <c r="AR29" i="2"/>
  <c r="AO29" i="2"/>
  <c r="AP29" i="2" s="1"/>
  <c r="AM29" i="2"/>
  <c r="AJ29" i="2"/>
  <c r="AK29" i="2" s="1"/>
  <c r="AH29" i="2"/>
  <c r="AE29" i="2"/>
  <c r="AF29" i="2" s="1"/>
  <c r="AC29" i="2"/>
  <c r="Z29" i="2"/>
  <c r="AA29" i="2" s="1"/>
  <c r="X29" i="2"/>
  <c r="S29" i="2"/>
  <c r="I29" i="2"/>
  <c r="A29" i="2"/>
  <c r="CC28" i="2"/>
  <c r="CD28" i="2" s="1"/>
  <c r="CA28" i="2"/>
  <c r="BX28" i="2"/>
  <c r="BY28" i="2" s="1"/>
  <c r="BV28" i="2"/>
  <c r="BS28" i="2"/>
  <c r="BT28" i="2" s="1"/>
  <c r="BQ28" i="2"/>
  <c r="BN28" i="2"/>
  <c r="BO28" i="2" s="1"/>
  <c r="BL28" i="2"/>
  <c r="BI28" i="2"/>
  <c r="BJ28" i="2" s="1"/>
  <c r="BG28" i="2"/>
  <c r="BD28" i="2"/>
  <c r="BE28" i="2" s="1"/>
  <c r="BB28" i="2"/>
  <c r="AY28" i="2"/>
  <c r="AZ28" i="2" s="1"/>
  <c r="AW28" i="2"/>
  <c r="AT28" i="2"/>
  <c r="AU28" i="2" s="1"/>
  <c r="AR28" i="2"/>
  <c r="AO28" i="2"/>
  <c r="AP28" i="2" s="1"/>
  <c r="AM28" i="2"/>
  <c r="AJ28" i="2"/>
  <c r="AK28" i="2" s="1"/>
  <c r="AH28" i="2"/>
  <c r="AE28" i="2"/>
  <c r="AF28" i="2" s="1"/>
  <c r="AC28" i="2"/>
  <c r="Z28" i="2"/>
  <c r="AA28" i="2" s="1"/>
  <c r="X28" i="2"/>
  <c r="S28" i="2"/>
  <c r="I28" i="2"/>
  <c r="A28" i="2"/>
  <c r="CC27" i="2"/>
  <c r="CD27" i="2" s="1"/>
  <c r="CA27" i="2"/>
  <c r="BX27" i="2"/>
  <c r="BY27" i="2" s="1"/>
  <c r="BV27" i="2"/>
  <c r="BS27" i="2"/>
  <c r="BT27" i="2" s="1"/>
  <c r="BQ27" i="2"/>
  <c r="BN27" i="2"/>
  <c r="BO27" i="2" s="1"/>
  <c r="BL27" i="2"/>
  <c r="BI27" i="2"/>
  <c r="BJ27" i="2" s="1"/>
  <c r="BG27" i="2"/>
  <c r="BD27" i="2"/>
  <c r="BE27" i="2" s="1"/>
  <c r="BB27" i="2"/>
  <c r="AY27" i="2"/>
  <c r="AZ27" i="2" s="1"/>
  <c r="AW27" i="2"/>
  <c r="AT27" i="2"/>
  <c r="AU27" i="2" s="1"/>
  <c r="AR27" i="2"/>
  <c r="AO27" i="2"/>
  <c r="AP27" i="2" s="1"/>
  <c r="AM27" i="2"/>
  <c r="AJ27" i="2"/>
  <c r="AK27" i="2" s="1"/>
  <c r="AH27" i="2"/>
  <c r="AE27" i="2"/>
  <c r="AF27" i="2" s="1"/>
  <c r="AC27" i="2"/>
  <c r="Z27" i="2"/>
  <c r="AA27" i="2" s="1"/>
  <c r="X27" i="2"/>
  <c r="S27" i="2"/>
  <c r="I27" i="2"/>
  <c r="A27" i="2"/>
  <c r="CC26" i="2"/>
  <c r="CD26" i="2" s="1"/>
  <c r="CA26" i="2"/>
  <c r="BX26" i="2"/>
  <c r="BY26" i="2" s="1"/>
  <c r="BV26" i="2"/>
  <c r="BS26" i="2"/>
  <c r="BT26" i="2" s="1"/>
  <c r="BQ26" i="2"/>
  <c r="BN26" i="2"/>
  <c r="BO26" i="2" s="1"/>
  <c r="BL26" i="2"/>
  <c r="BI26" i="2"/>
  <c r="BJ26" i="2" s="1"/>
  <c r="BG26" i="2"/>
  <c r="BD26" i="2"/>
  <c r="BE26" i="2" s="1"/>
  <c r="BB26" i="2"/>
  <c r="AY26" i="2"/>
  <c r="AZ26" i="2" s="1"/>
  <c r="AW26" i="2"/>
  <c r="AT26" i="2"/>
  <c r="AU26" i="2" s="1"/>
  <c r="AR26" i="2"/>
  <c r="AO26" i="2"/>
  <c r="AP26" i="2" s="1"/>
  <c r="AM26" i="2"/>
  <c r="AJ26" i="2"/>
  <c r="AK26" i="2" s="1"/>
  <c r="AH26" i="2"/>
  <c r="AE26" i="2"/>
  <c r="AF26" i="2" s="1"/>
  <c r="AC26" i="2"/>
  <c r="Z26" i="2"/>
  <c r="AA26" i="2" s="1"/>
  <c r="X26" i="2"/>
  <c r="S26" i="2"/>
  <c r="I26" i="2"/>
  <c r="A26" i="2"/>
  <c r="CC25" i="2"/>
  <c r="CD25" i="2" s="1"/>
  <c r="CA25" i="2"/>
  <c r="BX25" i="2"/>
  <c r="BY25" i="2" s="1"/>
  <c r="BV25" i="2"/>
  <c r="BS25" i="2"/>
  <c r="BT25" i="2" s="1"/>
  <c r="BQ25" i="2"/>
  <c r="BN25" i="2"/>
  <c r="BO25" i="2" s="1"/>
  <c r="BL25" i="2"/>
  <c r="BI25" i="2"/>
  <c r="BJ25" i="2" s="1"/>
  <c r="BG25" i="2"/>
  <c r="BD25" i="2"/>
  <c r="BE25" i="2" s="1"/>
  <c r="BB25" i="2"/>
  <c r="AY25" i="2"/>
  <c r="AZ25" i="2" s="1"/>
  <c r="AW25" i="2"/>
  <c r="AT25" i="2"/>
  <c r="AU25" i="2" s="1"/>
  <c r="AR25" i="2"/>
  <c r="AO25" i="2"/>
  <c r="AP25" i="2" s="1"/>
  <c r="AM25" i="2"/>
  <c r="AJ25" i="2"/>
  <c r="AK25" i="2" s="1"/>
  <c r="AH25" i="2"/>
  <c r="AE25" i="2"/>
  <c r="AF25" i="2" s="1"/>
  <c r="AC25" i="2"/>
  <c r="Z25" i="2"/>
  <c r="AA25" i="2" s="1"/>
  <c r="X25" i="2"/>
  <c r="S25" i="2"/>
  <c r="I25" i="2"/>
  <c r="A25" i="2"/>
  <c r="CC24" i="2"/>
  <c r="CD24" i="2" s="1"/>
  <c r="CA24" i="2"/>
  <c r="BX24" i="2"/>
  <c r="BY24" i="2" s="1"/>
  <c r="BV24" i="2"/>
  <c r="BS24" i="2"/>
  <c r="BT24" i="2" s="1"/>
  <c r="BQ24" i="2"/>
  <c r="BN24" i="2"/>
  <c r="BO24" i="2" s="1"/>
  <c r="BL24" i="2"/>
  <c r="BI24" i="2"/>
  <c r="BJ24" i="2" s="1"/>
  <c r="BG24" i="2"/>
  <c r="BD24" i="2"/>
  <c r="BE24" i="2" s="1"/>
  <c r="BB24" i="2"/>
  <c r="AY24" i="2"/>
  <c r="AZ24" i="2" s="1"/>
  <c r="AW24" i="2"/>
  <c r="AT24" i="2"/>
  <c r="AU24" i="2" s="1"/>
  <c r="AR24" i="2"/>
  <c r="AO24" i="2"/>
  <c r="AP24" i="2" s="1"/>
  <c r="AM24" i="2"/>
  <c r="AJ24" i="2"/>
  <c r="AK24" i="2" s="1"/>
  <c r="AH24" i="2"/>
  <c r="AE24" i="2"/>
  <c r="AF24" i="2" s="1"/>
  <c r="AC24" i="2"/>
  <c r="Z24" i="2"/>
  <c r="AA24" i="2" s="1"/>
  <c r="X24" i="2"/>
  <c r="S24" i="2"/>
  <c r="I24" i="2"/>
  <c r="A24" i="2"/>
  <c r="CC23" i="2"/>
  <c r="CD23" i="2" s="1"/>
  <c r="CA23" i="2"/>
  <c r="BX23" i="2"/>
  <c r="BY23" i="2" s="1"/>
  <c r="BV23" i="2"/>
  <c r="BS23" i="2"/>
  <c r="BT23" i="2" s="1"/>
  <c r="BQ23" i="2"/>
  <c r="BN23" i="2"/>
  <c r="BO23" i="2" s="1"/>
  <c r="BL23" i="2"/>
  <c r="BI23" i="2"/>
  <c r="BJ23" i="2" s="1"/>
  <c r="BG23" i="2"/>
  <c r="BD23" i="2"/>
  <c r="BE23" i="2" s="1"/>
  <c r="BB23" i="2"/>
  <c r="AY23" i="2"/>
  <c r="AZ23" i="2" s="1"/>
  <c r="AW23" i="2"/>
  <c r="AT23" i="2"/>
  <c r="AU23" i="2" s="1"/>
  <c r="AR23" i="2"/>
  <c r="AO23" i="2"/>
  <c r="AP23" i="2" s="1"/>
  <c r="AM23" i="2"/>
  <c r="AJ23" i="2"/>
  <c r="AK23" i="2" s="1"/>
  <c r="AH23" i="2"/>
  <c r="AE23" i="2"/>
  <c r="AF23" i="2" s="1"/>
  <c r="AC23" i="2"/>
  <c r="Z23" i="2"/>
  <c r="AA23" i="2" s="1"/>
  <c r="X23" i="2"/>
  <c r="S23" i="2"/>
  <c r="I23" i="2"/>
  <c r="A23" i="2"/>
  <c r="CC22" i="2"/>
  <c r="CD22" i="2" s="1"/>
  <c r="CA22" i="2"/>
  <c r="BX22" i="2"/>
  <c r="BY22" i="2" s="1"/>
  <c r="BV22" i="2"/>
  <c r="BS22" i="2"/>
  <c r="BT22" i="2" s="1"/>
  <c r="BQ22" i="2"/>
  <c r="BN22" i="2"/>
  <c r="BO22" i="2" s="1"/>
  <c r="BL22" i="2"/>
  <c r="BI22" i="2"/>
  <c r="BJ22" i="2" s="1"/>
  <c r="BG22" i="2"/>
  <c r="BD22" i="2"/>
  <c r="BE22" i="2" s="1"/>
  <c r="BB22" i="2"/>
  <c r="AY22" i="2"/>
  <c r="AZ22" i="2" s="1"/>
  <c r="AW22" i="2"/>
  <c r="AT22" i="2"/>
  <c r="AU22" i="2" s="1"/>
  <c r="AR22" i="2"/>
  <c r="AO22" i="2"/>
  <c r="AP22" i="2" s="1"/>
  <c r="AM22" i="2"/>
  <c r="AJ22" i="2"/>
  <c r="AK22" i="2" s="1"/>
  <c r="AH22" i="2"/>
  <c r="AE22" i="2"/>
  <c r="AF22" i="2" s="1"/>
  <c r="AC22" i="2"/>
  <c r="Z22" i="2"/>
  <c r="AA22" i="2" s="1"/>
  <c r="X22" i="2"/>
  <c r="S22" i="2"/>
  <c r="I22" i="2"/>
  <c r="A22" i="2"/>
  <c r="CC21" i="2"/>
  <c r="CD21" i="2" s="1"/>
  <c r="CA21" i="2"/>
  <c r="BX21" i="2"/>
  <c r="BY21" i="2" s="1"/>
  <c r="BV21" i="2"/>
  <c r="BS21" i="2"/>
  <c r="BT21" i="2" s="1"/>
  <c r="BQ21" i="2"/>
  <c r="BN21" i="2"/>
  <c r="BO21" i="2" s="1"/>
  <c r="BL21" i="2"/>
  <c r="BI21" i="2"/>
  <c r="BJ21" i="2" s="1"/>
  <c r="BG21" i="2"/>
  <c r="BD21" i="2"/>
  <c r="BE21" i="2" s="1"/>
  <c r="BB21" i="2"/>
  <c r="AY21" i="2"/>
  <c r="AZ21" i="2" s="1"/>
  <c r="AW21" i="2"/>
  <c r="AT21" i="2"/>
  <c r="AU21" i="2" s="1"/>
  <c r="AR21" i="2"/>
  <c r="AO21" i="2"/>
  <c r="AP21" i="2" s="1"/>
  <c r="AM21" i="2"/>
  <c r="AJ21" i="2"/>
  <c r="AK21" i="2" s="1"/>
  <c r="AH21" i="2"/>
  <c r="AE21" i="2"/>
  <c r="AF21" i="2" s="1"/>
  <c r="AC21" i="2"/>
  <c r="Z21" i="2"/>
  <c r="AA21" i="2" s="1"/>
  <c r="X21" i="2"/>
  <c r="S21" i="2"/>
  <c r="I21" i="2"/>
  <c r="A21" i="2"/>
  <c r="CC20" i="2"/>
  <c r="CD20" i="2" s="1"/>
  <c r="CA20" i="2"/>
  <c r="BX20" i="2"/>
  <c r="BY20" i="2" s="1"/>
  <c r="BV20" i="2"/>
  <c r="BS20" i="2"/>
  <c r="BT20" i="2" s="1"/>
  <c r="BQ20" i="2"/>
  <c r="BN20" i="2"/>
  <c r="BO20" i="2" s="1"/>
  <c r="BL20" i="2"/>
  <c r="BI20" i="2"/>
  <c r="BJ20" i="2" s="1"/>
  <c r="BG20" i="2"/>
  <c r="BD20" i="2"/>
  <c r="BE20" i="2" s="1"/>
  <c r="BB20" i="2"/>
  <c r="AY20" i="2"/>
  <c r="AZ20" i="2" s="1"/>
  <c r="AW20" i="2"/>
  <c r="AT20" i="2"/>
  <c r="AU20" i="2" s="1"/>
  <c r="AR20" i="2"/>
  <c r="AO20" i="2"/>
  <c r="AP20" i="2" s="1"/>
  <c r="AM20" i="2"/>
  <c r="AJ20" i="2"/>
  <c r="AK20" i="2" s="1"/>
  <c r="AH20" i="2"/>
  <c r="AE20" i="2"/>
  <c r="AF20" i="2" s="1"/>
  <c r="AC20" i="2"/>
  <c r="Z20" i="2"/>
  <c r="AA20" i="2" s="1"/>
  <c r="X20" i="2"/>
  <c r="S20" i="2"/>
  <c r="I20" i="2"/>
  <c r="A20" i="2"/>
  <c r="CC19" i="2"/>
  <c r="CD19" i="2" s="1"/>
  <c r="CA19" i="2"/>
  <c r="BX19" i="2"/>
  <c r="BY19" i="2" s="1"/>
  <c r="BV19" i="2"/>
  <c r="BS19" i="2"/>
  <c r="BT19" i="2" s="1"/>
  <c r="BQ19" i="2"/>
  <c r="BN19" i="2"/>
  <c r="BO19" i="2" s="1"/>
  <c r="BL19" i="2"/>
  <c r="BI19" i="2"/>
  <c r="BJ19" i="2" s="1"/>
  <c r="BG19" i="2"/>
  <c r="BD19" i="2"/>
  <c r="BE19" i="2" s="1"/>
  <c r="BB19" i="2"/>
  <c r="AY19" i="2"/>
  <c r="AZ19" i="2" s="1"/>
  <c r="AW19" i="2"/>
  <c r="AT19" i="2"/>
  <c r="AU19" i="2" s="1"/>
  <c r="AR19" i="2"/>
  <c r="AO19" i="2"/>
  <c r="AP19" i="2" s="1"/>
  <c r="AM19" i="2"/>
  <c r="AJ19" i="2"/>
  <c r="AK19" i="2" s="1"/>
  <c r="AH19" i="2"/>
  <c r="AE19" i="2"/>
  <c r="AF19" i="2" s="1"/>
  <c r="AC19" i="2"/>
  <c r="Z19" i="2"/>
  <c r="AA19" i="2" s="1"/>
  <c r="X19" i="2"/>
  <c r="S19" i="2"/>
  <c r="I19" i="2"/>
  <c r="A19" i="2"/>
  <c r="CC18" i="2"/>
  <c r="CD18" i="2" s="1"/>
  <c r="CA18" i="2"/>
  <c r="BX18" i="2"/>
  <c r="BY18" i="2" s="1"/>
  <c r="BV18" i="2"/>
  <c r="BS18" i="2"/>
  <c r="BT18" i="2" s="1"/>
  <c r="BQ18" i="2"/>
  <c r="BN18" i="2"/>
  <c r="BO18" i="2" s="1"/>
  <c r="BL18" i="2"/>
  <c r="BI18" i="2"/>
  <c r="BJ18" i="2" s="1"/>
  <c r="BG18" i="2"/>
  <c r="BD18" i="2"/>
  <c r="BE18" i="2" s="1"/>
  <c r="BB18" i="2"/>
  <c r="AY18" i="2"/>
  <c r="AZ18" i="2" s="1"/>
  <c r="AW18" i="2"/>
  <c r="AT18" i="2"/>
  <c r="AU18" i="2" s="1"/>
  <c r="AR18" i="2"/>
  <c r="AO18" i="2"/>
  <c r="AP18" i="2" s="1"/>
  <c r="AM18" i="2"/>
  <c r="AJ18" i="2"/>
  <c r="AK18" i="2" s="1"/>
  <c r="AH18" i="2"/>
  <c r="AE18" i="2"/>
  <c r="AF18" i="2" s="1"/>
  <c r="AC18" i="2"/>
  <c r="Z18" i="2"/>
  <c r="AA18" i="2" s="1"/>
  <c r="X18" i="2"/>
  <c r="S18" i="2"/>
  <c r="I18" i="2"/>
  <c r="A18" i="2"/>
  <c r="CC17" i="2"/>
  <c r="CD17" i="2" s="1"/>
  <c r="CA17" i="2"/>
  <c r="BX17" i="2"/>
  <c r="BY17" i="2" s="1"/>
  <c r="BV17" i="2"/>
  <c r="BS17" i="2"/>
  <c r="BT17" i="2" s="1"/>
  <c r="BQ17" i="2"/>
  <c r="BN17" i="2"/>
  <c r="BO17" i="2" s="1"/>
  <c r="BL17" i="2"/>
  <c r="BI17" i="2"/>
  <c r="BJ17" i="2" s="1"/>
  <c r="BG17" i="2"/>
  <c r="BD17" i="2"/>
  <c r="BE17" i="2" s="1"/>
  <c r="BB17" i="2"/>
  <c r="AY17" i="2"/>
  <c r="AZ17" i="2" s="1"/>
  <c r="AW17" i="2"/>
  <c r="AT17" i="2"/>
  <c r="AU17" i="2" s="1"/>
  <c r="AR17" i="2"/>
  <c r="AO17" i="2"/>
  <c r="AP17" i="2" s="1"/>
  <c r="AM17" i="2"/>
  <c r="AJ17" i="2"/>
  <c r="AK17" i="2" s="1"/>
  <c r="AH17" i="2"/>
  <c r="AE17" i="2"/>
  <c r="AF17" i="2" s="1"/>
  <c r="AC17" i="2"/>
  <c r="Z17" i="2"/>
  <c r="AA17" i="2" s="1"/>
  <c r="X17" i="2"/>
  <c r="S17" i="2"/>
  <c r="I17" i="2"/>
  <c r="A17" i="2"/>
  <c r="CC16" i="2"/>
  <c r="CD16" i="2" s="1"/>
  <c r="CA16" i="2"/>
  <c r="BX16" i="2"/>
  <c r="BY16" i="2" s="1"/>
  <c r="BV16" i="2"/>
  <c r="BS16" i="2"/>
  <c r="BT16" i="2" s="1"/>
  <c r="BQ16" i="2"/>
  <c r="BN16" i="2"/>
  <c r="BO16" i="2" s="1"/>
  <c r="BL16" i="2"/>
  <c r="BI16" i="2"/>
  <c r="BJ16" i="2" s="1"/>
  <c r="BG16" i="2"/>
  <c r="BD16" i="2"/>
  <c r="BE16" i="2" s="1"/>
  <c r="BB16" i="2"/>
  <c r="AY16" i="2"/>
  <c r="AZ16" i="2" s="1"/>
  <c r="AW16" i="2"/>
  <c r="AT16" i="2"/>
  <c r="AU16" i="2" s="1"/>
  <c r="AR16" i="2"/>
  <c r="AO16" i="2"/>
  <c r="AP16" i="2" s="1"/>
  <c r="AM16" i="2"/>
  <c r="AJ16" i="2"/>
  <c r="AK16" i="2" s="1"/>
  <c r="AH16" i="2"/>
  <c r="AE16" i="2"/>
  <c r="AF16" i="2" s="1"/>
  <c r="AC16" i="2"/>
  <c r="Z16" i="2"/>
  <c r="AA16" i="2" s="1"/>
  <c r="X16" i="2"/>
  <c r="S16" i="2"/>
  <c r="I16" i="2"/>
  <c r="A16" i="2"/>
  <c r="CC15" i="2"/>
  <c r="CD15" i="2" s="1"/>
  <c r="CA15" i="2"/>
  <c r="BX15" i="2"/>
  <c r="BY15" i="2" s="1"/>
  <c r="BV15" i="2"/>
  <c r="BS15" i="2"/>
  <c r="BT15" i="2" s="1"/>
  <c r="BQ15" i="2"/>
  <c r="BN15" i="2"/>
  <c r="BO15" i="2" s="1"/>
  <c r="BL15" i="2"/>
  <c r="BI15" i="2"/>
  <c r="BJ15" i="2" s="1"/>
  <c r="BG15" i="2"/>
  <c r="BD15" i="2"/>
  <c r="BE15" i="2" s="1"/>
  <c r="BB15" i="2"/>
  <c r="AY15" i="2"/>
  <c r="AZ15" i="2" s="1"/>
  <c r="AW15" i="2"/>
  <c r="AT15" i="2"/>
  <c r="AU15" i="2" s="1"/>
  <c r="AR15" i="2"/>
  <c r="AO15" i="2"/>
  <c r="AP15" i="2" s="1"/>
  <c r="AM15" i="2"/>
  <c r="AJ15" i="2"/>
  <c r="AK15" i="2" s="1"/>
  <c r="AH15" i="2"/>
  <c r="AE15" i="2"/>
  <c r="AF15" i="2" s="1"/>
  <c r="AC15" i="2"/>
  <c r="Z15" i="2"/>
  <c r="AA15" i="2" s="1"/>
  <c r="X15" i="2"/>
  <c r="S15" i="2"/>
  <c r="I15" i="2"/>
  <c r="A15" i="2"/>
  <c r="CC14" i="2"/>
  <c r="CD14" i="2" s="1"/>
  <c r="CA14" i="2"/>
  <c r="BX14" i="2"/>
  <c r="BY14" i="2" s="1"/>
  <c r="BV14" i="2"/>
  <c r="BS14" i="2"/>
  <c r="BT14" i="2" s="1"/>
  <c r="BQ14" i="2"/>
  <c r="BN14" i="2"/>
  <c r="BO14" i="2" s="1"/>
  <c r="BL14" i="2"/>
  <c r="BI14" i="2"/>
  <c r="BJ14" i="2" s="1"/>
  <c r="BG14" i="2"/>
  <c r="BD14" i="2"/>
  <c r="BE14" i="2" s="1"/>
  <c r="BB14" i="2"/>
  <c r="AY14" i="2"/>
  <c r="AZ14" i="2" s="1"/>
  <c r="AW14" i="2"/>
  <c r="AT14" i="2"/>
  <c r="AU14" i="2" s="1"/>
  <c r="AR14" i="2"/>
  <c r="AO14" i="2"/>
  <c r="AP14" i="2" s="1"/>
  <c r="AM14" i="2"/>
  <c r="AJ14" i="2"/>
  <c r="AK14" i="2" s="1"/>
  <c r="AH14" i="2"/>
  <c r="AE14" i="2"/>
  <c r="AF14" i="2" s="1"/>
  <c r="AC14" i="2"/>
  <c r="Z14" i="2"/>
  <c r="AA14" i="2" s="1"/>
  <c r="X14" i="2"/>
  <c r="S14" i="2"/>
  <c r="I14" i="2"/>
  <c r="A14" i="2"/>
  <c r="CC13" i="2"/>
  <c r="CD13" i="2" s="1"/>
  <c r="CA13" i="2"/>
  <c r="BX13" i="2"/>
  <c r="BY13" i="2" s="1"/>
  <c r="BV13" i="2"/>
  <c r="BS13" i="2"/>
  <c r="BT13" i="2" s="1"/>
  <c r="BQ13" i="2"/>
  <c r="BN13" i="2"/>
  <c r="BO13" i="2" s="1"/>
  <c r="BL13" i="2"/>
  <c r="BI13" i="2"/>
  <c r="BJ13" i="2" s="1"/>
  <c r="BG13" i="2"/>
  <c r="BD13" i="2"/>
  <c r="BE13" i="2" s="1"/>
  <c r="BB13" i="2"/>
  <c r="AY13" i="2"/>
  <c r="AZ13" i="2" s="1"/>
  <c r="AW13" i="2"/>
  <c r="AT13" i="2"/>
  <c r="AU13" i="2" s="1"/>
  <c r="AR13" i="2"/>
  <c r="AO13" i="2"/>
  <c r="AP13" i="2" s="1"/>
  <c r="AM13" i="2"/>
  <c r="AJ13" i="2"/>
  <c r="AK13" i="2" s="1"/>
  <c r="AH13" i="2"/>
  <c r="AE13" i="2"/>
  <c r="AF13" i="2" s="1"/>
  <c r="AC13" i="2"/>
  <c r="Z13" i="2"/>
  <c r="AA13" i="2" s="1"/>
  <c r="X13" i="2"/>
  <c r="S13" i="2"/>
  <c r="I13" i="2"/>
  <c r="A13" i="2"/>
  <c r="CC12" i="2"/>
  <c r="CD12" i="2" s="1"/>
  <c r="CA12" i="2"/>
  <c r="BX12" i="2"/>
  <c r="BY12" i="2" s="1"/>
  <c r="BV12" i="2"/>
  <c r="BS12" i="2"/>
  <c r="BT12" i="2" s="1"/>
  <c r="BQ12" i="2"/>
  <c r="BN12" i="2"/>
  <c r="BO12" i="2" s="1"/>
  <c r="BL12" i="2"/>
  <c r="BI12" i="2"/>
  <c r="BJ12" i="2" s="1"/>
  <c r="BG12" i="2"/>
  <c r="BD12" i="2"/>
  <c r="BE12" i="2" s="1"/>
  <c r="BB12" i="2"/>
  <c r="AY12" i="2"/>
  <c r="AZ12" i="2" s="1"/>
  <c r="AW12" i="2"/>
  <c r="AT12" i="2"/>
  <c r="AU12" i="2" s="1"/>
  <c r="AR12" i="2"/>
  <c r="AO12" i="2"/>
  <c r="AP12" i="2" s="1"/>
  <c r="AM12" i="2"/>
  <c r="AJ12" i="2"/>
  <c r="AK12" i="2" s="1"/>
  <c r="AH12" i="2"/>
  <c r="AE12" i="2"/>
  <c r="AF12" i="2" s="1"/>
  <c r="AC12" i="2"/>
  <c r="Z12" i="2"/>
  <c r="AA12" i="2" s="1"/>
  <c r="X12" i="2"/>
  <c r="S12" i="2"/>
  <c r="I12" i="2"/>
  <c r="A12" i="2"/>
  <c r="B356" i="2" l="1"/>
  <c r="C8" i="1"/>
  <c r="T18" i="2"/>
  <c r="T15" i="2"/>
  <c r="T16" i="2"/>
  <c r="T19" i="2"/>
  <c r="T14" i="2"/>
  <c r="T23" i="2"/>
  <c r="T29" i="2"/>
  <c r="T34" i="2"/>
  <c r="T22" i="2"/>
  <c r="T26" i="2"/>
  <c r="T28" i="2"/>
  <c r="T32" i="2"/>
  <c r="T33" i="2"/>
  <c r="T12" i="2"/>
  <c r="T13" i="2"/>
  <c r="T17" i="2"/>
  <c r="T20" i="2"/>
  <c r="T21" i="2"/>
  <c r="T24" i="2"/>
  <c r="T25" i="2"/>
  <c r="T27" i="2"/>
  <c r="T30" i="2"/>
  <c r="T31" i="2"/>
  <c r="B357" i="2" l="1"/>
  <c r="C9" i="1"/>
  <c r="B358" i="2" l="1"/>
  <c r="C10" i="1"/>
  <c r="B359" i="2" l="1"/>
  <c r="C11" i="1"/>
  <c r="B360" i="2" l="1"/>
  <c r="C12" i="1"/>
  <c r="B361" i="2" l="1"/>
  <c r="C13" i="1"/>
  <c r="B362" i="2" l="1"/>
  <c r="C14" i="1"/>
  <c r="B363" i="2" l="1"/>
  <c r="C15" i="1"/>
  <c r="B364" i="2" l="1"/>
  <c r="C16" i="1"/>
  <c r="B365" i="2" l="1"/>
  <c r="C17" i="1"/>
  <c r="B366" i="2" l="1"/>
  <c r="C18" i="1"/>
  <c r="C19" i="1" s="1"/>
  <c r="B367" i="2" l="1"/>
  <c r="C20" i="1"/>
  <c r="B368" i="2" l="1"/>
  <c r="C21" i="1"/>
  <c r="B369" i="2" l="1"/>
  <c r="C22" i="1"/>
  <c r="B370" i="2" l="1"/>
  <c r="C23" i="1"/>
  <c r="B371" i="2" l="1"/>
  <c r="C24" i="1"/>
  <c r="F23" i="1"/>
  <c r="B372" i="2" l="1"/>
  <c r="C25" i="1"/>
  <c r="F24" i="1"/>
  <c r="B373" i="2" l="1"/>
  <c r="C26" i="1"/>
  <c r="F25" i="1"/>
  <c r="B374" i="2" l="1"/>
  <c r="C27" i="1"/>
  <c r="F26" i="1"/>
  <c r="B375" i="2" l="1"/>
  <c r="C28" i="1"/>
  <c r="F27" i="1"/>
  <c r="B376" i="2" l="1"/>
  <c r="C29" i="1"/>
  <c r="F28" i="1"/>
  <c r="B377" i="2" l="1"/>
  <c r="C30" i="1"/>
  <c r="F29" i="1"/>
  <c r="B378" i="2" l="1"/>
  <c r="C31" i="1"/>
  <c r="C32" i="1" s="1"/>
  <c r="C33" i="1" s="1"/>
  <c r="C34" i="1" s="1"/>
  <c r="F30" i="1"/>
  <c r="B379" i="2" l="1"/>
  <c r="F31" i="1"/>
  <c r="B380" i="2" l="1"/>
  <c r="F32" i="1"/>
  <c r="J528" i="2" l="1"/>
  <c r="J491" i="2"/>
  <c r="J447" i="2"/>
  <c r="J387" i="2"/>
  <c r="J388" i="2"/>
  <c r="J495" i="2"/>
  <c r="J449" i="2"/>
  <c r="J391" i="2"/>
  <c r="J396" i="2"/>
  <c r="J386" i="2"/>
  <c r="J524" i="2"/>
  <c r="J465" i="2"/>
  <c r="J419" i="2"/>
  <c r="J476" i="2"/>
  <c r="J511" i="2"/>
  <c r="J467" i="2"/>
  <c r="J423" i="2"/>
  <c r="J484" i="2"/>
  <c r="J519" i="2"/>
  <c r="J457" i="2"/>
  <c r="J432" i="2"/>
  <c r="J407" i="2"/>
  <c r="J458" i="2"/>
  <c r="J512" i="2"/>
  <c r="J414" i="2"/>
  <c r="J505" i="2"/>
  <c r="J431" i="2"/>
  <c r="J475" i="2"/>
  <c r="J438" i="2"/>
  <c r="J424" i="2"/>
  <c r="J405" i="2"/>
  <c r="J456" i="2"/>
  <c r="J510" i="2"/>
  <c r="J482" i="2"/>
  <c r="J529" i="2"/>
  <c r="J443" i="2"/>
  <c r="J487" i="2"/>
  <c r="J494" i="2"/>
  <c r="J440" i="2"/>
  <c r="J411" i="2"/>
  <c r="J461" i="2"/>
  <c r="J516" i="2"/>
  <c r="J526" i="2"/>
  <c r="J442" i="2"/>
  <c r="J513" i="2"/>
  <c r="J435" i="2"/>
  <c r="J479" i="2"/>
  <c r="J434" i="2"/>
  <c r="J420" i="2"/>
  <c r="J403" i="2"/>
  <c r="J455" i="2"/>
  <c r="J508" i="2"/>
  <c r="J422" i="2"/>
  <c r="J509" i="2"/>
  <c r="J433" i="2"/>
  <c r="J477" i="2"/>
  <c r="J502" i="2"/>
  <c r="J459" i="2"/>
  <c r="J415" i="2"/>
  <c r="J463" i="2"/>
  <c r="J520" i="2"/>
  <c r="J474" i="2"/>
  <c r="J521" i="2"/>
  <c r="J439" i="2"/>
  <c r="J483" i="2"/>
  <c r="J499" i="2"/>
  <c r="J451" i="2"/>
  <c r="J395" i="2"/>
  <c r="J404" i="2"/>
  <c r="J402" i="2"/>
  <c r="J471" i="2"/>
  <c r="J428" i="2"/>
  <c r="J500" i="2"/>
  <c r="J394" i="2"/>
  <c r="J493" i="2"/>
  <c r="J448" i="2"/>
  <c r="J389" i="2"/>
  <c r="J392" i="2"/>
  <c r="J522" i="2"/>
  <c r="J464" i="2"/>
  <c r="J417" i="2"/>
  <c r="J472" i="2"/>
  <c r="J507" i="2"/>
  <c r="J470" i="2"/>
  <c r="J427" i="2"/>
  <c r="J496" i="2"/>
  <c r="J390" i="2"/>
  <c r="J469" i="2"/>
  <c r="J426" i="2"/>
  <c r="J492" i="2"/>
  <c r="J527" i="2"/>
  <c r="J503" i="2"/>
  <c r="J453" i="2"/>
  <c r="J399" i="2"/>
  <c r="J412" i="2"/>
  <c r="J418" i="2"/>
  <c r="J466" i="2"/>
  <c r="J421" i="2"/>
  <c r="J480" i="2"/>
  <c r="J515" i="2"/>
  <c r="J489" i="2"/>
  <c r="J445" i="2"/>
  <c r="J531" i="2"/>
  <c r="J490" i="2"/>
  <c r="J501" i="2"/>
  <c r="J452" i="2"/>
  <c r="J397" i="2"/>
  <c r="J408" i="2"/>
  <c r="J406" i="2"/>
  <c r="J498" i="2"/>
  <c r="J462" i="2"/>
  <c r="J504" i="2"/>
  <c r="J473" i="2"/>
  <c r="J393" i="2"/>
  <c r="J486" i="2"/>
  <c r="J409" i="2"/>
  <c r="J514" i="2"/>
  <c r="J478" i="2"/>
  <c r="J525" i="2"/>
  <c r="J441" i="2"/>
  <c r="J485" i="2"/>
  <c r="J430" i="2"/>
  <c r="J416" i="2"/>
  <c r="J401" i="2"/>
  <c r="J454" i="2"/>
  <c r="J506" i="2"/>
  <c r="J523" i="2"/>
  <c r="J488" i="2"/>
  <c r="J425" i="2"/>
  <c r="J468" i="2"/>
  <c r="J530" i="2"/>
  <c r="J446" i="2"/>
  <c r="J517" i="2"/>
  <c r="J437" i="2"/>
  <c r="J481" i="2"/>
  <c r="J444" i="2"/>
  <c r="J413" i="2"/>
  <c r="J518" i="2"/>
  <c r="J410" i="2"/>
  <c r="J429" i="2"/>
  <c r="J398" i="2"/>
  <c r="J400" i="2"/>
  <c r="J450" i="2"/>
  <c r="J497" i="2"/>
  <c r="J436" i="2"/>
  <c r="J460" i="2"/>
  <c r="J363" i="2"/>
  <c r="J373" i="2"/>
  <c r="J377" i="2"/>
  <c r="J375" i="2"/>
  <c r="J379" i="2"/>
  <c r="J355" i="2"/>
  <c r="J357" i="2"/>
  <c r="J361" i="2"/>
  <c r="J383" i="2"/>
  <c r="J359" i="2"/>
  <c r="J367" i="2"/>
  <c r="J369" i="2"/>
  <c r="J365" i="2"/>
  <c r="J354" i="2"/>
  <c r="J351" i="2"/>
  <c r="J368" i="2"/>
  <c r="J362" i="2"/>
  <c r="J360" i="2"/>
  <c r="J384" i="2"/>
  <c r="J370" i="2"/>
  <c r="J385" i="2"/>
  <c r="J346" i="2"/>
  <c r="J350" i="2"/>
  <c r="J348" i="2"/>
  <c r="J381" i="2"/>
  <c r="J371" i="2"/>
  <c r="J347" i="2"/>
  <c r="J378" i="2"/>
  <c r="J376" i="2"/>
  <c r="J352" i="2"/>
  <c r="J349" i="2"/>
  <c r="J382" i="2"/>
  <c r="J358" i="2"/>
  <c r="J364" i="2"/>
  <c r="J366" i="2"/>
  <c r="J372" i="2"/>
  <c r="J356" i="2"/>
  <c r="J374" i="2"/>
  <c r="J380" i="2"/>
  <c r="J345" i="2"/>
  <c r="J353" i="2"/>
  <c r="B381" i="2"/>
  <c r="J180" i="2"/>
  <c r="J139" i="2"/>
  <c r="J124" i="2"/>
  <c r="J218" i="2"/>
  <c r="J284" i="2"/>
  <c r="J322" i="2"/>
  <c r="J229" i="2"/>
  <c r="J169" i="2"/>
  <c r="J329" i="2"/>
  <c r="J106" i="2"/>
  <c r="J97" i="2"/>
  <c r="J160" i="2"/>
  <c r="J214" i="2"/>
  <c r="J280" i="2"/>
  <c r="J190" i="2"/>
  <c r="J297" i="2"/>
  <c r="J123" i="2"/>
  <c r="J140" i="2"/>
  <c r="J81" i="2"/>
  <c r="J230" i="2"/>
  <c r="J268" i="2"/>
  <c r="J213" i="2"/>
  <c r="J301" i="2"/>
  <c r="J313" i="2"/>
  <c r="J216" i="2"/>
  <c r="J255" i="2"/>
  <c r="J185" i="2"/>
  <c r="J288" i="2"/>
  <c r="J304" i="2"/>
  <c r="J157" i="2"/>
  <c r="J89" i="2"/>
  <c r="J112" i="2"/>
  <c r="J159" i="2"/>
  <c r="J91" i="2"/>
  <c r="J113" i="2"/>
  <c r="J204" i="2"/>
  <c r="J244" i="2"/>
  <c r="J302" i="2"/>
  <c r="J287" i="2"/>
  <c r="J212" i="2"/>
  <c r="J300" i="2"/>
  <c r="J327" i="2"/>
  <c r="J110" i="2"/>
  <c r="J131" i="2"/>
  <c r="J148" i="2"/>
  <c r="J88" i="2"/>
  <c r="J226" i="2"/>
  <c r="J261" i="2"/>
  <c r="J195" i="2"/>
  <c r="J295" i="2"/>
  <c r="J309" i="2"/>
  <c r="J209" i="2"/>
  <c r="J250" i="2"/>
  <c r="J177" i="2"/>
  <c r="J281" i="2"/>
  <c r="J334" i="2"/>
  <c r="J165" i="2"/>
  <c r="J98" i="2"/>
  <c r="J118" i="2"/>
  <c r="J167" i="2"/>
  <c r="J100" i="2"/>
  <c r="J120" i="2"/>
  <c r="J200" i="2"/>
  <c r="J240" i="2"/>
  <c r="J292" i="2"/>
  <c r="J263" i="2"/>
  <c r="J324" i="2"/>
  <c r="J342" i="2"/>
  <c r="J231" i="2"/>
  <c r="J270" i="2"/>
  <c r="J215" i="2"/>
  <c r="J314" i="2"/>
  <c r="J137" i="2"/>
  <c r="J154" i="2"/>
  <c r="J94" i="2"/>
  <c r="J344" i="2"/>
  <c r="J252" i="2"/>
  <c r="J285" i="2"/>
  <c r="J161" i="2"/>
  <c r="J130" i="2"/>
  <c r="J156" i="2"/>
  <c r="J238" i="2"/>
  <c r="J289" i="2"/>
  <c r="J205" i="2"/>
  <c r="J211" i="2"/>
  <c r="J312" i="2"/>
  <c r="J126" i="2"/>
  <c r="J108" i="2"/>
  <c r="J192" i="2"/>
  <c r="J183" i="2"/>
  <c r="J235" i="2"/>
  <c r="J310" i="2"/>
  <c r="J86" i="2"/>
  <c r="J103" i="2"/>
  <c r="J210" i="2"/>
  <c r="J179" i="2"/>
  <c r="J336" i="2"/>
  <c r="J241" i="2"/>
  <c r="J265" i="2"/>
  <c r="J343" i="2"/>
  <c r="J134" i="2"/>
  <c r="J136" i="2"/>
  <c r="J232" i="2"/>
  <c r="J217" i="2"/>
  <c r="J315" i="2"/>
  <c r="J258" i="2"/>
  <c r="J306" i="2"/>
  <c r="J85" i="2"/>
  <c r="J328" i="2"/>
  <c r="J223" i="2"/>
  <c r="J162" i="2"/>
  <c r="J104" i="2"/>
  <c r="J95" i="2"/>
  <c r="J257" i="2"/>
  <c r="J254" i="2"/>
  <c r="J340" i="2"/>
  <c r="J245" i="2"/>
  <c r="J273" i="2"/>
  <c r="J172" i="2"/>
  <c r="J158" i="2"/>
  <c r="J143" i="2"/>
  <c r="J99" i="2"/>
  <c r="J236" i="2"/>
  <c r="J271" i="2"/>
  <c r="J262" i="2"/>
  <c r="J146" i="2"/>
  <c r="J87" i="2"/>
  <c r="J111" i="2"/>
  <c r="J206" i="2"/>
  <c r="J246" i="2"/>
  <c r="J171" i="2"/>
  <c r="J275" i="2"/>
  <c r="J330" i="2"/>
  <c r="J194" i="2"/>
  <c r="J237" i="2"/>
  <c r="J282" i="2"/>
  <c r="J248" i="2"/>
  <c r="J321" i="2"/>
  <c r="J339" i="2"/>
  <c r="J125" i="2"/>
  <c r="J142" i="2"/>
  <c r="J82" i="2"/>
  <c r="J127" i="2"/>
  <c r="J144" i="2"/>
  <c r="J84" i="2"/>
  <c r="J228" i="2"/>
  <c r="J264" i="2"/>
  <c r="J225" i="2"/>
  <c r="J311" i="2"/>
  <c r="J243" i="2"/>
  <c r="J269" i="2"/>
  <c r="J176" i="2"/>
  <c r="J114" i="2"/>
  <c r="J96" i="2"/>
  <c r="J116" i="2"/>
  <c r="J202" i="2"/>
  <c r="J242" i="2"/>
  <c r="J296" i="2"/>
  <c r="J267" i="2"/>
  <c r="J326" i="2"/>
  <c r="J186" i="2"/>
  <c r="J233" i="2"/>
  <c r="J274" i="2"/>
  <c r="J219" i="2"/>
  <c r="J317" i="2"/>
  <c r="J316" i="2"/>
  <c r="J133" i="2"/>
  <c r="J150" i="2"/>
  <c r="J90" i="2"/>
  <c r="J135" i="2"/>
  <c r="J152" i="2"/>
  <c r="J92" i="2"/>
  <c r="J222" i="2"/>
  <c r="J259" i="2"/>
  <c r="J191" i="2"/>
  <c r="J291" i="2"/>
  <c r="J307" i="2"/>
  <c r="J207" i="2"/>
  <c r="J247" i="2"/>
  <c r="J173" i="2"/>
  <c r="J277" i="2"/>
  <c r="J331" i="2"/>
  <c r="J168" i="2"/>
  <c r="J102" i="2"/>
  <c r="J122" i="2"/>
  <c r="J298" i="2"/>
  <c r="J203" i="2"/>
  <c r="J181" i="2"/>
  <c r="J338" i="2"/>
  <c r="J93" i="2"/>
  <c r="J196" i="2"/>
  <c r="J187" i="2"/>
  <c r="J305" i="2"/>
  <c r="J266" i="2"/>
  <c r="J299" i="2"/>
  <c r="J141" i="2"/>
  <c r="J174" i="2"/>
  <c r="J128" i="2"/>
  <c r="J253" i="2"/>
  <c r="J320" i="2"/>
  <c r="J197" i="2"/>
  <c r="J145" i="2"/>
  <c r="J115" i="2"/>
  <c r="J132" i="2"/>
  <c r="J188" i="2"/>
  <c r="J234" i="2"/>
  <c r="J276" i="2"/>
  <c r="J221" i="2"/>
  <c r="J318" i="2"/>
  <c r="J333" i="2"/>
  <c r="J224" i="2"/>
  <c r="J260" i="2"/>
  <c r="J193" i="2"/>
  <c r="J293" i="2"/>
  <c r="J308" i="2"/>
  <c r="J149" i="2"/>
  <c r="J166" i="2"/>
  <c r="J105" i="2"/>
  <c r="J151" i="2"/>
  <c r="J83" i="2"/>
  <c r="J107" i="2"/>
  <c r="J208" i="2"/>
  <c r="J249" i="2"/>
  <c r="J175" i="2"/>
  <c r="J279" i="2"/>
  <c r="J332" i="2"/>
  <c r="J198" i="2"/>
  <c r="J239" i="2"/>
  <c r="J286" i="2"/>
  <c r="J256" i="2"/>
  <c r="J323" i="2"/>
  <c r="J341" i="2"/>
  <c r="J121" i="2"/>
  <c r="J138" i="2"/>
  <c r="J199" i="2"/>
  <c r="J337" i="2"/>
  <c r="J278" i="2"/>
  <c r="J319" i="2"/>
  <c r="J129" i="2"/>
  <c r="J101" i="2"/>
  <c r="J164" i="2"/>
  <c r="J251" i="2"/>
  <c r="J283" i="2"/>
  <c r="J201" i="2"/>
  <c r="J294" i="2"/>
  <c r="J325" i="2"/>
  <c r="J117" i="2"/>
  <c r="J182" i="2"/>
  <c r="J119" i="2"/>
  <c r="J184" i="2"/>
  <c r="J272" i="2"/>
  <c r="J303" i="2"/>
  <c r="J220" i="2"/>
  <c r="J189" i="2"/>
  <c r="J290" i="2"/>
  <c r="J153" i="2"/>
  <c r="J109" i="2"/>
  <c r="J227" i="2"/>
  <c r="J335" i="2"/>
  <c r="J155" i="2"/>
  <c r="J178" i="2"/>
  <c r="J163" i="2"/>
  <c r="J147" i="2"/>
  <c r="J170" i="2"/>
  <c r="J71" i="2"/>
  <c r="J79" i="2"/>
  <c r="J51" i="2"/>
  <c r="J48" i="2"/>
  <c r="J55" i="2"/>
  <c r="J65" i="2"/>
  <c r="J73" i="2"/>
  <c r="J50" i="2"/>
  <c r="J69" i="2"/>
  <c r="J57" i="2"/>
  <c r="J67" i="2"/>
  <c r="J75" i="2"/>
  <c r="J63" i="2"/>
  <c r="J52" i="2"/>
  <c r="J59" i="2"/>
  <c r="J80" i="2"/>
  <c r="J77" i="2"/>
  <c r="J61" i="2"/>
  <c r="J58" i="2"/>
  <c r="J70" i="2"/>
  <c r="J72" i="2"/>
  <c r="J53" i="2"/>
  <c r="J64" i="2"/>
  <c r="J76" i="2"/>
  <c r="J68" i="2"/>
  <c r="J54" i="2"/>
  <c r="J49" i="2"/>
  <c r="J60" i="2"/>
  <c r="J62" i="2"/>
  <c r="J74" i="2"/>
  <c r="J66" i="2"/>
  <c r="J78" i="2"/>
  <c r="J56" i="2"/>
  <c r="J35" i="2"/>
  <c r="F33" i="1"/>
  <c r="B382" i="2" l="1"/>
  <c r="F34" i="1"/>
  <c r="J44" i="2"/>
  <c r="J45" i="2"/>
  <c r="J43" i="2"/>
  <c r="J46" i="2"/>
  <c r="J47" i="2"/>
  <c r="J41" i="2"/>
  <c r="J36" i="2"/>
  <c r="J38" i="2"/>
  <c r="J39" i="2"/>
  <c r="J37" i="2"/>
  <c r="J42" i="2"/>
  <c r="J40" i="2"/>
  <c r="J34" i="2"/>
  <c r="J31" i="2"/>
  <c r="J21" i="2"/>
  <c r="J15" i="2"/>
  <c r="J33" i="2"/>
  <c r="J30" i="2"/>
  <c r="J22" i="2"/>
  <c r="J17" i="2"/>
  <c r="J26" i="2"/>
  <c r="J20" i="2"/>
  <c r="J28" i="2"/>
  <c r="J29" i="2"/>
  <c r="J19" i="2"/>
  <c r="J24" i="2"/>
  <c r="J14" i="2"/>
  <c r="J23" i="2"/>
  <c r="J16" i="2"/>
  <c r="J12" i="2"/>
  <c r="J18" i="2"/>
  <c r="J27" i="2"/>
  <c r="J32" i="2"/>
  <c r="J13" i="2"/>
  <c r="J25" i="2"/>
  <c r="B383" i="2" l="1"/>
  <c r="CC11" i="2"/>
  <c r="CD11" i="2" s="1"/>
  <c r="CA11" i="2"/>
  <c r="BX11" i="2"/>
  <c r="BY11" i="2" s="1"/>
  <c r="BV11" i="2"/>
  <c r="BS11" i="2"/>
  <c r="BT11" i="2" s="1"/>
  <c r="BQ11" i="2"/>
  <c r="BN11" i="2"/>
  <c r="BO11" i="2" s="1"/>
  <c r="BL11" i="2"/>
  <c r="BI11" i="2"/>
  <c r="BJ11" i="2" s="1"/>
  <c r="BG11" i="2"/>
  <c r="BD11" i="2"/>
  <c r="BE11" i="2" s="1"/>
  <c r="BB11" i="2"/>
  <c r="AY11" i="2"/>
  <c r="AZ11" i="2" s="1"/>
  <c r="AW11" i="2"/>
  <c r="AT11" i="2"/>
  <c r="AU11" i="2" s="1"/>
  <c r="AR11" i="2"/>
  <c r="AO11" i="2"/>
  <c r="AP11" i="2" s="1"/>
  <c r="AM11" i="2"/>
  <c r="AJ11" i="2"/>
  <c r="AK11" i="2" s="1"/>
  <c r="AH11" i="2"/>
  <c r="AE11" i="2"/>
  <c r="AF11" i="2" s="1"/>
  <c r="AC11" i="2"/>
  <c r="Z11" i="2"/>
  <c r="AA11" i="2" s="1"/>
  <c r="X11" i="2"/>
  <c r="S11" i="2"/>
  <c r="J11" i="2"/>
  <c r="I11" i="2"/>
  <c r="A11" i="2"/>
  <c r="CC10" i="2"/>
  <c r="CD10" i="2" s="1"/>
  <c r="CA10" i="2"/>
  <c r="BX10" i="2"/>
  <c r="BY10" i="2" s="1"/>
  <c r="BV10" i="2"/>
  <c r="BS10" i="2"/>
  <c r="BT10" i="2" s="1"/>
  <c r="BQ10" i="2"/>
  <c r="BN10" i="2"/>
  <c r="BO10" i="2" s="1"/>
  <c r="BL10" i="2"/>
  <c r="BI10" i="2"/>
  <c r="BJ10" i="2" s="1"/>
  <c r="BG10" i="2"/>
  <c r="BD10" i="2"/>
  <c r="BE10" i="2" s="1"/>
  <c r="BB10" i="2"/>
  <c r="AY10" i="2"/>
  <c r="AZ10" i="2" s="1"/>
  <c r="AW10" i="2"/>
  <c r="AT10" i="2"/>
  <c r="AU10" i="2" s="1"/>
  <c r="AR10" i="2"/>
  <c r="AO10" i="2"/>
  <c r="AP10" i="2" s="1"/>
  <c r="AM10" i="2"/>
  <c r="AJ10" i="2"/>
  <c r="AK10" i="2" s="1"/>
  <c r="AH10" i="2"/>
  <c r="AE10" i="2"/>
  <c r="AF10" i="2" s="1"/>
  <c r="AC10" i="2"/>
  <c r="Z10" i="2"/>
  <c r="AA10" i="2" s="1"/>
  <c r="X10" i="2"/>
  <c r="S10" i="2"/>
  <c r="J10" i="2"/>
  <c r="I10" i="2"/>
  <c r="A10" i="2"/>
  <c r="CC9" i="2"/>
  <c r="CD9" i="2" s="1"/>
  <c r="CA9" i="2"/>
  <c r="BX9" i="2"/>
  <c r="BY9" i="2" s="1"/>
  <c r="BV9" i="2"/>
  <c r="BS9" i="2"/>
  <c r="BT9" i="2" s="1"/>
  <c r="BQ9" i="2"/>
  <c r="BN9" i="2"/>
  <c r="BO9" i="2" s="1"/>
  <c r="BL9" i="2"/>
  <c r="BI9" i="2"/>
  <c r="BJ9" i="2" s="1"/>
  <c r="BG9" i="2"/>
  <c r="BD9" i="2"/>
  <c r="BE9" i="2" s="1"/>
  <c r="BB9" i="2"/>
  <c r="AY9" i="2"/>
  <c r="AZ9" i="2" s="1"/>
  <c r="AW9" i="2"/>
  <c r="AT9" i="2"/>
  <c r="AU9" i="2" s="1"/>
  <c r="AR9" i="2"/>
  <c r="AO9" i="2"/>
  <c r="AP9" i="2" s="1"/>
  <c r="AM9" i="2"/>
  <c r="AJ9" i="2"/>
  <c r="AK9" i="2" s="1"/>
  <c r="AH9" i="2"/>
  <c r="AE9" i="2"/>
  <c r="AF9" i="2" s="1"/>
  <c r="AC9" i="2"/>
  <c r="Z9" i="2"/>
  <c r="AA9" i="2" s="1"/>
  <c r="X9" i="2"/>
  <c r="S9" i="2"/>
  <c r="J9" i="2"/>
  <c r="I9" i="2"/>
  <c r="A9" i="2"/>
  <c r="CC8" i="2"/>
  <c r="CD8" i="2" s="1"/>
  <c r="CA8" i="2"/>
  <c r="BX8" i="2"/>
  <c r="BY8" i="2" s="1"/>
  <c r="BV8" i="2"/>
  <c r="BS8" i="2"/>
  <c r="BT8" i="2" s="1"/>
  <c r="BQ8" i="2"/>
  <c r="BN8" i="2"/>
  <c r="BO8" i="2" s="1"/>
  <c r="BL8" i="2"/>
  <c r="BI8" i="2"/>
  <c r="BJ8" i="2" s="1"/>
  <c r="BG8" i="2"/>
  <c r="BD8" i="2"/>
  <c r="BE8" i="2" s="1"/>
  <c r="BB8" i="2"/>
  <c r="AY8" i="2"/>
  <c r="AZ8" i="2" s="1"/>
  <c r="AW8" i="2"/>
  <c r="AT8" i="2"/>
  <c r="AU8" i="2" s="1"/>
  <c r="AR8" i="2"/>
  <c r="AO8" i="2"/>
  <c r="AP8" i="2" s="1"/>
  <c r="AM8" i="2"/>
  <c r="AJ8" i="2"/>
  <c r="AK8" i="2" s="1"/>
  <c r="AH8" i="2"/>
  <c r="AE8" i="2"/>
  <c r="AF8" i="2" s="1"/>
  <c r="AC8" i="2"/>
  <c r="Z8" i="2"/>
  <c r="AA8" i="2" s="1"/>
  <c r="X8" i="2"/>
  <c r="S8" i="2"/>
  <c r="J8" i="2"/>
  <c r="I8" i="2"/>
  <c r="A8" i="2"/>
  <c r="CC7" i="2"/>
  <c r="CD7" i="2" s="1"/>
  <c r="CA7" i="2"/>
  <c r="BX7" i="2"/>
  <c r="BY7" i="2" s="1"/>
  <c r="BV7" i="2"/>
  <c r="BS7" i="2"/>
  <c r="BT7" i="2" s="1"/>
  <c r="BQ7" i="2"/>
  <c r="BN7" i="2"/>
  <c r="BO7" i="2" s="1"/>
  <c r="BL7" i="2"/>
  <c r="BI7" i="2"/>
  <c r="BJ7" i="2" s="1"/>
  <c r="BG7" i="2"/>
  <c r="BD7" i="2"/>
  <c r="BE7" i="2" s="1"/>
  <c r="BB7" i="2"/>
  <c r="AY7" i="2"/>
  <c r="AZ7" i="2" s="1"/>
  <c r="AW7" i="2"/>
  <c r="AT7" i="2"/>
  <c r="AU7" i="2" s="1"/>
  <c r="AR7" i="2"/>
  <c r="AO7" i="2"/>
  <c r="AP7" i="2" s="1"/>
  <c r="AM7" i="2"/>
  <c r="AJ7" i="2"/>
  <c r="AK7" i="2" s="1"/>
  <c r="AH7" i="2"/>
  <c r="AE7" i="2"/>
  <c r="AF7" i="2" s="1"/>
  <c r="AC7" i="2"/>
  <c r="Z7" i="2"/>
  <c r="AA7" i="2" s="1"/>
  <c r="X7" i="2"/>
  <c r="S7" i="2"/>
  <c r="J7" i="2"/>
  <c r="I7" i="2"/>
  <c r="A7" i="2"/>
  <c r="CC6" i="2"/>
  <c r="CD6" i="2" s="1"/>
  <c r="CA6" i="2"/>
  <c r="BX6" i="2"/>
  <c r="BY6" i="2" s="1"/>
  <c r="BV6" i="2"/>
  <c r="BS6" i="2"/>
  <c r="BT6" i="2" s="1"/>
  <c r="BQ6" i="2"/>
  <c r="BN6" i="2"/>
  <c r="BO6" i="2" s="1"/>
  <c r="BL6" i="2"/>
  <c r="BI6" i="2"/>
  <c r="BJ6" i="2" s="1"/>
  <c r="BG6" i="2"/>
  <c r="BD6" i="2"/>
  <c r="BE6" i="2" s="1"/>
  <c r="BB6" i="2"/>
  <c r="AY6" i="2"/>
  <c r="AZ6" i="2" s="1"/>
  <c r="AW6" i="2"/>
  <c r="AT6" i="2"/>
  <c r="AU6" i="2" s="1"/>
  <c r="AR6" i="2"/>
  <c r="AO6" i="2"/>
  <c r="AP6" i="2" s="1"/>
  <c r="AM6" i="2"/>
  <c r="AJ6" i="2"/>
  <c r="AK6" i="2" s="1"/>
  <c r="AH6" i="2"/>
  <c r="AE6" i="2"/>
  <c r="AF6" i="2" s="1"/>
  <c r="AC6" i="2"/>
  <c r="Z6" i="2"/>
  <c r="AA6" i="2" s="1"/>
  <c r="X6" i="2"/>
  <c r="S6" i="2"/>
  <c r="J6" i="2"/>
  <c r="I6" i="2"/>
  <c r="A6" i="2"/>
  <c r="AC5" i="2"/>
  <c r="B384" i="2" l="1"/>
  <c r="T6" i="2"/>
  <c r="T9" i="2"/>
  <c r="T8" i="2"/>
  <c r="T11" i="2"/>
  <c r="T7" i="2"/>
  <c r="T10" i="2"/>
  <c r="B385" i="2" l="1"/>
  <c r="B386" i="2" s="1"/>
  <c r="F22" i="1"/>
  <c r="F20" i="1"/>
  <c r="F21" i="1"/>
  <c r="BD5" i="2"/>
  <c r="BB5" i="2"/>
  <c r="AY5" i="2"/>
  <c r="AW5" i="2"/>
  <c r="AT5" i="2"/>
  <c r="AR5" i="2"/>
  <c r="AO5" i="2"/>
  <c r="AM5" i="2"/>
  <c r="AJ5" i="2"/>
  <c r="AH5" i="2"/>
  <c r="AE5" i="2"/>
  <c r="Z5" i="2"/>
  <c r="X5" i="2"/>
  <c r="B387" i="2" l="1"/>
  <c r="F19" i="1"/>
  <c r="AP5" i="2"/>
  <c r="AU5" i="2"/>
  <c r="B388" i="2" l="1"/>
  <c r="BI5" i="2"/>
  <c r="BJ5" i="2" s="1"/>
  <c r="BG5" i="2"/>
  <c r="BE5" i="2"/>
  <c r="AZ5" i="2"/>
  <c r="B389" i="2" l="1"/>
  <c r="BN5" i="2"/>
  <c r="BO5" i="2" s="1"/>
  <c r="BL5" i="2"/>
  <c r="BS5" i="2"/>
  <c r="BT5" i="2" s="1"/>
  <c r="BQ5" i="2"/>
  <c r="BJ533" i="2"/>
  <c r="BE533" i="2"/>
  <c r="AZ533" i="2"/>
  <c r="CC5" i="2"/>
  <c r="CD5" i="2" s="1"/>
  <c r="CA5" i="2"/>
  <c r="BX5" i="2"/>
  <c r="BY5" i="2" s="1"/>
  <c r="BV5" i="2"/>
  <c r="B390" i="2" l="1"/>
  <c r="CD533" i="2"/>
  <c r="BY533" i="2"/>
  <c r="BO533" i="2"/>
  <c r="BT533" i="2"/>
  <c r="B391" i="2" l="1"/>
  <c r="A5" i="2"/>
  <c r="I5" i="2"/>
  <c r="J5" i="2"/>
  <c r="B392" i="2" l="1"/>
  <c r="D3" i="5"/>
  <c r="D7" i="5"/>
  <c r="D6" i="5"/>
  <c r="D5" i="5"/>
  <c r="D4" i="5"/>
  <c r="M466" i="2" l="1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35" i="2"/>
  <c r="M47" i="2"/>
  <c r="M46" i="2"/>
  <c r="M45" i="2"/>
  <c r="M44" i="2"/>
  <c r="M43" i="2"/>
  <c r="M42" i="2"/>
  <c r="M41" i="2"/>
  <c r="M40" i="2"/>
  <c r="M39" i="2"/>
  <c r="M38" i="2"/>
  <c r="M37" i="2"/>
  <c r="M36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B393" i="2"/>
  <c r="M5" i="2"/>
  <c r="O5" i="2" s="1"/>
  <c r="Q6" i="2" l="1"/>
  <c r="O6" i="2"/>
  <c r="R6" i="2" s="1"/>
  <c r="U6" i="2" s="1"/>
  <c r="O7" i="2"/>
  <c r="Q7" i="2"/>
  <c r="R7" i="2" s="1"/>
  <c r="U7" i="2" s="1"/>
  <c r="Q8" i="2"/>
  <c r="O8" i="2"/>
  <c r="R8" i="2" s="1"/>
  <c r="U8" i="2" s="1"/>
  <c r="O9" i="2"/>
  <c r="Q9" i="2"/>
  <c r="O10" i="2"/>
  <c r="Q10" i="2"/>
  <c r="Q11" i="2"/>
  <c r="O11" i="2"/>
  <c r="R11" i="2" s="1"/>
  <c r="U11" i="2" s="1"/>
  <c r="Q12" i="2"/>
  <c r="O12" i="2"/>
  <c r="R12" i="2" s="1"/>
  <c r="U12" i="2" s="1"/>
  <c r="O13" i="2"/>
  <c r="Q13" i="2"/>
  <c r="R13" i="2" s="1"/>
  <c r="U13" i="2" s="1"/>
  <c r="Q14" i="2"/>
  <c r="O14" i="2"/>
  <c r="R14" i="2" s="1"/>
  <c r="U14" i="2" s="1"/>
  <c r="Q15" i="2"/>
  <c r="O15" i="2"/>
  <c r="R15" i="2" s="1"/>
  <c r="U15" i="2" s="1"/>
  <c r="Q16" i="2"/>
  <c r="O16" i="2"/>
  <c r="R16" i="2" s="1"/>
  <c r="U16" i="2" s="1"/>
  <c r="Q17" i="2"/>
  <c r="O17" i="2"/>
  <c r="R17" i="2" s="1"/>
  <c r="U17" i="2" s="1"/>
  <c r="Q18" i="2"/>
  <c r="O18" i="2"/>
  <c r="R18" i="2" s="1"/>
  <c r="U18" i="2" s="1"/>
  <c r="Q19" i="2"/>
  <c r="O19" i="2"/>
  <c r="R19" i="2" s="1"/>
  <c r="U19" i="2" s="1"/>
  <c r="Q20" i="2"/>
  <c r="O20" i="2"/>
  <c r="R20" i="2" s="1"/>
  <c r="U20" i="2" s="1"/>
  <c r="Q21" i="2"/>
  <c r="O21" i="2"/>
  <c r="R21" i="2" s="1"/>
  <c r="U21" i="2" s="1"/>
  <c r="Q22" i="2"/>
  <c r="O22" i="2"/>
  <c r="R22" i="2" s="1"/>
  <c r="U22" i="2" s="1"/>
  <c r="Q23" i="2"/>
  <c r="O23" i="2"/>
  <c r="R23" i="2" s="1"/>
  <c r="U23" i="2" s="1"/>
  <c r="Q24" i="2"/>
  <c r="O24" i="2"/>
  <c r="R24" i="2" s="1"/>
  <c r="U24" i="2" s="1"/>
  <c r="Q25" i="2"/>
  <c r="O25" i="2"/>
  <c r="R25" i="2" s="1"/>
  <c r="U25" i="2" s="1"/>
  <c r="Q26" i="2"/>
  <c r="O26" i="2"/>
  <c r="R26" i="2" s="1"/>
  <c r="U26" i="2" s="1"/>
  <c r="Q27" i="2"/>
  <c r="O27" i="2"/>
  <c r="R27" i="2" s="1"/>
  <c r="U27" i="2" s="1"/>
  <c r="Q28" i="2"/>
  <c r="O28" i="2"/>
  <c r="R28" i="2" s="1"/>
  <c r="U28" i="2" s="1"/>
  <c r="Q29" i="2"/>
  <c r="O29" i="2"/>
  <c r="R29" i="2" s="1"/>
  <c r="U29" i="2" s="1"/>
  <c r="Q30" i="2"/>
  <c r="O30" i="2"/>
  <c r="R30" i="2" s="1"/>
  <c r="U30" i="2" s="1"/>
  <c r="Q31" i="2"/>
  <c r="O31" i="2"/>
  <c r="R31" i="2" s="1"/>
  <c r="U31" i="2" s="1"/>
  <c r="Q32" i="2"/>
  <c r="O32" i="2"/>
  <c r="R32" i="2" s="1"/>
  <c r="U32" i="2" s="1"/>
  <c r="Q33" i="2"/>
  <c r="O33" i="2"/>
  <c r="R33" i="2" s="1"/>
  <c r="U33" i="2" s="1"/>
  <c r="Q34" i="2"/>
  <c r="O34" i="2"/>
  <c r="R34" i="2" s="1"/>
  <c r="U34" i="2" s="1"/>
  <c r="O36" i="2"/>
  <c r="Q36" i="2"/>
  <c r="R36" i="2" s="1"/>
  <c r="U36" i="2" s="1"/>
  <c r="Q37" i="2"/>
  <c r="O37" i="2"/>
  <c r="R37" i="2" s="1"/>
  <c r="U37" i="2" s="1"/>
  <c r="O38" i="2"/>
  <c r="Q38" i="2"/>
  <c r="R38" i="2" s="1"/>
  <c r="U38" i="2" s="1"/>
  <c r="O39" i="2"/>
  <c r="Q39" i="2"/>
  <c r="R39" i="2" s="1"/>
  <c r="U39" i="2" s="1"/>
  <c r="O40" i="2"/>
  <c r="Q40" i="2"/>
  <c r="R40" i="2" s="1"/>
  <c r="U40" i="2" s="1"/>
  <c r="Q41" i="2"/>
  <c r="O41" i="2"/>
  <c r="R41" i="2" s="1"/>
  <c r="U41" i="2" s="1"/>
  <c r="O42" i="2"/>
  <c r="Q42" i="2"/>
  <c r="R42" i="2" s="1"/>
  <c r="U42" i="2" s="1"/>
  <c r="O43" i="2"/>
  <c r="Q43" i="2"/>
  <c r="R43" i="2" s="1"/>
  <c r="U43" i="2" s="1"/>
  <c r="Q44" i="2"/>
  <c r="O44" i="2"/>
  <c r="R44" i="2" s="1"/>
  <c r="U44" i="2" s="1"/>
  <c r="Q45" i="2"/>
  <c r="O45" i="2"/>
  <c r="R45" i="2" s="1"/>
  <c r="U45" i="2" s="1"/>
  <c r="O46" i="2"/>
  <c r="Q46" i="2"/>
  <c r="R46" i="2" s="1"/>
  <c r="U46" i="2" s="1"/>
  <c r="Q47" i="2"/>
  <c r="O47" i="2"/>
  <c r="R47" i="2" s="1"/>
  <c r="U47" i="2" s="1"/>
  <c r="O35" i="2"/>
  <c r="Q35" i="2"/>
  <c r="R35" i="2" s="1"/>
  <c r="U35" i="2" s="1"/>
  <c r="Q48" i="2"/>
  <c r="O48" i="2"/>
  <c r="R48" i="2" s="1"/>
  <c r="U48" i="2" s="1"/>
  <c r="Q49" i="2"/>
  <c r="O49" i="2"/>
  <c r="R49" i="2" s="1"/>
  <c r="U49" i="2" s="1"/>
  <c r="O50" i="2"/>
  <c r="Q50" i="2"/>
  <c r="R50" i="2" s="1"/>
  <c r="U50" i="2" s="1"/>
  <c r="Q51" i="2"/>
  <c r="O51" i="2"/>
  <c r="R51" i="2" s="1"/>
  <c r="U51" i="2" s="1"/>
  <c r="O52" i="2"/>
  <c r="Q52" i="2"/>
  <c r="R52" i="2" s="1"/>
  <c r="U52" i="2" s="1"/>
  <c r="Q53" i="2"/>
  <c r="O53" i="2"/>
  <c r="R53" i="2" s="1"/>
  <c r="U53" i="2" s="1"/>
  <c r="O54" i="2"/>
  <c r="Q54" i="2"/>
  <c r="R54" i="2" s="1"/>
  <c r="U54" i="2" s="1"/>
  <c r="Q55" i="2"/>
  <c r="O55" i="2"/>
  <c r="R55" i="2" s="1"/>
  <c r="U55" i="2" s="1"/>
  <c r="O56" i="2"/>
  <c r="Q56" i="2"/>
  <c r="R56" i="2" s="1"/>
  <c r="U56" i="2" s="1"/>
  <c r="Q57" i="2"/>
  <c r="O57" i="2"/>
  <c r="R57" i="2" s="1"/>
  <c r="U57" i="2" s="1"/>
  <c r="Q58" i="2"/>
  <c r="O58" i="2"/>
  <c r="R58" i="2" s="1"/>
  <c r="U58" i="2" s="1"/>
  <c r="O59" i="2"/>
  <c r="Q59" i="2"/>
  <c r="R59" i="2" s="1"/>
  <c r="U59" i="2" s="1"/>
  <c r="Q60" i="2"/>
  <c r="O60" i="2"/>
  <c r="R60" i="2" s="1"/>
  <c r="U60" i="2" s="1"/>
  <c r="O61" i="2"/>
  <c r="Q61" i="2"/>
  <c r="R61" i="2" s="1"/>
  <c r="U61" i="2" s="1"/>
  <c r="Q62" i="2"/>
  <c r="O62" i="2"/>
  <c r="R62" i="2" s="1"/>
  <c r="U62" i="2" s="1"/>
  <c r="O63" i="2"/>
  <c r="Q63" i="2"/>
  <c r="R63" i="2" s="1"/>
  <c r="U63" i="2" s="1"/>
  <c r="Q64" i="2"/>
  <c r="O64" i="2"/>
  <c r="R64" i="2" s="1"/>
  <c r="U64" i="2" s="1"/>
  <c r="O65" i="2"/>
  <c r="Q65" i="2"/>
  <c r="R65" i="2" s="1"/>
  <c r="U65" i="2" s="1"/>
  <c r="Q66" i="2"/>
  <c r="O66" i="2"/>
  <c r="R66" i="2" s="1"/>
  <c r="U66" i="2" s="1"/>
  <c r="O67" i="2"/>
  <c r="Q67" i="2"/>
  <c r="Q68" i="2"/>
  <c r="O68" i="2"/>
  <c r="R68" i="2" s="1"/>
  <c r="U68" i="2" s="1"/>
  <c r="Q69" i="2"/>
  <c r="O69" i="2"/>
  <c r="R69" i="2" s="1"/>
  <c r="U69" i="2" s="1"/>
  <c r="O70" i="2"/>
  <c r="Q70" i="2"/>
  <c r="Q71" i="2"/>
  <c r="O71" i="2"/>
  <c r="R71" i="2" s="1"/>
  <c r="U71" i="2" s="1"/>
  <c r="O72" i="2"/>
  <c r="Q72" i="2"/>
  <c r="Q73" i="2"/>
  <c r="O73" i="2"/>
  <c r="R73" i="2" s="1"/>
  <c r="U73" i="2" s="1"/>
  <c r="O74" i="2"/>
  <c r="Q74" i="2"/>
  <c r="Q75" i="2"/>
  <c r="O75" i="2"/>
  <c r="R75" i="2" s="1"/>
  <c r="U75" i="2" s="1"/>
  <c r="O76" i="2"/>
  <c r="Q76" i="2"/>
  <c r="Q77" i="2"/>
  <c r="O77" i="2"/>
  <c r="R77" i="2" s="1"/>
  <c r="U77" i="2" s="1"/>
  <c r="O78" i="2"/>
  <c r="Q78" i="2"/>
  <c r="Q79" i="2"/>
  <c r="O79" i="2"/>
  <c r="R79" i="2" s="1"/>
  <c r="U79" i="2" s="1"/>
  <c r="O80" i="2"/>
  <c r="Q80" i="2"/>
  <c r="O81" i="2"/>
  <c r="Q81" i="2"/>
  <c r="R81" i="2" s="1"/>
  <c r="U81" i="2" s="1"/>
  <c r="Q82" i="2"/>
  <c r="O82" i="2"/>
  <c r="R82" i="2" s="1"/>
  <c r="U82" i="2" s="1"/>
  <c r="O83" i="2"/>
  <c r="Q83" i="2"/>
  <c r="R83" i="2" s="1"/>
  <c r="U83" i="2" s="1"/>
  <c r="Q84" i="2"/>
  <c r="O84" i="2"/>
  <c r="R84" i="2" s="1"/>
  <c r="U84" i="2" s="1"/>
  <c r="O85" i="2"/>
  <c r="Q85" i="2"/>
  <c r="R85" i="2" s="1"/>
  <c r="U85" i="2" s="1"/>
  <c r="Q86" i="2"/>
  <c r="O86" i="2"/>
  <c r="R86" i="2" s="1"/>
  <c r="U86" i="2" s="1"/>
  <c r="O87" i="2"/>
  <c r="Q87" i="2"/>
  <c r="R87" i="2" s="1"/>
  <c r="U87" i="2" s="1"/>
  <c r="Q88" i="2"/>
  <c r="O88" i="2"/>
  <c r="R88" i="2" s="1"/>
  <c r="U88" i="2" s="1"/>
  <c r="O89" i="2"/>
  <c r="Q89" i="2"/>
  <c r="R89" i="2" s="1"/>
  <c r="U89" i="2" s="1"/>
  <c r="Q90" i="2"/>
  <c r="O90" i="2"/>
  <c r="R90" i="2" s="1"/>
  <c r="U90" i="2" s="1"/>
  <c r="O91" i="2"/>
  <c r="Q91" i="2"/>
  <c r="R91" i="2" s="1"/>
  <c r="U91" i="2" s="1"/>
  <c r="Q92" i="2"/>
  <c r="O92" i="2"/>
  <c r="R92" i="2" s="1"/>
  <c r="U92" i="2" s="1"/>
  <c r="O93" i="2"/>
  <c r="Q93" i="2"/>
  <c r="Q94" i="2"/>
  <c r="O94" i="2"/>
  <c r="R94" i="2" s="1"/>
  <c r="U94" i="2" s="1"/>
  <c r="O95" i="2"/>
  <c r="Q95" i="2"/>
  <c r="Q96" i="2"/>
  <c r="O96" i="2"/>
  <c r="R96" i="2" s="1"/>
  <c r="U96" i="2" s="1"/>
  <c r="O97" i="2"/>
  <c r="Q97" i="2"/>
  <c r="Q98" i="2"/>
  <c r="O98" i="2"/>
  <c r="R98" i="2" s="1"/>
  <c r="U98" i="2" s="1"/>
  <c r="O99" i="2"/>
  <c r="Q99" i="2"/>
  <c r="R99" i="2" s="1"/>
  <c r="U99" i="2" s="1"/>
  <c r="Q100" i="2"/>
  <c r="O100" i="2"/>
  <c r="R100" i="2" s="1"/>
  <c r="U100" i="2" s="1"/>
  <c r="O101" i="2"/>
  <c r="Q101" i="2"/>
  <c r="R101" i="2" s="1"/>
  <c r="U101" i="2" s="1"/>
  <c r="Q102" i="2"/>
  <c r="O102" i="2"/>
  <c r="R102" i="2" s="1"/>
  <c r="U102" i="2" s="1"/>
  <c r="O103" i="2"/>
  <c r="Q103" i="2"/>
  <c r="Q104" i="2"/>
  <c r="O104" i="2"/>
  <c r="R104" i="2" s="1"/>
  <c r="U104" i="2" s="1"/>
  <c r="O105" i="2"/>
  <c r="Q105" i="2"/>
  <c r="R105" i="2" s="1"/>
  <c r="U105" i="2" s="1"/>
  <c r="Q106" i="2"/>
  <c r="O106" i="2"/>
  <c r="R106" i="2" s="1"/>
  <c r="U106" i="2" s="1"/>
  <c r="O107" i="2"/>
  <c r="Q107" i="2"/>
  <c r="R107" i="2" s="1"/>
  <c r="U107" i="2" s="1"/>
  <c r="Q108" i="2"/>
  <c r="O108" i="2"/>
  <c r="R108" i="2" s="1"/>
  <c r="U108" i="2" s="1"/>
  <c r="O109" i="2"/>
  <c r="Q109" i="2"/>
  <c r="Q110" i="2"/>
  <c r="O110" i="2"/>
  <c r="R110" i="2" s="1"/>
  <c r="U110" i="2" s="1"/>
  <c r="O111" i="2"/>
  <c r="Q111" i="2"/>
  <c r="R111" i="2" s="1"/>
  <c r="U111" i="2" s="1"/>
  <c r="Q112" i="2"/>
  <c r="O112" i="2"/>
  <c r="R112" i="2" s="1"/>
  <c r="U112" i="2" s="1"/>
  <c r="O113" i="2"/>
  <c r="Q113" i="2"/>
  <c r="Q114" i="2"/>
  <c r="O114" i="2"/>
  <c r="R114" i="2" s="1"/>
  <c r="U114" i="2" s="1"/>
  <c r="O115" i="2"/>
  <c r="Q115" i="2"/>
  <c r="R115" i="2" s="1"/>
  <c r="U115" i="2" s="1"/>
  <c r="Q116" i="2"/>
  <c r="O116" i="2"/>
  <c r="R116" i="2" s="1"/>
  <c r="U116" i="2" s="1"/>
  <c r="O117" i="2"/>
  <c r="Q117" i="2"/>
  <c r="Q118" i="2"/>
  <c r="O118" i="2"/>
  <c r="R118" i="2" s="1"/>
  <c r="U118" i="2" s="1"/>
  <c r="O119" i="2"/>
  <c r="Q119" i="2"/>
  <c r="R119" i="2" s="1"/>
  <c r="U119" i="2" s="1"/>
  <c r="Q120" i="2"/>
  <c r="O120" i="2"/>
  <c r="R120" i="2" s="1"/>
  <c r="U120" i="2" s="1"/>
  <c r="O121" i="2"/>
  <c r="Q121" i="2"/>
  <c r="Q122" i="2"/>
  <c r="O122" i="2"/>
  <c r="R122" i="2" s="1"/>
  <c r="U122" i="2" s="1"/>
  <c r="O123" i="2"/>
  <c r="Q123" i="2"/>
  <c r="R123" i="2" s="1"/>
  <c r="U123" i="2" s="1"/>
  <c r="Q124" i="2"/>
  <c r="O124" i="2"/>
  <c r="R124" i="2" s="1"/>
  <c r="U124" i="2" s="1"/>
  <c r="O125" i="2"/>
  <c r="Q125" i="2"/>
  <c r="R125" i="2" s="1"/>
  <c r="U125" i="2" s="1"/>
  <c r="Q126" i="2"/>
  <c r="O126" i="2"/>
  <c r="R126" i="2" s="1"/>
  <c r="U126" i="2" s="1"/>
  <c r="O127" i="2"/>
  <c r="Q127" i="2"/>
  <c r="R127" i="2" s="1"/>
  <c r="U127" i="2" s="1"/>
  <c r="Q128" i="2"/>
  <c r="O128" i="2"/>
  <c r="R128" i="2" s="1"/>
  <c r="U128" i="2" s="1"/>
  <c r="O129" i="2"/>
  <c r="Q129" i="2"/>
  <c r="R129" i="2" s="1"/>
  <c r="U129" i="2" s="1"/>
  <c r="Q130" i="2"/>
  <c r="O130" i="2"/>
  <c r="R130" i="2" s="1"/>
  <c r="U130" i="2" s="1"/>
  <c r="O131" i="2"/>
  <c r="Q131" i="2"/>
  <c r="R131" i="2" s="1"/>
  <c r="U131" i="2" s="1"/>
  <c r="Q132" i="2"/>
  <c r="O132" i="2"/>
  <c r="R132" i="2" s="1"/>
  <c r="U132" i="2" s="1"/>
  <c r="O133" i="2"/>
  <c r="Q133" i="2"/>
  <c r="R133" i="2" s="1"/>
  <c r="U133" i="2" s="1"/>
  <c r="Q134" i="2"/>
  <c r="O134" i="2"/>
  <c r="R134" i="2" s="1"/>
  <c r="U134" i="2" s="1"/>
  <c r="O135" i="2"/>
  <c r="Q135" i="2"/>
  <c r="R135" i="2" s="1"/>
  <c r="U135" i="2" s="1"/>
  <c r="Q136" i="2"/>
  <c r="O136" i="2"/>
  <c r="R136" i="2" s="1"/>
  <c r="U136" i="2" s="1"/>
  <c r="O137" i="2"/>
  <c r="Q137" i="2"/>
  <c r="R137" i="2" s="1"/>
  <c r="U137" i="2" s="1"/>
  <c r="Q138" i="2"/>
  <c r="O138" i="2"/>
  <c r="R138" i="2" s="1"/>
  <c r="U138" i="2" s="1"/>
  <c r="O139" i="2"/>
  <c r="Q139" i="2"/>
  <c r="R139" i="2" s="1"/>
  <c r="U139" i="2" s="1"/>
  <c r="Q140" i="2"/>
  <c r="O140" i="2"/>
  <c r="R140" i="2" s="1"/>
  <c r="U140" i="2" s="1"/>
  <c r="O141" i="2"/>
  <c r="Q141" i="2"/>
  <c r="R141" i="2" s="1"/>
  <c r="U141" i="2" s="1"/>
  <c r="Q142" i="2"/>
  <c r="O142" i="2"/>
  <c r="R142" i="2" s="1"/>
  <c r="U142" i="2" s="1"/>
  <c r="O143" i="2"/>
  <c r="Q143" i="2"/>
  <c r="R143" i="2" s="1"/>
  <c r="U143" i="2" s="1"/>
  <c r="Q144" i="2"/>
  <c r="O144" i="2"/>
  <c r="R144" i="2" s="1"/>
  <c r="U144" i="2" s="1"/>
  <c r="O145" i="2"/>
  <c r="Q145" i="2"/>
  <c r="R145" i="2" s="1"/>
  <c r="U145" i="2" s="1"/>
  <c r="Q146" i="2"/>
  <c r="O146" i="2"/>
  <c r="R146" i="2" s="1"/>
  <c r="U146" i="2" s="1"/>
  <c r="O147" i="2"/>
  <c r="Q147" i="2"/>
  <c r="R147" i="2" s="1"/>
  <c r="U147" i="2" s="1"/>
  <c r="Q148" i="2"/>
  <c r="O148" i="2"/>
  <c r="R148" i="2" s="1"/>
  <c r="U148" i="2" s="1"/>
  <c r="O149" i="2"/>
  <c r="Q149" i="2"/>
  <c r="R149" i="2" s="1"/>
  <c r="U149" i="2" s="1"/>
  <c r="Q150" i="2"/>
  <c r="O150" i="2"/>
  <c r="R150" i="2" s="1"/>
  <c r="U150" i="2" s="1"/>
  <c r="O151" i="2"/>
  <c r="Q151" i="2"/>
  <c r="R151" i="2" s="1"/>
  <c r="U151" i="2" s="1"/>
  <c r="Q152" i="2"/>
  <c r="O152" i="2"/>
  <c r="R152" i="2" s="1"/>
  <c r="U152" i="2" s="1"/>
  <c r="O153" i="2"/>
  <c r="Q153" i="2"/>
  <c r="R153" i="2" s="1"/>
  <c r="U153" i="2" s="1"/>
  <c r="Q154" i="2"/>
  <c r="O154" i="2"/>
  <c r="R154" i="2" s="1"/>
  <c r="U154" i="2" s="1"/>
  <c r="O155" i="2"/>
  <c r="Q155" i="2"/>
  <c r="R155" i="2" s="1"/>
  <c r="U155" i="2" s="1"/>
  <c r="Q156" i="2"/>
  <c r="O156" i="2"/>
  <c r="R156" i="2" s="1"/>
  <c r="U156" i="2" s="1"/>
  <c r="O157" i="2"/>
  <c r="Q157" i="2"/>
  <c r="R157" i="2" s="1"/>
  <c r="U157" i="2" s="1"/>
  <c r="Q158" i="2"/>
  <c r="O158" i="2"/>
  <c r="R158" i="2" s="1"/>
  <c r="U158" i="2" s="1"/>
  <c r="O159" i="2"/>
  <c r="Q159" i="2"/>
  <c r="R159" i="2" s="1"/>
  <c r="U159" i="2" s="1"/>
  <c r="Q160" i="2"/>
  <c r="O160" i="2"/>
  <c r="R160" i="2" s="1"/>
  <c r="U160" i="2" s="1"/>
  <c r="O161" i="2"/>
  <c r="Q161" i="2"/>
  <c r="R161" i="2" s="1"/>
  <c r="U161" i="2" s="1"/>
  <c r="Q162" i="2"/>
  <c r="O162" i="2"/>
  <c r="R162" i="2" s="1"/>
  <c r="U162" i="2" s="1"/>
  <c r="O163" i="2"/>
  <c r="Q163" i="2"/>
  <c r="R163" i="2" s="1"/>
  <c r="U163" i="2" s="1"/>
  <c r="Q164" i="2"/>
  <c r="O164" i="2"/>
  <c r="R164" i="2" s="1"/>
  <c r="U164" i="2" s="1"/>
  <c r="O165" i="2"/>
  <c r="Q165" i="2"/>
  <c r="Q166" i="2"/>
  <c r="O166" i="2"/>
  <c r="R166" i="2" s="1"/>
  <c r="U166" i="2" s="1"/>
  <c r="O167" i="2"/>
  <c r="Q167" i="2"/>
  <c r="Q168" i="2"/>
  <c r="O168" i="2"/>
  <c r="R168" i="2" s="1"/>
  <c r="U168" i="2" s="1"/>
  <c r="O169" i="2"/>
  <c r="Q169" i="2"/>
  <c r="Q170" i="2"/>
  <c r="O170" i="2"/>
  <c r="R170" i="2" s="1"/>
  <c r="U170" i="2" s="1"/>
  <c r="O171" i="2"/>
  <c r="Q171" i="2"/>
  <c r="Q172" i="2"/>
  <c r="O172" i="2"/>
  <c r="R172" i="2" s="1"/>
  <c r="U172" i="2" s="1"/>
  <c r="O173" i="2"/>
  <c r="Q173" i="2"/>
  <c r="R173" i="2" s="1"/>
  <c r="U173" i="2" s="1"/>
  <c r="Q174" i="2"/>
  <c r="O174" i="2"/>
  <c r="R174" i="2" s="1"/>
  <c r="U174" i="2" s="1"/>
  <c r="O175" i="2"/>
  <c r="Q175" i="2"/>
  <c r="R175" i="2" s="1"/>
  <c r="U175" i="2" s="1"/>
  <c r="Q176" i="2"/>
  <c r="O176" i="2"/>
  <c r="R176" i="2" s="1"/>
  <c r="U176" i="2" s="1"/>
  <c r="O177" i="2"/>
  <c r="Q177" i="2"/>
  <c r="R177" i="2" s="1"/>
  <c r="U177" i="2" s="1"/>
  <c r="Q178" i="2"/>
  <c r="O178" i="2"/>
  <c r="R178" i="2" s="1"/>
  <c r="U178" i="2" s="1"/>
  <c r="O179" i="2"/>
  <c r="Q179" i="2"/>
  <c r="R179" i="2" s="1"/>
  <c r="U179" i="2" s="1"/>
  <c r="Q180" i="2"/>
  <c r="O180" i="2"/>
  <c r="R180" i="2" s="1"/>
  <c r="U180" i="2" s="1"/>
  <c r="O181" i="2"/>
  <c r="Q181" i="2"/>
  <c r="R181" i="2" s="1"/>
  <c r="U181" i="2" s="1"/>
  <c r="Q182" i="2"/>
  <c r="O182" i="2"/>
  <c r="R182" i="2" s="1"/>
  <c r="U182" i="2" s="1"/>
  <c r="O183" i="2"/>
  <c r="Q183" i="2"/>
  <c r="Q184" i="2"/>
  <c r="O184" i="2"/>
  <c r="R184" i="2" s="1"/>
  <c r="U184" i="2" s="1"/>
  <c r="O185" i="2"/>
  <c r="Q185" i="2"/>
  <c r="Q186" i="2"/>
  <c r="O186" i="2"/>
  <c r="R186" i="2" s="1"/>
  <c r="U186" i="2" s="1"/>
  <c r="O187" i="2"/>
  <c r="Q187" i="2"/>
  <c r="Q188" i="2"/>
  <c r="O188" i="2"/>
  <c r="R188" i="2" s="1"/>
  <c r="U188" i="2" s="1"/>
  <c r="O189" i="2"/>
  <c r="Q189" i="2"/>
  <c r="Q190" i="2"/>
  <c r="O190" i="2"/>
  <c r="R190" i="2" s="1"/>
  <c r="U190" i="2" s="1"/>
  <c r="O191" i="2"/>
  <c r="Q191" i="2"/>
  <c r="R191" i="2" s="1"/>
  <c r="U191" i="2" s="1"/>
  <c r="Q192" i="2"/>
  <c r="O192" i="2"/>
  <c r="R192" i="2" s="1"/>
  <c r="U192" i="2" s="1"/>
  <c r="O193" i="2"/>
  <c r="Q193" i="2"/>
  <c r="R193" i="2" s="1"/>
  <c r="U193" i="2" s="1"/>
  <c r="Q194" i="2"/>
  <c r="O194" i="2"/>
  <c r="R194" i="2" s="1"/>
  <c r="U194" i="2" s="1"/>
  <c r="O195" i="2"/>
  <c r="Q195" i="2"/>
  <c r="R195" i="2" s="1"/>
  <c r="U195" i="2" s="1"/>
  <c r="Q196" i="2"/>
  <c r="O196" i="2"/>
  <c r="R196" i="2" s="1"/>
  <c r="U196" i="2" s="1"/>
  <c r="O197" i="2"/>
  <c r="Q197" i="2"/>
  <c r="R197" i="2" s="1"/>
  <c r="U197" i="2" s="1"/>
  <c r="Q198" i="2"/>
  <c r="O198" i="2"/>
  <c r="R198" i="2" s="1"/>
  <c r="U198" i="2" s="1"/>
  <c r="Q199" i="2"/>
  <c r="O199" i="2"/>
  <c r="R199" i="2" s="1"/>
  <c r="U199" i="2" s="1"/>
  <c r="Q200" i="2"/>
  <c r="O200" i="2"/>
  <c r="R200" i="2" s="1"/>
  <c r="U200" i="2" s="1"/>
  <c r="Q201" i="2"/>
  <c r="O201" i="2"/>
  <c r="R201" i="2" s="1"/>
  <c r="U201" i="2" s="1"/>
  <c r="Q202" i="2"/>
  <c r="O202" i="2"/>
  <c r="R202" i="2" s="1"/>
  <c r="U202" i="2" s="1"/>
  <c r="Q203" i="2"/>
  <c r="O203" i="2"/>
  <c r="R203" i="2" s="1"/>
  <c r="U203" i="2" s="1"/>
  <c r="Q204" i="2"/>
  <c r="O204" i="2"/>
  <c r="R204" i="2" s="1"/>
  <c r="U204" i="2" s="1"/>
  <c r="Q205" i="2"/>
  <c r="O205" i="2"/>
  <c r="R205" i="2" s="1"/>
  <c r="U205" i="2" s="1"/>
  <c r="Q206" i="2"/>
  <c r="O206" i="2"/>
  <c r="R206" i="2" s="1"/>
  <c r="U206" i="2" s="1"/>
  <c r="Q207" i="2"/>
  <c r="O207" i="2"/>
  <c r="R207" i="2" s="1"/>
  <c r="U207" i="2" s="1"/>
  <c r="Q208" i="2"/>
  <c r="O208" i="2"/>
  <c r="R208" i="2" s="1"/>
  <c r="U208" i="2" s="1"/>
  <c r="Q209" i="2"/>
  <c r="O209" i="2"/>
  <c r="R209" i="2" s="1"/>
  <c r="U209" i="2" s="1"/>
  <c r="Q210" i="2"/>
  <c r="O210" i="2"/>
  <c r="R210" i="2" s="1"/>
  <c r="U210" i="2" s="1"/>
  <c r="Q211" i="2"/>
  <c r="O211" i="2"/>
  <c r="R211" i="2" s="1"/>
  <c r="U211" i="2" s="1"/>
  <c r="Q212" i="2"/>
  <c r="O212" i="2"/>
  <c r="R212" i="2" s="1"/>
  <c r="U212" i="2" s="1"/>
  <c r="Q213" i="2"/>
  <c r="O213" i="2"/>
  <c r="R213" i="2" s="1"/>
  <c r="U213" i="2" s="1"/>
  <c r="Q214" i="2"/>
  <c r="O214" i="2"/>
  <c r="R214" i="2" s="1"/>
  <c r="U214" i="2" s="1"/>
  <c r="O215" i="2"/>
  <c r="Q215" i="2"/>
  <c r="Q216" i="2"/>
  <c r="O216" i="2"/>
  <c r="R216" i="2" s="1"/>
  <c r="U216" i="2" s="1"/>
  <c r="O217" i="2"/>
  <c r="Q217" i="2"/>
  <c r="Q218" i="2"/>
  <c r="O218" i="2"/>
  <c r="R218" i="2" s="1"/>
  <c r="U218" i="2" s="1"/>
  <c r="O219" i="2"/>
  <c r="Q219" i="2"/>
  <c r="Q220" i="2"/>
  <c r="O220" i="2"/>
  <c r="R220" i="2" s="1"/>
  <c r="U220" i="2" s="1"/>
  <c r="O221" i="2"/>
  <c r="Q221" i="2"/>
  <c r="Q222" i="2"/>
  <c r="O222" i="2"/>
  <c r="R222" i="2" s="1"/>
  <c r="U222" i="2" s="1"/>
  <c r="O223" i="2"/>
  <c r="Q223" i="2"/>
  <c r="Q224" i="2"/>
  <c r="O224" i="2"/>
  <c r="R224" i="2" s="1"/>
  <c r="U224" i="2" s="1"/>
  <c r="O225" i="2"/>
  <c r="Q225" i="2"/>
  <c r="Q226" i="2"/>
  <c r="O226" i="2"/>
  <c r="R226" i="2" s="1"/>
  <c r="U226" i="2" s="1"/>
  <c r="O227" i="2"/>
  <c r="Q227" i="2"/>
  <c r="Q228" i="2"/>
  <c r="O228" i="2"/>
  <c r="R228" i="2" s="1"/>
  <c r="U228" i="2" s="1"/>
  <c r="O229" i="2"/>
  <c r="Q229" i="2"/>
  <c r="R229" i="2" s="1"/>
  <c r="U229" i="2" s="1"/>
  <c r="Q230" i="2"/>
  <c r="O230" i="2"/>
  <c r="R230" i="2" s="1"/>
  <c r="U230" i="2" s="1"/>
  <c r="O231" i="2"/>
  <c r="Q231" i="2"/>
  <c r="R231" i="2" s="1"/>
  <c r="U231" i="2" s="1"/>
  <c r="Q232" i="2"/>
  <c r="O232" i="2"/>
  <c r="R232" i="2" s="1"/>
  <c r="U232" i="2" s="1"/>
  <c r="O233" i="2"/>
  <c r="Q233" i="2"/>
  <c r="R233" i="2" s="1"/>
  <c r="U233" i="2" s="1"/>
  <c r="Q234" i="2"/>
  <c r="O234" i="2"/>
  <c r="R234" i="2" s="1"/>
  <c r="U234" i="2" s="1"/>
  <c r="O235" i="2"/>
  <c r="Q235" i="2"/>
  <c r="R235" i="2" s="1"/>
  <c r="U235" i="2" s="1"/>
  <c r="Q236" i="2"/>
  <c r="O236" i="2"/>
  <c r="R236" i="2" s="1"/>
  <c r="U236" i="2" s="1"/>
  <c r="O237" i="2"/>
  <c r="Q237" i="2"/>
  <c r="R237" i="2" s="1"/>
  <c r="U237" i="2" s="1"/>
  <c r="Q238" i="2"/>
  <c r="O238" i="2"/>
  <c r="R238" i="2" s="1"/>
  <c r="U238" i="2" s="1"/>
  <c r="O239" i="2"/>
  <c r="Q239" i="2"/>
  <c r="R239" i="2" s="1"/>
  <c r="U239" i="2" s="1"/>
  <c r="O240" i="2"/>
  <c r="Q240" i="2"/>
  <c r="R240" i="2" s="1"/>
  <c r="U240" i="2" s="1"/>
  <c r="Q241" i="2"/>
  <c r="O241" i="2"/>
  <c r="R241" i="2" s="1"/>
  <c r="U241" i="2" s="1"/>
  <c r="O242" i="2"/>
  <c r="Q242" i="2"/>
  <c r="R242" i="2" s="1"/>
  <c r="U242" i="2" s="1"/>
  <c r="Q243" i="2"/>
  <c r="O243" i="2"/>
  <c r="R243" i="2" s="1"/>
  <c r="U243" i="2" s="1"/>
  <c r="O244" i="2"/>
  <c r="Q244" i="2"/>
  <c r="R244" i="2" s="1"/>
  <c r="U244" i="2" s="1"/>
  <c r="Q245" i="2"/>
  <c r="O245" i="2"/>
  <c r="R245" i="2" s="1"/>
  <c r="U245" i="2" s="1"/>
  <c r="O246" i="2"/>
  <c r="Q246" i="2"/>
  <c r="R246" i="2" s="1"/>
  <c r="U246" i="2" s="1"/>
  <c r="Q247" i="2"/>
  <c r="O247" i="2"/>
  <c r="R247" i="2" s="1"/>
  <c r="U247" i="2" s="1"/>
  <c r="O248" i="2"/>
  <c r="Q248" i="2"/>
  <c r="R248" i="2" s="1"/>
  <c r="U248" i="2" s="1"/>
  <c r="O249" i="2"/>
  <c r="Q249" i="2"/>
  <c r="Q250" i="2"/>
  <c r="O250" i="2"/>
  <c r="R250" i="2" s="1"/>
  <c r="U250" i="2" s="1"/>
  <c r="O251" i="2"/>
  <c r="Q251" i="2"/>
  <c r="Q252" i="2"/>
  <c r="O252" i="2"/>
  <c r="R252" i="2" s="1"/>
  <c r="U252" i="2" s="1"/>
  <c r="O253" i="2"/>
  <c r="Q253" i="2"/>
  <c r="Q254" i="2"/>
  <c r="O254" i="2"/>
  <c r="R254" i="2" s="1"/>
  <c r="U254" i="2" s="1"/>
  <c r="O255" i="2"/>
  <c r="Q255" i="2"/>
  <c r="Q256" i="2"/>
  <c r="O256" i="2"/>
  <c r="R256" i="2" s="1"/>
  <c r="U256" i="2" s="1"/>
  <c r="O257" i="2"/>
  <c r="Q257" i="2"/>
  <c r="Q258" i="2"/>
  <c r="O258" i="2"/>
  <c r="R258" i="2" s="1"/>
  <c r="U258" i="2" s="1"/>
  <c r="O259" i="2"/>
  <c r="Q259" i="2"/>
  <c r="R259" i="2" s="1"/>
  <c r="U259" i="2" s="1"/>
  <c r="Q260" i="2"/>
  <c r="O260" i="2"/>
  <c r="R260" i="2" s="1"/>
  <c r="U260" i="2" s="1"/>
  <c r="O261" i="2"/>
  <c r="Q261" i="2"/>
  <c r="Q262" i="2"/>
  <c r="O262" i="2"/>
  <c r="R262" i="2" s="1"/>
  <c r="U262" i="2" s="1"/>
  <c r="O263" i="2"/>
  <c r="Q263" i="2"/>
  <c r="R263" i="2" s="1"/>
  <c r="U263" i="2" s="1"/>
  <c r="Q264" i="2"/>
  <c r="O264" i="2"/>
  <c r="R264" i="2" s="1"/>
  <c r="U264" i="2" s="1"/>
  <c r="O265" i="2"/>
  <c r="Q265" i="2"/>
  <c r="Q266" i="2"/>
  <c r="O266" i="2"/>
  <c r="R266" i="2" s="1"/>
  <c r="U266" i="2" s="1"/>
  <c r="O267" i="2"/>
  <c r="Q267" i="2"/>
  <c r="R267" i="2" s="1"/>
  <c r="U267" i="2" s="1"/>
  <c r="Q268" i="2"/>
  <c r="O268" i="2"/>
  <c r="R268" i="2" s="1"/>
  <c r="U268" i="2" s="1"/>
  <c r="O269" i="2"/>
  <c r="Q269" i="2"/>
  <c r="Q270" i="2"/>
  <c r="O270" i="2"/>
  <c r="R270" i="2" s="1"/>
  <c r="U270" i="2" s="1"/>
  <c r="O271" i="2"/>
  <c r="Q271" i="2"/>
  <c r="R271" i="2" s="1"/>
  <c r="U271" i="2" s="1"/>
  <c r="Q272" i="2"/>
  <c r="O272" i="2"/>
  <c r="R272" i="2" s="1"/>
  <c r="U272" i="2" s="1"/>
  <c r="O273" i="2"/>
  <c r="Q273" i="2"/>
  <c r="Q274" i="2"/>
  <c r="O274" i="2"/>
  <c r="R274" i="2" s="1"/>
  <c r="U274" i="2" s="1"/>
  <c r="O275" i="2"/>
  <c r="Q275" i="2"/>
  <c r="R275" i="2" s="1"/>
  <c r="U275" i="2" s="1"/>
  <c r="Q276" i="2"/>
  <c r="O276" i="2"/>
  <c r="R276" i="2" s="1"/>
  <c r="U276" i="2" s="1"/>
  <c r="O277" i="2"/>
  <c r="Q277" i="2"/>
  <c r="Q278" i="2"/>
  <c r="O278" i="2"/>
  <c r="R278" i="2" s="1"/>
  <c r="U278" i="2" s="1"/>
  <c r="O279" i="2"/>
  <c r="Q279" i="2"/>
  <c r="R279" i="2" s="1"/>
  <c r="U279" i="2" s="1"/>
  <c r="Q280" i="2"/>
  <c r="O280" i="2"/>
  <c r="R280" i="2" s="1"/>
  <c r="U280" i="2" s="1"/>
  <c r="O281" i="2"/>
  <c r="Q281" i="2"/>
  <c r="Q282" i="2"/>
  <c r="O282" i="2"/>
  <c r="R282" i="2" s="1"/>
  <c r="U282" i="2" s="1"/>
  <c r="O283" i="2"/>
  <c r="Q283" i="2"/>
  <c r="R283" i="2" s="1"/>
  <c r="U283" i="2" s="1"/>
  <c r="Q284" i="2"/>
  <c r="O284" i="2"/>
  <c r="R284" i="2" s="1"/>
  <c r="U284" i="2" s="1"/>
  <c r="O285" i="2"/>
  <c r="Q285" i="2"/>
  <c r="Q286" i="2"/>
  <c r="O286" i="2"/>
  <c r="R286" i="2" s="1"/>
  <c r="U286" i="2" s="1"/>
  <c r="O287" i="2"/>
  <c r="Q287" i="2"/>
  <c r="R287" i="2" s="1"/>
  <c r="U287" i="2" s="1"/>
  <c r="Q288" i="2"/>
  <c r="O288" i="2"/>
  <c r="R288" i="2" s="1"/>
  <c r="U288" i="2" s="1"/>
  <c r="O289" i="2"/>
  <c r="Q289" i="2"/>
  <c r="Q290" i="2"/>
  <c r="O290" i="2"/>
  <c r="R290" i="2" s="1"/>
  <c r="U290" i="2" s="1"/>
  <c r="O291" i="2"/>
  <c r="Q291" i="2"/>
  <c r="R291" i="2" s="1"/>
  <c r="U291" i="2" s="1"/>
  <c r="Q292" i="2"/>
  <c r="O292" i="2"/>
  <c r="R292" i="2" s="1"/>
  <c r="U292" i="2" s="1"/>
  <c r="O293" i="2"/>
  <c r="Q293" i="2"/>
  <c r="Q294" i="2"/>
  <c r="O294" i="2"/>
  <c r="R294" i="2" s="1"/>
  <c r="U294" i="2" s="1"/>
  <c r="O295" i="2"/>
  <c r="Q295" i="2"/>
  <c r="R295" i="2" s="1"/>
  <c r="U295" i="2" s="1"/>
  <c r="Q296" i="2"/>
  <c r="O296" i="2"/>
  <c r="R296" i="2" s="1"/>
  <c r="U296" i="2" s="1"/>
  <c r="Q297" i="2"/>
  <c r="O297" i="2"/>
  <c r="R297" i="2" s="1"/>
  <c r="U297" i="2" s="1"/>
  <c r="O298" i="2"/>
  <c r="Q298" i="2"/>
  <c r="R298" i="2" s="1"/>
  <c r="U298" i="2" s="1"/>
  <c r="Q299" i="2"/>
  <c r="O299" i="2"/>
  <c r="R299" i="2" s="1"/>
  <c r="U299" i="2" s="1"/>
  <c r="O300" i="2"/>
  <c r="Q300" i="2"/>
  <c r="Q301" i="2"/>
  <c r="O301" i="2"/>
  <c r="R301" i="2" s="1"/>
  <c r="U301" i="2" s="1"/>
  <c r="O302" i="2"/>
  <c r="Q302" i="2"/>
  <c r="Q303" i="2"/>
  <c r="O303" i="2"/>
  <c r="R303" i="2" s="1"/>
  <c r="U303" i="2" s="1"/>
  <c r="O304" i="2"/>
  <c r="Q304" i="2"/>
  <c r="R304" i="2" s="1"/>
  <c r="U304" i="2" s="1"/>
  <c r="Q305" i="2"/>
  <c r="O305" i="2"/>
  <c r="R305" i="2" s="1"/>
  <c r="U305" i="2" s="1"/>
  <c r="O306" i="2"/>
  <c r="Q306" i="2"/>
  <c r="R306" i="2" s="1"/>
  <c r="U306" i="2" s="1"/>
  <c r="Q307" i="2"/>
  <c r="O307" i="2"/>
  <c r="R307" i="2" s="1"/>
  <c r="U307" i="2" s="1"/>
  <c r="O308" i="2"/>
  <c r="Q308" i="2"/>
  <c r="R308" i="2" s="1"/>
  <c r="U308" i="2" s="1"/>
  <c r="Q309" i="2"/>
  <c r="O309" i="2"/>
  <c r="R309" i="2" s="1"/>
  <c r="U309" i="2" s="1"/>
  <c r="O310" i="2"/>
  <c r="Q310" i="2"/>
  <c r="R310" i="2" s="1"/>
  <c r="U310" i="2" s="1"/>
  <c r="Q311" i="2"/>
  <c r="O311" i="2"/>
  <c r="R311" i="2" s="1"/>
  <c r="U311" i="2" s="1"/>
  <c r="O312" i="2"/>
  <c r="Q312" i="2"/>
  <c r="R312" i="2" s="1"/>
  <c r="U312" i="2" s="1"/>
  <c r="Q313" i="2"/>
  <c r="O313" i="2"/>
  <c r="R313" i="2" s="1"/>
  <c r="U313" i="2" s="1"/>
  <c r="O314" i="2"/>
  <c r="Q314" i="2"/>
  <c r="R314" i="2" s="1"/>
  <c r="U314" i="2" s="1"/>
  <c r="Q315" i="2"/>
  <c r="O315" i="2"/>
  <c r="R315" i="2" s="1"/>
  <c r="U315" i="2" s="1"/>
  <c r="Q316" i="2"/>
  <c r="O316" i="2"/>
  <c r="R316" i="2" s="1"/>
  <c r="U316" i="2" s="1"/>
  <c r="O317" i="2"/>
  <c r="Q317" i="2"/>
  <c r="R317" i="2" s="1"/>
  <c r="U317" i="2" s="1"/>
  <c r="Q318" i="2"/>
  <c r="O318" i="2"/>
  <c r="R318" i="2" s="1"/>
  <c r="U318" i="2" s="1"/>
  <c r="O319" i="2"/>
  <c r="Q319" i="2"/>
  <c r="R319" i="2" s="1"/>
  <c r="U319" i="2" s="1"/>
  <c r="Q320" i="2"/>
  <c r="O320" i="2"/>
  <c r="R320" i="2" s="1"/>
  <c r="U320" i="2" s="1"/>
  <c r="O321" i="2"/>
  <c r="Q321" i="2"/>
  <c r="Q322" i="2"/>
  <c r="O322" i="2"/>
  <c r="R322" i="2" s="1"/>
  <c r="U322" i="2" s="1"/>
  <c r="O323" i="2"/>
  <c r="Q323" i="2"/>
  <c r="Q324" i="2"/>
  <c r="O324" i="2"/>
  <c r="R324" i="2" s="1"/>
  <c r="U324" i="2" s="1"/>
  <c r="O325" i="2"/>
  <c r="Q325" i="2"/>
  <c r="R325" i="2" s="1"/>
  <c r="U325" i="2" s="1"/>
  <c r="Q326" i="2"/>
  <c r="O326" i="2"/>
  <c r="R326" i="2" s="1"/>
  <c r="U326" i="2" s="1"/>
  <c r="O327" i="2"/>
  <c r="Q327" i="2"/>
  <c r="R327" i="2" s="1"/>
  <c r="U327" i="2" s="1"/>
  <c r="Q328" i="2"/>
  <c r="O328" i="2"/>
  <c r="R328" i="2" s="1"/>
  <c r="U328" i="2" s="1"/>
  <c r="O329" i="2"/>
  <c r="Q329" i="2"/>
  <c r="Q330" i="2"/>
  <c r="O330" i="2"/>
  <c r="R330" i="2" s="1"/>
  <c r="U330" i="2" s="1"/>
  <c r="O331" i="2"/>
  <c r="Q331" i="2"/>
  <c r="Q332" i="2"/>
  <c r="O332" i="2"/>
  <c r="R332" i="2" s="1"/>
  <c r="U332" i="2" s="1"/>
  <c r="O333" i="2"/>
  <c r="Q333" i="2"/>
  <c r="Q334" i="2"/>
  <c r="O334" i="2"/>
  <c r="R334" i="2" s="1"/>
  <c r="U334" i="2" s="1"/>
  <c r="O335" i="2"/>
  <c r="Q335" i="2"/>
  <c r="Q336" i="2"/>
  <c r="O336" i="2"/>
  <c r="R336" i="2" s="1"/>
  <c r="U336" i="2" s="1"/>
  <c r="O337" i="2"/>
  <c r="Q337" i="2"/>
  <c r="R337" i="2" s="1"/>
  <c r="U337" i="2" s="1"/>
  <c r="Q338" i="2"/>
  <c r="O338" i="2"/>
  <c r="R338" i="2" s="1"/>
  <c r="U338" i="2" s="1"/>
  <c r="O339" i="2"/>
  <c r="Q339" i="2"/>
  <c r="R339" i="2" s="1"/>
  <c r="U339" i="2" s="1"/>
  <c r="Q340" i="2"/>
  <c r="O340" i="2"/>
  <c r="R340" i="2" s="1"/>
  <c r="U340" i="2" s="1"/>
  <c r="O341" i="2"/>
  <c r="Q341" i="2"/>
  <c r="R341" i="2" s="1"/>
  <c r="U341" i="2" s="1"/>
  <c r="Q342" i="2"/>
  <c r="O342" i="2"/>
  <c r="R342" i="2" s="1"/>
  <c r="U342" i="2" s="1"/>
  <c r="O343" i="2"/>
  <c r="Q343" i="2"/>
  <c r="R343" i="2" s="1"/>
  <c r="U343" i="2" s="1"/>
  <c r="Q344" i="2"/>
  <c r="O344" i="2"/>
  <c r="R344" i="2" s="1"/>
  <c r="U344" i="2" s="1"/>
  <c r="O345" i="2"/>
  <c r="Q345" i="2"/>
  <c r="R345" i="2" s="1"/>
  <c r="U345" i="2" s="1"/>
  <c r="Q346" i="2"/>
  <c r="O346" i="2"/>
  <c r="R346" i="2" s="1"/>
  <c r="U346" i="2" s="1"/>
  <c r="O347" i="2"/>
  <c r="Q347" i="2"/>
  <c r="R347" i="2" s="1"/>
  <c r="U347" i="2" s="1"/>
  <c r="Q348" i="2"/>
  <c r="O348" i="2"/>
  <c r="R348" i="2" s="1"/>
  <c r="U348" i="2" s="1"/>
  <c r="O349" i="2"/>
  <c r="Q349" i="2"/>
  <c r="R349" i="2" s="1"/>
  <c r="U349" i="2" s="1"/>
  <c r="Q350" i="2"/>
  <c r="O350" i="2"/>
  <c r="R350" i="2" s="1"/>
  <c r="U350" i="2" s="1"/>
  <c r="O351" i="2"/>
  <c r="Q351" i="2"/>
  <c r="R351" i="2" s="1"/>
  <c r="U351" i="2" s="1"/>
  <c r="Q352" i="2"/>
  <c r="O352" i="2"/>
  <c r="R352" i="2" s="1"/>
  <c r="U352" i="2" s="1"/>
  <c r="O353" i="2"/>
  <c r="Q353" i="2"/>
  <c r="R353" i="2" s="1"/>
  <c r="U353" i="2" s="1"/>
  <c r="Q354" i="2"/>
  <c r="O354" i="2"/>
  <c r="R354" i="2" s="1"/>
  <c r="U354" i="2" s="1"/>
  <c r="O355" i="2"/>
  <c r="Q355" i="2"/>
  <c r="R355" i="2" s="1"/>
  <c r="U355" i="2" s="1"/>
  <c r="Q356" i="2"/>
  <c r="O356" i="2"/>
  <c r="R356" i="2" s="1"/>
  <c r="U356" i="2" s="1"/>
  <c r="O357" i="2"/>
  <c r="Q357" i="2"/>
  <c r="R357" i="2" s="1"/>
  <c r="U357" i="2" s="1"/>
  <c r="Q358" i="2"/>
  <c r="O358" i="2"/>
  <c r="R358" i="2" s="1"/>
  <c r="U358" i="2" s="1"/>
  <c r="O359" i="2"/>
  <c r="Q359" i="2"/>
  <c r="R359" i="2" s="1"/>
  <c r="U359" i="2" s="1"/>
  <c r="Q360" i="2"/>
  <c r="O360" i="2"/>
  <c r="R360" i="2" s="1"/>
  <c r="U360" i="2" s="1"/>
  <c r="O361" i="2"/>
  <c r="Q361" i="2"/>
  <c r="R361" i="2" s="1"/>
  <c r="U361" i="2" s="1"/>
  <c r="Q362" i="2"/>
  <c r="O362" i="2"/>
  <c r="R362" i="2" s="1"/>
  <c r="U362" i="2" s="1"/>
  <c r="O363" i="2"/>
  <c r="Q363" i="2"/>
  <c r="R363" i="2" s="1"/>
  <c r="U363" i="2" s="1"/>
  <c r="Q364" i="2"/>
  <c r="O364" i="2"/>
  <c r="R364" i="2" s="1"/>
  <c r="U364" i="2" s="1"/>
  <c r="O365" i="2"/>
  <c r="Q365" i="2"/>
  <c r="R365" i="2" s="1"/>
  <c r="U365" i="2" s="1"/>
  <c r="Q366" i="2"/>
  <c r="O366" i="2"/>
  <c r="R366" i="2" s="1"/>
  <c r="U366" i="2" s="1"/>
  <c r="O367" i="2"/>
  <c r="Q367" i="2"/>
  <c r="R367" i="2" s="1"/>
  <c r="U367" i="2" s="1"/>
  <c r="Q368" i="2"/>
  <c r="O368" i="2"/>
  <c r="O369" i="2"/>
  <c r="Q369" i="2"/>
  <c r="R369" i="2" s="1"/>
  <c r="U369" i="2" s="1"/>
  <c r="Q370" i="2"/>
  <c r="O370" i="2"/>
  <c r="R370" i="2" s="1"/>
  <c r="U370" i="2" s="1"/>
  <c r="O371" i="2"/>
  <c r="Q371" i="2"/>
  <c r="R371" i="2" s="1"/>
  <c r="U371" i="2" s="1"/>
  <c r="Q372" i="2"/>
  <c r="O372" i="2"/>
  <c r="R372" i="2" s="1"/>
  <c r="U372" i="2" s="1"/>
  <c r="O373" i="2"/>
  <c r="Q373" i="2"/>
  <c r="R373" i="2" s="1"/>
  <c r="U373" i="2" s="1"/>
  <c r="Q374" i="2"/>
  <c r="O374" i="2"/>
  <c r="R374" i="2" s="1"/>
  <c r="U374" i="2" s="1"/>
  <c r="O375" i="2"/>
  <c r="Q375" i="2"/>
  <c r="R375" i="2" s="1"/>
  <c r="U375" i="2" s="1"/>
  <c r="Q376" i="2"/>
  <c r="O376" i="2"/>
  <c r="R376" i="2" s="1"/>
  <c r="U376" i="2" s="1"/>
  <c r="O377" i="2"/>
  <c r="Q377" i="2"/>
  <c r="R377" i="2" s="1"/>
  <c r="U377" i="2" s="1"/>
  <c r="Q378" i="2"/>
  <c r="O378" i="2"/>
  <c r="R378" i="2" s="1"/>
  <c r="U378" i="2" s="1"/>
  <c r="Q379" i="2"/>
  <c r="O379" i="2"/>
  <c r="R379" i="2" s="1"/>
  <c r="U379" i="2" s="1"/>
  <c r="O380" i="2"/>
  <c r="Q380" i="2"/>
  <c r="Q381" i="2"/>
  <c r="O381" i="2"/>
  <c r="R381" i="2" s="1"/>
  <c r="U381" i="2" s="1"/>
  <c r="O382" i="2"/>
  <c r="Q382" i="2"/>
  <c r="Q383" i="2"/>
  <c r="O383" i="2"/>
  <c r="R383" i="2" s="1"/>
  <c r="U383" i="2" s="1"/>
  <c r="O384" i="2"/>
  <c r="Q384" i="2"/>
  <c r="Q385" i="2"/>
  <c r="O385" i="2"/>
  <c r="R385" i="2" s="1"/>
  <c r="U385" i="2" s="1"/>
  <c r="Q386" i="2"/>
  <c r="O386" i="2"/>
  <c r="R386" i="2" s="1"/>
  <c r="U386" i="2" s="1"/>
  <c r="Q387" i="2"/>
  <c r="O387" i="2"/>
  <c r="R387" i="2" s="1"/>
  <c r="U387" i="2" s="1"/>
  <c r="Q388" i="2"/>
  <c r="O388" i="2"/>
  <c r="R388" i="2" s="1"/>
  <c r="U388" i="2" s="1"/>
  <c r="Q389" i="2"/>
  <c r="O389" i="2"/>
  <c r="R389" i="2" s="1"/>
  <c r="U389" i="2" s="1"/>
  <c r="Q390" i="2"/>
  <c r="O390" i="2"/>
  <c r="R390" i="2" s="1"/>
  <c r="U390" i="2" s="1"/>
  <c r="O391" i="2"/>
  <c r="Q391" i="2"/>
  <c r="R391" i="2" s="1"/>
  <c r="U391" i="2" s="1"/>
  <c r="Q392" i="2"/>
  <c r="O392" i="2"/>
  <c r="R392" i="2" s="1"/>
  <c r="U392" i="2" s="1"/>
  <c r="O393" i="2"/>
  <c r="Q393" i="2"/>
  <c r="R393" i="2" s="1"/>
  <c r="U393" i="2" s="1"/>
  <c r="Q394" i="2"/>
  <c r="O394" i="2"/>
  <c r="R394" i="2" s="1"/>
  <c r="U394" i="2" s="1"/>
  <c r="O395" i="2"/>
  <c r="Q395" i="2"/>
  <c r="R395" i="2" s="1"/>
  <c r="U395" i="2" s="1"/>
  <c r="Q396" i="2"/>
  <c r="O396" i="2"/>
  <c r="R396" i="2" s="1"/>
  <c r="U396" i="2" s="1"/>
  <c r="O397" i="2"/>
  <c r="Q397" i="2"/>
  <c r="R397" i="2" s="1"/>
  <c r="U397" i="2" s="1"/>
  <c r="Q398" i="2"/>
  <c r="O398" i="2"/>
  <c r="R398" i="2" s="1"/>
  <c r="U398" i="2" s="1"/>
  <c r="O399" i="2"/>
  <c r="Q399" i="2"/>
  <c r="Q400" i="2"/>
  <c r="O400" i="2"/>
  <c r="R400" i="2" s="1"/>
  <c r="U400" i="2" s="1"/>
  <c r="Q401" i="2"/>
  <c r="O401" i="2"/>
  <c r="R401" i="2" s="1"/>
  <c r="U401" i="2" s="1"/>
  <c r="Q402" i="2"/>
  <c r="O402" i="2"/>
  <c r="R402" i="2" s="1"/>
  <c r="U402" i="2" s="1"/>
  <c r="Q403" i="2"/>
  <c r="O403" i="2"/>
  <c r="R403" i="2" s="1"/>
  <c r="U403" i="2" s="1"/>
  <c r="Q404" i="2"/>
  <c r="O404" i="2"/>
  <c r="R404" i="2" s="1"/>
  <c r="U404" i="2" s="1"/>
  <c r="Q405" i="2"/>
  <c r="O405" i="2"/>
  <c r="R405" i="2" s="1"/>
  <c r="U405" i="2" s="1"/>
  <c r="Q406" i="2"/>
  <c r="O406" i="2"/>
  <c r="R406" i="2" s="1"/>
  <c r="U406" i="2" s="1"/>
  <c r="Q407" i="2"/>
  <c r="O407" i="2"/>
  <c r="R407" i="2" s="1"/>
  <c r="U407" i="2" s="1"/>
  <c r="Q408" i="2"/>
  <c r="O408" i="2"/>
  <c r="R408" i="2" s="1"/>
  <c r="U408" i="2" s="1"/>
  <c r="Q409" i="2"/>
  <c r="O409" i="2"/>
  <c r="R409" i="2" s="1"/>
  <c r="U409" i="2" s="1"/>
  <c r="Q410" i="2"/>
  <c r="O410" i="2"/>
  <c r="R410" i="2" s="1"/>
  <c r="U410" i="2" s="1"/>
  <c r="Q411" i="2"/>
  <c r="O411" i="2"/>
  <c r="R411" i="2" s="1"/>
  <c r="U411" i="2" s="1"/>
  <c r="Q412" i="2"/>
  <c r="O412" i="2"/>
  <c r="R412" i="2" s="1"/>
  <c r="U412" i="2" s="1"/>
  <c r="Q413" i="2"/>
  <c r="O413" i="2"/>
  <c r="R413" i="2" s="1"/>
  <c r="U413" i="2" s="1"/>
  <c r="Q414" i="2"/>
  <c r="O414" i="2"/>
  <c r="R414" i="2" s="1"/>
  <c r="U414" i="2" s="1"/>
  <c r="Q415" i="2"/>
  <c r="O415" i="2"/>
  <c r="R415" i="2" s="1"/>
  <c r="U415" i="2" s="1"/>
  <c r="Q416" i="2"/>
  <c r="O416" i="2"/>
  <c r="R416" i="2" s="1"/>
  <c r="U416" i="2" s="1"/>
  <c r="Q417" i="2"/>
  <c r="O417" i="2"/>
  <c r="R417" i="2" s="1"/>
  <c r="U417" i="2" s="1"/>
  <c r="Q418" i="2"/>
  <c r="O418" i="2"/>
  <c r="R418" i="2" s="1"/>
  <c r="U418" i="2" s="1"/>
  <c r="Q419" i="2"/>
  <c r="O419" i="2"/>
  <c r="R419" i="2" s="1"/>
  <c r="U419" i="2" s="1"/>
  <c r="Q420" i="2"/>
  <c r="O420" i="2"/>
  <c r="R420" i="2" s="1"/>
  <c r="U420" i="2" s="1"/>
  <c r="Q421" i="2"/>
  <c r="O421" i="2"/>
  <c r="R421" i="2" s="1"/>
  <c r="U421" i="2" s="1"/>
  <c r="Q422" i="2"/>
  <c r="O422" i="2"/>
  <c r="R422" i="2" s="1"/>
  <c r="U422" i="2" s="1"/>
  <c r="Q423" i="2"/>
  <c r="O423" i="2"/>
  <c r="R423" i="2" s="1"/>
  <c r="U423" i="2" s="1"/>
  <c r="Q424" i="2"/>
  <c r="O424" i="2"/>
  <c r="R424" i="2" s="1"/>
  <c r="U424" i="2" s="1"/>
  <c r="Q425" i="2"/>
  <c r="O425" i="2"/>
  <c r="R425" i="2" s="1"/>
  <c r="U425" i="2" s="1"/>
  <c r="Q426" i="2"/>
  <c r="O426" i="2"/>
  <c r="R426" i="2" s="1"/>
  <c r="U426" i="2" s="1"/>
  <c r="Q427" i="2"/>
  <c r="O427" i="2"/>
  <c r="R427" i="2" s="1"/>
  <c r="U427" i="2" s="1"/>
  <c r="Q428" i="2"/>
  <c r="O428" i="2"/>
  <c r="R428" i="2" s="1"/>
  <c r="U428" i="2" s="1"/>
  <c r="Q429" i="2"/>
  <c r="O429" i="2"/>
  <c r="R429" i="2" s="1"/>
  <c r="U429" i="2" s="1"/>
  <c r="Q430" i="2"/>
  <c r="O430" i="2"/>
  <c r="R430" i="2" s="1"/>
  <c r="U430" i="2" s="1"/>
  <c r="Q431" i="2"/>
  <c r="O431" i="2"/>
  <c r="R431" i="2" s="1"/>
  <c r="U431" i="2" s="1"/>
  <c r="Q432" i="2"/>
  <c r="O432" i="2"/>
  <c r="R432" i="2" s="1"/>
  <c r="U432" i="2" s="1"/>
  <c r="Q433" i="2"/>
  <c r="O433" i="2"/>
  <c r="R433" i="2" s="1"/>
  <c r="U433" i="2" s="1"/>
  <c r="Q434" i="2"/>
  <c r="O434" i="2"/>
  <c r="R434" i="2" s="1"/>
  <c r="U434" i="2" s="1"/>
  <c r="Q435" i="2"/>
  <c r="O435" i="2"/>
  <c r="R435" i="2" s="1"/>
  <c r="U435" i="2" s="1"/>
  <c r="Q436" i="2"/>
  <c r="O436" i="2"/>
  <c r="R436" i="2" s="1"/>
  <c r="U436" i="2" s="1"/>
  <c r="Q437" i="2"/>
  <c r="O437" i="2"/>
  <c r="R437" i="2" s="1"/>
  <c r="U437" i="2" s="1"/>
  <c r="Q438" i="2"/>
  <c r="O438" i="2"/>
  <c r="R438" i="2" s="1"/>
  <c r="U438" i="2" s="1"/>
  <c r="Q439" i="2"/>
  <c r="O439" i="2"/>
  <c r="R439" i="2" s="1"/>
  <c r="U439" i="2" s="1"/>
  <c r="Q440" i="2"/>
  <c r="O440" i="2"/>
  <c r="R440" i="2" s="1"/>
  <c r="U440" i="2" s="1"/>
  <c r="Q441" i="2"/>
  <c r="O441" i="2"/>
  <c r="R441" i="2" s="1"/>
  <c r="U441" i="2" s="1"/>
  <c r="Q442" i="2"/>
  <c r="O442" i="2"/>
  <c r="R442" i="2" s="1"/>
  <c r="U442" i="2" s="1"/>
  <c r="Q443" i="2"/>
  <c r="O443" i="2"/>
  <c r="R443" i="2" s="1"/>
  <c r="U443" i="2" s="1"/>
  <c r="Q444" i="2"/>
  <c r="O444" i="2"/>
  <c r="R444" i="2" s="1"/>
  <c r="U444" i="2" s="1"/>
  <c r="Q445" i="2"/>
  <c r="O445" i="2"/>
  <c r="R445" i="2" s="1"/>
  <c r="U445" i="2" s="1"/>
  <c r="Q446" i="2"/>
  <c r="O446" i="2"/>
  <c r="R446" i="2" s="1"/>
  <c r="U446" i="2" s="1"/>
  <c r="Q447" i="2"/>
  <c r="O447" i="2"/>
  <c r="R447" i="2" s="1"/>
  <c r="U447" i="2" s="1"/>
  <c r="Q448" i="2"/>
  <c r="O448" i="2"/>
  <c r="R448" i="2" s="1"/>
  <c r="U448" i="2" s="1"/>
  <c r="Q449" i="2"/>
  <c r="O449" i="2"/>
  <c r="R449" i="2" s="1"/>
  <c r="Q450" i="2"/>
  <c r="O450" i="2"/>
  <c r="R450" i="2" s="1"/>
  <c r="U450" i="2" s="1"/>
  <c r="Q451" i="2"/>
  <c r="O451" i="2"/>
  <c r="R451" i="2" s="1"/>
  <c r="U451" i="2" s="1"/>
  <c r="Q452" i="2"/>
  <c r="O452" i="2"/>
  <c r="R452" i="2" s="1"/>
  <c r="U452" i="2" s="1"/>
  <c r="Q453" i="2"/>
  <c r="O453" i="2"/>
  <c r="R453" i="2" s="1"/>
  <c r="U453" i="2" s="1"/>
  <c r="Q454" i="2"/>
  <c r="O454" i="2"/>
  <c r="R454" i="2" s="1"/>
  <c r="U454" i="2" s="1"/>
  <c r="Q455" i="2"/>
  <c r="O455" i="2"/>
  <c r="R455" i="2" s="1"/>
  <c r="U455" i="2" s="1"/>
  <c r="Q456" i="2"/>
  <c r="O456" i="2"/>
  <c r="R456" i="2" s="1"/>
  <c r="U456" i="2" s="1"/>
  <c r="Q457" i="2"/>
  <c r="O457" i="2"/>
  <c r="R457" i="2" s="1"/>
  <c r="U457" i="2" s="1"/>
  <c r="O458" i="2"/>
  <c r="Q458" i="2"/>
  <c r="Q459" i="2"/>
  <c r="O459" i="2"/>
  <c r="R459" i="2" s="1"/>
  <c r="U459" i="2" s="1"/>
  <c r="O460" i="2"/>
  <c r="Q460" i="2"/>
  <c r="R460" i="2" s="1"/>
  <c r="U460" i="2" s="1"/>
  <c r="Q461" i="2"/>
  <c r="O461" i="2"/>
  <c r="R461" i="2" s="1"/>
  <c r="U461" i="2" s="1"/>
  <c r="O462" i="2"/>
  <c r="Q462" i="2"/>
  <c r="R462" i="2" s="1"/>
  <c r="U462" i="2" s="1"/>
  <c r="Q463" i="2"/>
  <c r="O463" i="2"/>
  <c r="R463" i="2" s="1"/>
  <c r="U463" i="2" s="1"/>
  <c r="Q464" i="2"/>
  <c r="O464" i="2"/>
  <c r="R464" i="2" s="1"/>
  <c r="U464" i="2" s="1"/>
  <c r="Q465" i="2"/>
  <c r="O465" i="2"/>
  <c r="R465" i="2" s="1"/>
  <c r="U465" i="2" s="1"/>
  <c r="Q466" i="2"/>
  <c r="O466" i="2"/>
  <c r="R466" i="2" s="1"/>
  <c r="U466" i="2" s="1"/>
  <c r="B394" i="2"/>
  <c r="O533" i="2"/>
  <c r="BL1048522" i="2"/>
  <c r="S5" i="2"/>
  <c r="R458" i="2" l="1"/>
  <c r="U458" i="2" s="1"/>
  <c r="U449" i="2"/>
  <c r="R399" i="2"/>
  <c r="U399" i="2" s="1"/>
  <c r="R384" i="2"/>
  <c r="U384" i="2" s="1"/>
  <c r="R382" i="2"/>
  <c r="U382" i="2" s="1"/>
  <c r="R380" i="2"/>
  <c r="U380" i="2" s="1"/>
  <c r="R368" i="2"/>
  <c r="U368" i="2" s="1"/>
  <c r="R335" i="2"/>
  <c r="U335" i="2" s="1"/>
  <c r="R333" i="2"/>
  <c r="U333" i="2" s="1"/>
  <c r="R331" i="2"/>
  <c r="U331" i="2" s="1"/>
  <c r="R329" i="2"/>
  <c r="U329" i="2" s="1"/>
  <c r="R323" i="2"/>
  <c r="U323" i="2" s="1"/>
  <c r="R321" i="2"/>
  <c r="U321" i="2" s="1"/>
  <c r="R302" i="2"/>
  <c r="U302" i="2" s="1"/>
  <c r="R300" i="2"/>
  <c r="U300" i="2" s="1"/>
  <c r="R293" i="2"/>
  <c r="U293" i="2" s="1"/>
  <c r="R289" i="2"/>
  <c r="U289" i="2" s="1"/>
  <c r="R285" i="2"/>
  <c r="U285" i="2" s="1"/>
  <c r="R281" i="2"/>
  <c r="U281" i="2" s="1"/>
  <c r="R277" i="2"/>
  <c r="U277" i="2" s="1"/>
  <c r="R273" i="2"/>
  <c r="U273" i="2" s="1"/>
  <c r="R269" i="2"/>
  <c r="U269" i="2" s="1"/>
  <c r="R265" i="2"/>
  <c r="U265" i="2" s="1"/>
  <c r="R261" i="2"/>
  <c r="U261" i="2" s="1"/>
  <c r="R257" i="2"/>
  <c r="U257" i="2" s="1"/>
  <c r="R255" i="2"/>
  <c r="U255" i="2" s="1"/>
  <c r="R253" i="2"/>
  <c r="U253" i="2" s="1"/>
  <c r="R251" i="2"/>
  <c r="U251" i="2" s="1"/>
  <c r="R249" i="2"/>
  <c r="U249" i="2" s="1"/>
  <c r="R227" i="2"/>
  <c r="U227" i="2" s="1"/>
  <c r="R225" i="2"/>
  <c r="U225" i="2" s="1"/>
  <c r="R223" i="2"/>
  <c r="U223" i="2" s="1"/>
  <c r="R221" i="2"/>
  <c r="U221" i="2" s="1"/>
  <c r="R219" i="2"/>
  <c r="U219" i="2" s="1"/>
  <c r="R217" i="2"/>
  <c r="U217" i="2" s="1"/>
  <c r="R215" i="2"/>
  <c r="U215" i="2" s="1"/>
  <c r="R189" i="2"/>
  <c r="U189" i="2" s="1"/>
  <c r="R187" i="2"/>
  <c r="U187" i="2" s="1"/>
  <c r="R185" i="2"/>
  <c r="U185" i="2" s="1"/>
  <c r="R183" i="2"/>
  <c r="R171" i="2"/>
  <c r="U171" i="2" s="1"/>
  <c r="R169" i="2"/>
  <c r="U169" i="2" s="1"/>
  <c r="R167" i="2"/>
  <c r="U167" i="2" s="1"/>
  <c r="R165" i="2"/>
  <c r="U165" i="2" s="1"/>
  <c r="R121" i="2"/>
  <c r="U121" i="2" s="1"/>
  <c r="R117" i="2"/>
  <c r="U117" i="2" s="1"/>
  <c r="R113" i="2"/>
  <c r="U113" i="2" s="1"/>
  <c r="R109" i="2"/>
  <c r="U109" i="2" s="1"/>
  <c r="R103" i="2"/>
  <c r="U103" i="2" s="1"/>
  <c r="R97" i="2"/>
  <c r="U97" i="2" s="1"/>
  <c r="R95" i="2"/>
  <c r="U95" i="2" s="1"/>
  <c r="R93" i="2"/>
  <c r="U93" i="2" s="1"/>
  <c r="R80" i="2"/>
  <c r="U80" i="2" s="1"/>
  <c r="R78" i="2"/>
  <c r="U78" i="2" s="1"/>
  <c r="R76" i="2"/>
  <c r="U76" i="2" s="1"/>
  <c r="R74" i="2"/>
  <c r="U74" i="2" s="1"/>
  <c r="R72" i="2"/>
  <c r="U72" i="2" s="1"/>
  <c r="R70" i="2"/>
  <c r="U70" i="2" s="1"/>
  <c r="R67" i="2"/>
  <c r="U67" i="2" s="1"/>
  <c r="R10" i="2"/>
  <c r="U10" i="2" s="1"/>
  <c r="R9" i="2"/>
  <c r="U9" i="2" s="1"/>
  <c r="B395" i="2"/>
  <c r="E17" i="1"/>
  <c r="E21" i="1"/>
  <c r="E24" i="1"/>
  <c r="E31" i="1"/>
  <c r="E27" i="1"/>
  <c r="E15" i="1"/>
  <c r="E7" i="1"/>
  <c r="E9" i="1"/>
  <c r="E12" i="1"/>
  <c r="E13" i="1"/>
  <c r="E5" i="1"/>
  <c r="E10" i="1"/>
  <c r="E8" i="1"/>
  <c r="E32" i="1"/>
  <c r="E28" i="1"/>
  <c r="E25" i="1"/>
  <c r="E29" i="1"/>
  <c r="E22" i="1"/>
  <c r="E23" i="1"/>
  <c r="E33" i="1"/>
  <c r="E16" i="1"/>
  <c r="E14" i="1"/>
  <c r="E30" i="1"/>
  <c r="E11" i="1"/>
  <c r="E6" i="1"/>
  <c r="E18" i="1"/>
  <c r="E20" i="1"/>
  <c r="E19" i="1"/>
  <c r="E26" i="1"/>
  <c r="U183" i="2" l="1"/>
  <c r="E34" i="1"/>
  <c r="G34" i="1" s="1"/>
  <c r="M34" i="1" s="1"/>
  <c r="H34" i="1"/>
  <c r="J34" i="1"/>
  <c r="B396" i="2"/>
  <c r="D2" i="2"/>
  <c r="E2" i="2" s="1"/>
  <c r="F2" i="2" s="1"/>
  <c r="G2" i="2" s="1"/>
  <c r="H2" i="2" s="1"/>
  <c r="I2" i="2" s="1"/>
  <c r="J2" i="2" s="1"/>
  <c r="K2" i="2" s="1"/>
  <c r="B397" i="2" l="1"/>
  <c r="L2" i="2"/>
  <c r="M2" i="2" s="1"/>
  <c r="N2" i="2" s="1"/>
  <c r="O2" i="2" s="1"/>
  <c r="P2" i="2" s="1"/>
  <c r="Q2" i="2" s="1"/>
  <c r="R2" i="2" s="1"/>
  <c r="S2" i="2" s="1"/>
  <c r="T2" i="2" s="1"/>
  <c r="U2" i="2" s="1"/>
  <c r="B398" i="2" l="1"/>
  <c r="V2" i="2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B399" i="2" l="1"/>
  <c r="S533" i="2"/>
  <c r="B400" i="2" l="1"/>
  <c r="Q5" i="2"/>
  <c r="Q533" i="2" s="1"/>
  <c r="B401" i="2" l="1"/>
  <c r="AF5" i="2"/>
  <c r="R5" i="2"/>
  <c r="E4" i="1" s="1"/>
  <c r="B402" i="2" l="1"/>
  <c r="R533" i="2"/>
  <c r="B403" i="2" l="1"/>
  <c r="R535" i="2"/>
  <c r="R534" i="2"/>
  <c r="R538" i="2" s="1"/>
  <c r="B404" i="2" l="1"/>
  <c r="R536" i="2"/>
  <c r="E36" i="1"/>
  <c r="B405" i="2" l="1"/>
  <c r="AK5" i="2"/>
  <c r="B406" i="2" l="1"/>
  <c r="AP533" i="2"/>
  <c r="AF533" i="2"/>
  <c r="AK533" i="2"/>
  <c r="AA5" i="2"/>
  <c r="B407" i="2" l="1"/>
  <c r="F10" i="1"/>
  <c r="F15" i="1"/>
  <c r="F7" i="1"/>
  <c r="F17" i="1"/>
  <c r="F9" i="1"/>
  <c r="F6" i="1"/>
  <c r="F13" i="1"/>
  <c r="F8" i="1"/>
  <c r="F16" i="1"/>
  <c r="F12" i="1"/>
  <c r="F5" i="1"/>
  <c r="F11" i="1"/>
  <c r="F18" i="1"/>
  <c r="AU533" i="2"/>
  <c r="T5" i="2"/>
  <c r="U5" i="2" s="1"/>
  <c r="AA533" i="2"/>
  <c r="B408" i="2" l="1"/>
  <c r="F14" i="1"/>
  <c r="G14" i="1" s="1"/>
  <c r="M14" i="1" s="1"/>
  <c r="U533" i="2"/>
  <c r="U538" i="2" s="1"/>
  <c r="U540" i="2" s="1"/>
  <c r="V540" i="2" s="1"/>
  <c r="G6" i="1"/>
  <c r="M6" i="1" s="1"/>
  <c r="G12" i="1"/>
  <c r="M12" i="1" s="1"/>
  <c r="G32" i="1"/>
  <c r="M32" i="1" s="1"/>
  <c r="G24" i="1"/>
  <c r="M24" i="1" s="1"/>
  <c r="G13" i="1"/>
  <c r="M13" i="1" s="1"/>
  <c r="G26" i="1"/>
  <c r="M26" i="1" s="1"/>
  <c r="G16" i="1"/>
  <c r="M16" i="1" s="1"/>
  <c r="G18" i="1"/>
  <c r="M18" i="1" s="1"/>
  <c r="G30" i="1"/>
  <c r="M30" i="1" s="1"/>
  <c r="G23" i="1"/>
  <c r="M23" i="1" s="1"/>
  <c r="G29" i="1"/>
  <c r="M29" i="1" s="1"/>
  <c r="G19" i="1"/>
  <c r="M19" i="1" s="1"/>
  <c r="G28" i="1"/>
  <c r="M28" i="1" s="1"/>
  <c r="G21" i="1"/>
  <c r="M21" i="1" s="1"/>
  <c r="G5" i="1"/>
  <c r="M5" i="1" s="1"/>
  <c r="G22" i="1"/>
  <c r="M22" i="1" s="1"/>
  <c r="G25" i="1"/>
  <c r="M25" i="1" s="1"/>
  <c r="G10" i="1"/>
  <c r="M10" i="1" s="1"/>
  <c r="G17" i="1"/>
  <c r="M17" i="1" s="1"/>
  <c r="G27" i="1"/>
  <c r="M27" i="1" s="1"/>
  <c r="G33" i="1"/>
  <c r="M33" i="1" s="1"/>
  <c r="G11" i="1"/>
  <c r="M11" i="1" s="1"/>
  <c r="G15" i="1"/>
  <c r="M15" i="1" s="1"/>
  <c r="G7" i="1"/>
  <c r="M7" i="1" s="1"/>
  <c r="G8" i="1"/>
  <c r="M8" i="1" s="1"/>
  <c r="G9" i="1"/>
  <c r="M9" i="1" s="1"/>
  <c r="G20" i="1"/>
  <c r="M20" i="1" s="1"/>
  <c r="G31" i="1"/>
  <c r="M31" i="1" s="1"/>
  <c r="T533" i="2"/>
  <c r="F4" i="1"/>
  <c r="B409" i="2" l="1"/>
  <c r="T535" i="2"/>
  <c r="U535" i="2"/>
  <c r="U534" i="2"/>
  <c r="H11" i="1"/>
  <c r="H27" i="1"/>
  <c r="H20" i="1"/>
  <c r="H5" i="1"/>
  <c r="H28" i="1"/>
  <c r="H29" i="1"/>
  <c r="H12" i="1"/>
  <c r="H8" i="1"/>
  <c r="H15" i="1"/>
  <c r="H33" i="1"/>
  <c r="H17" i="1"/>
  <c r="H25" i="1"/>
  <c r="H30" i="1"/>
  <c r="H14" i="1"/>
  <c r="H26" i="1"/>
  <c r="H24" i="1"/>
  <c r="H21" i="1"/>
  <c r="H19" i="1"/>
  <c r="H13" i="1"/>
  <c r="G4" i="1"/>
  <c r="M4" i="1" s="1"/>
  <c r="H31" i="1"/>
  <c r="H9" i="1"/>
  <c r="H7" i="1"/>
  <c r="H10" i="1"/>
  <c r="H22" i="1"/>
  <c r="H23" i="1"/>
  <c r="H18" i="1"/>
  <c r="H16" i="1"/>
  <c r="H32" i="1"/>
  <c r="H6" i="1"/>
  <c r="T534" i="2"/>
  <c r="F36" i="1"/>
  <c r="B410" i="2" l="1"/>
  <c r="I36" i="1"/>
  <c r="T536" i="2"/>
  <c r="T538" i="2"/>
  <c r="U536" i="2"/>
  <c r="J6" i="1"/>
  <c r="J7" i="1"/>
  <c r="J22" i="1"/>
  <c r="J18" i="1"/>
  <c r="J32" i="1"/>
  <c r="J16" i="1"/>
  <c r="J10" i="1"/>
  <c r="J21" i="1"/>
  <c r="J26" i="1"/>
  <c r="J30" i="1"/>
  <c r="J8" i="1"/>
  <c r="J12" i="1"/>
  <c r="J28" i="1"/>
  <c r="J11" i="1"/>
  <c r="J19" i="1"/>
  <c r="J24" i="1"/>
  <c r="J14" i="1"/>
  <c r="J17" i="1"/>
  <c r="J15" i="1"/>
  <c r="J20" i="1"/>
  <c r="J23" i="1"/>
  <c r="J9" i="1"/>
  <c r="J25" i="1"/>
  <c r="J33" i="1"/>
  <c r="J31" i="1"/>
  <c r="J13" i="1"/>
  <c r="J29" i="1"/>
  <c r="J5" i="1"/>
  <c r="J27" i="1"/>
  <c r="G36" i="1"/>
  <c r="G39" i="1" s="1"/>
  <c r="H4" i="1"/>
  <c r="H36" i="1" s="1"/>
  <c r="B411" i="2" l="1"/>
  <c r="M36" i="1"/>
  <c r="J4" i="1"/>
  <c r="J36" i="1" s="1"/>
  <c r="B412" i="2" l="1"/>
  <c r="B413" i="2" l="1"/>
  <c r="B414" i="2" l="1"/>
  <c r="B415" i="2" l="1"/>
  <c r="B416" i="2" l="1"/>
  <c r="B417" i="2" l="1"/>
  <c r="B418" i="2" l="1"/>
  <c r="B419" i="2" l="1"/>
  <c r="B420" i="2" l="1"/>
  <c r="B421" i="2" l="1"/>
  <c r="B422" i="2" l="1"/>
  <c r="B423" i="2" l="1"/>
  <c r="B424" i="2" l="1"/>
  <c r="B425" i="2" l="1"/>
  <c r="B426" i="2" l="1"/>
  <c r="B427" i="2" l="1"/>
  <c r="B428" i="2" l="1"/>
  <c r="B429" i="2" l="1"/>
  <c r="B430" i="2" l="1"/>
  <c r="B431" i="2" l="1"/>
  <c r="B432" i="2" l="1"/>
  <c r="B433" i="2" l="1"/>
  <c r="B434" i="2" l="1"/>
  <c r="B435" i="2" l="1"/>
  <c r="B436" i="2" l="1"/>
  <c r="B437" i="2" l="1"/>
  <c r="B438" i="2" l="1"/>
  <c r="B439" i="2" l="1"/>
  <c r="B440" i="2" l="1"/>
  <c r="B441" i="2" l="1"/>
  <c r="B442" i="2" l="1"/>
  <c r="B443" i="2" l="1"/>
  <c r="B444" i="2" l="1"/>
  <c r="B445" i="2" l="1"/>
  <c r="B446" i="2" l="1"/>
  <c r="B447" i="2" l="1"/>
  <c r="B448" i="2" l="1"/>
  <c r="B449" i="2" l="1"/>
  <c r="B450" i="2" l="1"/>
  <c r="B451" i="2" l="1"/>
  <c r="B452" i="2" l="1"/>
  <c r="B453" i="2" l="1"/>
  <c r="B454" i="2" l="1"/>
  <c r="B455" i="2" l="1"/>
  <c r="B456" i="2" l="1"/>
  <c r="B457" i="2" l="1"/>
  <c r="B458" i="2" l="1"/>
  <c r="B459" i="2" l="1"/>
  <c r="B460" i="2" l="1"/>
  <c r="B461" i="2" l="1"/>
  <c r="B462" i="2" l="1"/>
  <c r="B463" i="2" l="1"/>
  <c r="B464" i="2" l="1"/>
  <c r="B465" i="2" l="1"/>
  <c r="B466" i="2" l="1"/>
  <c r="B467" i="2" l="1"/>
  <c r="B468" i="2" l="1"/>
  <c r="B469" i="2" l="1"/>
  <c r="B470" i="2" l="1"/>
  <c r="B471" i="2" l="1"/>
  <c r="B472" i="2" l="1"/>
  <c r="B473" i="2" l="1"/>
  <c r="B474" i="2" l="1"/>
  <c r="B475" i="2" l="1"/>
  <c r="B476" i="2" l="1"/>
  <c r="B477" i="2" l="1"/>
  <c r="B478" i="2" l="1"/>
  <c r="B479" i="2" l="1"/>
  <c r="B480" i="2" l="1"/>
  <c r="B481" i="2" l="1"/>
  <c r="B482" i="2" l="1"/>
  <c r="B483" i="2" l="1"/>
  <c r="B484" i="2" l="1"/>
  <c r="B485" i="2" l="1"/>
  <c r="B486" i="2" l="1"/>
  <c r="B487" i="2" l="1"/>
  <c r="B488" i="2" l="1"/>
  <c r="B489" i="2" l="1"/>
  <c r="B490" i="2" l="1"/>
  <c r="B491" i="2" l="1"/>
  <c r="B492" i="2" l="1"/>
  <c r="B493" i="2" l="1"/>
  <c r="B494" i="2" l="1"/>
  <c r="B495" i="2" l="1"/>
  <c r="B496" i="2" l="1"/>
  <c r="B497" i="2" l="1"/>
  <c r="B498" i="2" l="1"/>
  <c r="B499" i="2" l="1"/>
  <c r="B500" i="2" l="1"/>
  <c r="B501" i="2" l="1"/>
  <c r="B502" i="2" l="1"/>
  <c r="B503" i="2" l="1"/>
  <c r="B504" i="2" l="1"/>
  <c r="B505" i="2" l="1"/>
  <c r="B506" i="2" l="1"/>
  <c r="B507" i="2" l="1"/>
  <c r="B508" i="2" l="1"/>
  <c r="B509" i="2" l="1"/>
  <c r="B510" i="2" l="1"/>
  <c r="B511" i="2" l="1"/>
  <c r="B512" i="2" l="1"/>
  <c r="B513" i="2" l="1"/>
  <c r="B514" i="2" l="1"/>
  <c r="B515" i="2" l="1"/>
  <c r="B516" i="2" l="1"/>
  <c r="B517" i="2" l="1"/>
  <c r="B518" i="2" l="1"/>
  <c r="B519" i="2" l="1"/>
  <c r="B520" i="2" l="1"/>
  <c r="B521" i="2" l="1"/>
  <c r="B522" i="2" l="1"/>
  <c r="B523" i="2" l="1"/>
  <c r="B524" i="2" l="1"/>
  <c r="B525" i="2" l="1"/>
  <c r="B526" i="2" l="1"/>
  <c r="B527" i="2" l="1"/>
  <c r="B528" i="2" l="1"/>
  <c r="B529" i="2" l="1"/>
  <c r="B530" i="2" l="1"/>
  <c r="B531" i="2" l="1"/>
</calcChain>
</file>

<file path=xl/sharedStrings.xml><?xml version="1.0" encoding="utf-8"?>
<sst xmlns="http://schemas.openxmlformats.org/spreadsheetml/2006/main" count="985" uniqueCount="204">
  <si>
    <t>TANGGAL</t>
  </si>
  <si>
    <t>JENIS</t>
  </si>
  <si>
    <t>JUMLAH</t>
  </si>
  <si>
    <t>HARGA/2 JAM</t>
  </si>
  <si>
    <t>HARI</t>
  </si>
  <si>
    <t>Selasa</t>
  </si>
  <si>
    <t>Rabu</t>
  </si>
  <si>
    <t>Kamis</t>
  </si>
  <si>
    <t>Jumat</t>
  </si>
  <si>
    <t>Sabtu</t>
  </si>
  <si>
    <t>Minggu</t>
  </si>
  <si>
    <t>Senin</t>
  </si>
  <si>
    <t>TOTAL</t>
  </si>
  <si>
    <t>ROOM</t>
  </si>
  <si>
    <t>KELEBIHAN JAM</t>
  </si>
  <si>
    <t>QTY</t>
  </si>
  <si>
    <t>MAKAN/MINUM</t>
  </si>
  <si>
    <t>SERVICE</t>
  </si>
  <si>
    <t>NAMA</t>
  </si>
  <si>
    <t>@</t>
  </si>
  <si>
    <t>JMLH</t>
  </si>
  <si>
    <t>F&amp;B</t>
  </si>
  <si>
    <t>TAX</t>
  </si>
  <si>
    <t>PB 1</t>
  </si>
  <si>
    <t>FOOD</t>
  </si>
  <si>
    <t>BEVERAGE</t>
  </si>
  <si>
    <t>GINGER ALE</t>
  </si>
  <si>
    <t>ROKOK</t>
  </si>
  <si>
    <t>MAKANAN</t>
  </si>
  <si>
    <t>NOMOR</t>
  </si>
  <si>
    <t>MINUMAN</t>
  </si>
  <si>
    <t>BULAN</t>
  </si>
  <si>
    <t>TAHUN</t>
  </si>
  <si>
    <t>Bar</t>
  </si>
  <si>
    <t>JAM NORMAL</t>
  </si>
  <si>
    <t>JUMLAH ROOM</t>
  </si>
  <si>
    <t>TOTAL BILL</t>
  </si>
  <si>
    <t>LAPORAN PENDAPATAN BULANAN</t>
  </si>
  <si>
    <t>NO.</t>
  </si>
  <si>
    <t>PENANGGALAN</t>
  </si>
  <si>
    <t>BILL</t>
  </si>
  <si>
    <t>Small</t>
  </si>
  <si>
    <t>Medium</t>
  </si>
  <si>
    <t>Large</t>
  </si>
  <si>
    <t>KODE ROOM</t>
  </si>
  <si>
    <t>Party</t>
  </si>
  <si>
    <t>PB1</t>
  </si>
  <si>
    <t>Estimasi</t>
  </si>
  <si>
    <t>'11</t>
  </si>
  <si>
    <t>'15</t>
  </si>
  <si>
    <t>SOJU</t>
  </si>
  <si>
    <t>ALCOHOL</t>
  </si>
  <si>
    <t>JW RED LABEL</t>
  </si>
  <si>
    <t>JIM BEAM WHITE</t>
  </si>
  <si>
    <t>JW BLACK LABEL</t>
  </si>
  <si>
    <t>'01</t>
  </si>
  <si>
    <t>'02</t>
  </si>
  <si>
    <t>'04</t>
  </si>
  <si>
    <t>'08</t>
  </si>
  <si>
    <t>'09</t>
  </si>
  <si>
    <t>'16</t>
  </si>
  <si>
    <t>'18</t>
  </si>
  <si>
    <t>'22</t>
  </si>
  <si>
    <t>'23</t>
  </si>
  <si>
    <t>'25</t>
  </si>
  <si>
    <t>'05</t>
  </si>
  <si>
    <t>'06</t>
  </si>
  <si>
    <t>'07</t>
  </si>
  <si>
    <t>'12</t>
  </si>
  <si>
    <t>'13</t>
  </si>
  <si>
    <t>'14</t>
  </si>
  <si>
    <t>'19</t>
  </si>
  <si>
    <t>'20</t>
  </si>
  <si>
    <t>'21</t>
  </si>
  <si>
    <t>'26</t>
  </si>
  <si>
    <t>'27</t>
  </si>
  <si>
    <t>'28</t>
  </si>
  <si>
    <t>'03</t>
  </si>
  <si>
    <t>'10</t>
  </si>
  <si>
    <t>'17</t>
  </si>
  <si>
    <t>'24</t>
  </si>
  <si>
    <t>26</t>
  </si>
  <si>
    <t>Redjeki Semarang</t>
  </si>
  <si>
    <t>'29</t>
  </si>
  <si>
    <t>'30</t>
  </si>
  <si>
    <t>ANGGUR HIJAU</t>
  </si>
  <si>
    <t>USUS GORENG ORI</t>
  </si>
  <si>
    <t>USUS GORENG PEDAS</t>
  </si>
  <si>
    <t>KERIPIK TEMPE</t>
  </si>
  <si>
    <t>BASRENG ORI</t>
  </si>
  <si>
    <t>BASRENG PEDES</t>
  </si>
  <si>
    <t>MACARONI ORI</t>
  </si>
  <si>
    <t>MACARONI PEDES</t>
  </si>
  <si>
    <t>MIE REMES ORI</t>
  </si>
  <si>
    <t>KACANG LOFET DK</t>
  </si>
  <si>
    <t>KACANG MIX DK</t>
  </si>
  <si>
    <t>HANDCUTTED TRUFFLES FRIES</t>
  </si>
  <si>
    <t>EGG</t>
  </si>
  <si>
    <t>PARU CABE GARAM</t>
  </si>
  <si>
    <t>CHICKEN SKIN</t>
  </si>
  <si>
    <t>CRISPY CHICKEN WINGS</t>
  </si>
  <si>
    <t>CIRENG</t>
  </si>
  <si>
    <t>NASI SAMBEL GORENG KOYOR</t>
  </si>
  <si>
    <t>NASI PARU SAMBEL TERASI</t>
  </si>
  <si>
    <t>NASI SAPI ASAP DABU MATAH</t>
  </si>
  <si>
    <t>NASI LIDAH ASIN SAMBAL MENTEGA</t>
  </si>
  <si>
    <t>PERI PERI CHICKEN RICE</t>
  </si>
  <si>
    <t>NASI GORENG TUNA SAMBAL IJO</t>
  </si>
  <si>
    <t>KATSU OMURICE</t>
  </si>
  <si>
    <t>MIE AYAM HAINAN CHILLY OIL</t>
  </si>
  <si>
    <t>MIE AYAM CHARSIEW CHILLY OIL</t>
  </si>
  <si>
    <t>KWETIEW SIRAM SAPI JAHE</t>
  </si>
  <si>
    <t>CHICKEN BULDAK</t>
  </si>
  <si>
    <t>STEAM RICE</t>
  </si>
  <si>
    <t>MENDOAN</t>
  </si>
  <si>
    <t>NASI GORENG DAGING ASAP</t>
  </si>
  <si>
    <t>RAMEN TANTAN SHOYU</t>
  </si>
  <si>
    <t>MARLBORO RED</t>
  </si>
  <si>
    <t>MARLBORO LIGHT</t>
  </si>
  <si>
    <t>MARLBORO ICE BURST</t>
  </si>
  <si>
    <t>SAMPOERNA RED</t>
  </si>
  <si>
    <t>SAMPOERNA MENTOL</t>
  </si>
  <si>
    <t>GG SURYA 16</t>
  </si>
  <si>
    <t>LA ICE</t>
  </si>
  <si>
    <t>LA ICE PULPLE</t>
  </si>
  <si>
    <t>LA RED</t>
  </si>
  <si>
    <t>GUINNES 325ML</t>
  </si>
  <si>
    <t>ANGGUR MERAH GOLD</t>
  </si>
  <si>
    <t>REDBULL</t>
  </si>
  <si>
    <t>ANKER PINEAPPLE 330 ML</t>
  </si>
  <si>
    <t>ANKER PINT</t>
  </si>
  <si>
    <t>LE MINERAL 330ML</t>
  </si>
  <si>
    <t>TEH PUCUK HARUM 350ML</t>
  </si>
  <si>
    <t>PULPY ORANGE 300ML</t>
  </si>
  <si>
    <t>TONIC 250ML</t>
  </si>
  <si>
    <t>SPRITE 250ML</t>
  </si>
  <si>
    <t>COKE 250ML</t>
  </si>
  <si>
    <t>SODA WATER ZODA 250ML</t>
  </si>
  <si>
    <t>ZODA WATER</t>
  </si>
  <si>
    <t>POKKA GREEN TEA</t>
  </si>
  <si>
    <t>YAKULT ORI</t>
  </si>
  <si>
    <t>BEAR BRAND 189ML</t>
  </si>
  <si>
    <t>KOPI REDJEKI</t>
  </si>
  <si>
    <t>KOPSU REDJEKI</t>
  </si>
  <si>
    <t>KOPI AMERICANO</t>
  </si>
  <si>
    <t>ANKER PILSENER PINT 330 ML</t>
  </si>
  <si>
    <t>ANKER LYCHEE 330ML</t>
  </si>
  <si>
    <t>KOPI BUTTERSCOTCH</t>
  </si>
  <si>
    <t>KOPI PISTACHIO</t>
  </si>
  <si>
    <t>KOPSU BUTTERSCOTCH</t>
  </si>
  <si>
    <t>KOPSU PISTACHIO</t>
  </si>
  <si>
    <t>KOPI MATCHA</t>
  </si>
  <si>
    <t>SAN MIGUEL LIGHT 330ML</t>
  </si>
  <si>
    <t>SAN MIGUEL PALE PILSENER 330ML</t>
  </si>
  <si>
    <t>CARLSBERG PINT 330ML</t>
  </si>
  <si>
    <t>SAN MIGUEL NEGRA 330ML</t>
  </si>
  <si>
    <t>BEER KURA KURA EASY ALE</t>
  </si>
  <si>
    <t>BEER KURA KURA LAGER</t>
  </si>
  <si>
    <t>BEER KURA KURA SESSION HAZY</t>
  </si>
  <si>
    <t>ASAHI DRY PINT 330ML</t>
  </si>
  <si>
    <t>ERDINGER HELLES LAGER 330ML</t>
  </si>
  <si>
    <t>CORONA 330ML</t>
  </si>
  <si>
    <t>CONG YANG 620ML</t>
  </si>
  <si>
    <t>ANI ANGGUR LYCHEE</t>
  </si>
  <si>
    <t>ANGGUR MERAH REGULER</t>
  </si>
  <si>
    <t>ANI ANGGUR HIJAU</t>
  </si>
  <si>
    <t>KAWA KAWA ANGGUR HIJAU</t>
  </si>
  <si>
    <t>SOJU GREEN ROYAL APPLE</t>
  </si>
  <si>
    <t>SOJU GREEN ROYAL LYCHEE</t>
  </si>
  <si>
    <t>SOJU GREEN ROYAL MANGO</t>
  </si>
  <si>
    <t>ATLAS ANGGUR LYCHEE</t>
  </si>
  <si>
    <t>ATLAS ANGGUR PEACH</t>
  </si>
  <si>
    <t>AP ANGGUR HIJAU</t>
  </si>
  <si>
    <t>SOJU JINRO ORI</t>
  </si>
  <si>
    <t>SOJU JINRO GREENGRAPE</t>
  </si>
  <si>
    <t>SOJU JINRO PEACH</t>
  </si>
  <si>
    <t>JAGERMEISTER 350ML</t>
  </si>
  <si>
    <t>SMIRNOFF</t>
  </si>
  <si>
    <t>CAPTAIN MORGAN SPICED GOLD</t>
  </si>
  <si>
    <t>SKYY</t>
  </si>
  <si>
    <t>BATAVIA 700ML</t>
  </si>
  <si>
    <t>JAGERMEISTER 700ML</t>
  </si>
  <si>
    <t>H GIN</t>
  </si>
  <si>
    <t>JIM BEAM APPLE</t>
  </si>
  <si>
    <t>JAMESON</t>
  </si>
  <si>
    <t>JOSE CUERVO GOLD</t>
  </si>
  <si>
    <t>JIM BEAM BLACK CHERRY</t>
  </si>
  <si>
    <t>JOSE CUERVO CALAVERA</t>
  </si>
  <si>
    <t>BOMBAY SAPHIRE</t>
  </si>
  <si>
    <t>JACK DANIELS NO 7</t>
  </si>
  <si>
    <t>JOHNIE WALKER BLONDE</t>
  </si>
  <si>
    <t>CHIVAS REGAL 12</t>
  </si>
  <si>
    <t>GREYGROOSE</t>
  </si>
  <si>
    <t>JAGERMEISTER 1 LITER</t>
  </si>
  <si>
    <t>SINGLETON 12 GLEN ORD</t>
  </si>
  <si>
    <t>MARTELL VSOP</t>
  </si>
  <si>
    <t>HENNESY VSOP</t>
  </si>
  <si>
    <t>GLENFIDCH 15 YO</t>
  </si>
  <si>
    <t>DON JULIO BLANCO</t>
  </si>
  <si>
    <t>CODIGO ROSA</t>
  </si>
  <si>
    <t>DON JULIO REPOSADO</t>
  </si>
  <si>
    <t>CHIVAS 18 YO</t>
  </si>
  <si>
    <t>05</t>
  </si>
  <si>
    <t>'31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</si>
</sst>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_);_(@_)"/>
    <numFmt numFmtId="166" formatCode="dd/mm/yyyy;@"/>
  </numFmts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color indexed="8"/>
      <name val="Tahoma"/>
      <family val="2"/>
    </font>
    <font>
      <sz val="8"/>
      <color theme="1"/>
      <name val="Tahoma"/>
      <family val="2"/>
    </font>
    <font>
      <sz val="10"/>
      <name val="Arial Narrow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1"/>
      <scheme val="minor"/>
    </font>
    <font>
      <b/>
      <sz val="10"/>
      <name val="Arial Narrow"/>
      <family val="2"/>
    </font>
    <font>
      <sz val="9"/>
      <name val="Arial Narrow"/>
      <family val="2"/>
    </font>
    <font>
      <sz val="8"/>
      <color rgb="FFFF0000"/>
      <name val="Tahoma"/>
      <family val="2"/>
    </font>
    <font>
      <b/>
      <sz val="10"/>
      <color rgb="FFFF0000"/>
      <name val="Arial Narrow"/>
      <family val="2"/>
    </font>
    <font>
      <b/>
      <sz val="11"/>
      <color rgb="FFFF0000"/>
      <name val="Calibri"/>
      <family val="2"/>
      <charset val="1"/>
      <scheme val="minor"/>
    </font>
    <font>
      <sz val="8"/>
      <name val="Tahoma"/>
      <family val="2"/>
    </font>
    <font>
      <sz val="10"/>
      <color rgb="FFFF0000"/>
      <name val="Arial Narrow"/>
      <family val="2"/>
    </font>
    <font>
      <sz val="9"/>
      <color rgb="FFFF0000"/>
      <name val="Arial Narrow"/>
      <family val="2"/>
    </font>
    <font>
      <sz val="8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164" fontId="3" fillId="0" borderId="0" xfId="1" applyFont="1" applyAlignment="1">
      <alignment vertical="top"/>
    </xf>
    <xf numFmtId="10" fontId="3" fillId="0" borderId="0" xfId="2" applyNumberFormat="1" applyFont="1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3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164" fontId="4" fillId="0" borderId="0" xfId="1" applyFont="1" applyAlignment="1">
      <alignment vertical="center"/>
    </xf>
    <xf numFmtId="164" fontId="0" fillId="0" borderId="0" xfId="1" applyFont="1"/>
    <xf numFmtId="0" fontId="5" fillId="3" borderId="1" xfId="0" applyFont="1" applyFill="1" applyBorder="1"/>
    <xf numFmtId="164" fontId="2" fillId="0" borderId="0" xfId="1" applyFont="1"/>
    <xf numFmtId="164" fontId="2" fillId="0" borderId="0" xfId="0" applyNumberFormat="1" applyFont="1"/>
    <xf numFmtId="0" fontId="5" fillId="2" borderId="1" xfId="0" applyFont="1" applyFill="1" applyBorder="1"/>
    <xf numFmtId="0" fontId="5" fillId="0" borderId="1" xfId="0" applyFont="1" applyBorder="1"/>
    <xf numFmtId="164" fontId="5" fillId="3" borderId="1" xfId="1" applyFont="1" applyFill="1" applyBorder="1"/>
    <xf numFmtId="164" fontId="5" fillId="0" borderId="1" xfId="1" applyFont="1" applyBorder="1"/>
    <xf numFmtId="0" fontId="6" fillId="0" borderId="0" xfId="0" applyFont="1"/>
    <xf numFmtId="164" fontId="5" fillId="0" borderId="1" xfId="0" applyNumberFormat="1" applyFont="1" applyBorder="1"/>
    <xf numFmtId="0" fontId="5" fillId="0" borderId="0" xfId="0" applyFont="1"/>
    <xf numFmtId="0" fontId="7" fillId="0" borderId="0" xfId="0" applyFont="1"/>
    <xf numFmtId="0" fontId="5" fillId="2" borderId="0" xfId="0" applyFont="1" applyFill="1"/>
    <xf numFmtId="0" fontId="5" fillId="3" borderId="0" xfId="0" applyFont="1" applyFill="1"/>
    <xf numFmtId="0" fontId="8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14" fontId="5" fillId="0" borderId="0" xfId="0" applyNumberFormat="1" applyFont="1"/>
    <xf numFmtId="0" fontId="5" fillId="0" borderId="0" xfId="0" quotePrefix="1" applyFont="1"/>
    <xf numFmtId="166" fontId="5" fillId="0" borderId="1" xfId="0" applyNumberFormat="1" applyFont="1" applyBorder="1"/>
    <xf numFmtId="166" fontId="5" fillId="3" borderId="1" xfId="0" quotePrefix="1" applyNumberFormat="1" applyFont="1" applyFill="1" applyBorder="1"/>
    <xf numFmtId="14" fontId="9" fillId="0" borderId="1" xfId="0" applyNumberFormat="1" applyFont="1" applyBorder="1"/>
    <xf numFmtId="14" fontId="5" fillId="0" borderId="1" xfId="0" applyNumberFormat="1" applyFont="1" applyBorder="1"/>
    <xf numFmtId="165" fontId="5" fillId="3" borderId="1" xfId="1" applyNumberFormat="1" applyFont="1" applyFill="1" applyBorder="1"/>
    <xf numFmtId="164" fontId="5" fillId="0" borderId="0" xfId="0" applyNumberFormat="1" applyFont="1"/>
    <xf numFmtId="0" fontId="7" fillId="0" borderId="1" xfId="0" applyFont="1" applyBorder="1"/>
    <xf numFmtId="0" fontId="5" fillId="4" borderId="0" xfId="0" applyFont="1" applyFill="1"/>
    <xf numFmtId="0" fontId="8" fillId="0" borderId="1" xfId="0" applyFont="1" applyBorder="1"/>
    <xf numFmtId="164" fontId="8" fillId="0" borderId="1" xfId="0" applyNumberFormat="1" applyFont="1" applyBorder="1"/>
    <xf numFmtId="0" fontId="8" fillId="0" borderId="0" xfId="0" applyFont="1"/>
    <xf numFmtId="0" fontId="8" fillId="4" borderId="0" xfId="0" applyFont="1" applyFill="1"/>
    <xf numFmtId="164" fontId="5" fillId="0" borderId="0" xfId="1" applyFont="1"/>
    <xf numFmtId="164" fontId="7" fillId="0" borderId="0" xfId="0" applyNumberFormat="1" applyFont="1"/>
    <xf numFmtId="14" fontId="5" fillId="2" borderId="1" xfId="0" applyNumberFormat="1" applyFont="1" applyFill="1" applyBorder="1"/>
    <xf numFmtId="0" fontId="10" fillId="0" borderId="0" xfId="0" applyFont="1" applyAlignment="1">
      <alignment vertical="top"/>
    </xf>
    <xf numFmtId="164" fontId="11" fillId="0" borderId="0" xfId="0" applyNumberFormat="1" applyFont="1"/>
    <xf numFmtId="0" fontId="11" fillId="0" borderId="0" xfId="0" applyFont="1"/>
    <xf numFmtId="49" fontId="5" fillId="3" borderId="1" xfId="0" applyNumberFormat="1" applyFont="1" applyFill="1" applyBorder="1"/>
    <xf numFmtId="164" fontId="8" fillId="0" borderId="0" xfId="0" applyNumberFormat="1" applyFont="1"/>
    <xf numFmtId="0" fontId="12" fillId="0" borderId="0" xfId="0" applyFont="1"/>
    <xf numFmtId="0" fontId="8" fillId="0" borderId="0" xfId="0" applyFont="1" applyAlignment="1">
      <alignment horizontal="center"/>
    </xf>
    <xf numFmtId="164" fontId="8" fillId="0" borderId="1" xfId="1" applyFont="1" applyBorder="1"/>
    <xf numFmtId="164" fontId="5" fillId="0" borderId="0" xfId="1" applyFont="1" applyFill="1"/>
    <xf numFmtId="17" fontId="5" fillId="0" borderId="0" xfId="0" applyNumberFormat="1" applyFont="1"/>
    <xf numFmtId="0" fontId="13" fillId="0" borderId="0" xfId="0" applyFont="1" applyAlignment="1">
      <alignment vertical="top"/>
    </xf>
    <xf numFmtId="0" fontId="4" fillId="0" borderId="0" xfId="0" applyFont="1"/>
    <xf numFmtId="164" fontId="4" fillId="0" borderId="0" xfId="1" applyFont="1"/>
    <xf numFmtId="14" fontId="14" fillId="0" borderId="0" xfId="0" applyNumberFormat="1" applyFont="1"/>
    <xf numFmtId="0" fontId="14" fillId="0" borderId="0" xfId="0" applyFont="1"/>
    <xf numFmtId="166" fontId="14" fillId="0" borderId="1" xfId="0" applyNumberFormat="1" applyFont="1" applyBorder="1"/>
    <xf numFmtId="166" fontId="14" fillId="3" borderId="1" xfId="0" quotePrefix="1" applyNumberFormat="1" applyFont="1" applyFill="1" applyBorder="1"/>
    <xf numFmtId="49" fontId="14" fillId="3" borderId="1" xfId="0" applyNumberFormat="1" applyFont="1" applyFill="1" applyBorder="1"/>
    <xf numFmtId="14" fontId="15" fillId="0" borderId="1" xfId="0" applyNumberFormat="1" applyFont="1" applyBorder="1"/>
    <xf numFmtId="14" fontId="14" fillId="0" borderId="1" xfId="0" applyNumberFormat="1" applyFont="1" applyBorder="1"/>
    <xf numFmtId="14" fontId="14" fillId="2" borderId="1" xfId="0" applyNumberFormat="1" applyFont="1" applyFill="1" applyBorder="1"/>
    <xf numFmtId="0" fontId="14" fillId="3" borderId="1" xfId="0" applyFont="1" applyFill="1" applyBorder="1"/>
    <xf numFmtId="164" fontId="14" fillId="0" borderId="1" xfId="1" applyFont="1" applyBorder="1"/>
    <xf numFmtId="164" fontId="14" fillId="0" borderId="1" xfId="0" applyNumberFormat="1" applyFont="1" applyBorder="1"/>
    <xf numFmtId="165" fontId="14" fillId="3" borderId="1" xfId="1" applyNumberFormat="1" applyFont="1" applyFill="1" applyBorder="1"/>
    <xf numFmtId="164" fontId="14" fillId="0" borderId="0" xfId="0" applyNumberFormat="1" applyFont="1"/>
    <xf numFmtId="0" fontId="14" fillId="2" borderId="1" xfId="0" applyFont="1" applyFill="1" applyBorder="1"/>
    <xf numFmtId="0" fontId="14" fillId="0" borderId="1" xfId="0" applyFont="1" applyBorder="1"/>
    <xf numFmtId="164" fontId="14" fillId="3" borderId="1" xfId="1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Koma [0]" xfId="1" builtinId="6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RUSAHAAN\3%20Executive%20Club\5%20EC%20Jogja%20-%20CV%20Varuna%20Jaya%20Selamat\Tahun%202016\Uji%20Petik%20Maret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poran"/>
      <sheetName val="Sheet2"/>
      <sheetName val="MakanMinum"/>
      <sheetName val="Sheet1"/>
      <sheetName val="Sheet3"/>
    </sheetNames>
    <sheetDataSet>
      <sheetData sheetId="0"/>
      <sheetData sheetId="1"/>
      <sheetData sheetId="2"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C4">
            <v>1</v>
          </cell>
          <cell r="D4" t="str">
            <v>SOSIS BEEF</v>
          </cell>
          <cell r="E4">
            <v>3030</v>
          </cell>
          <cell r="F4">
            <v>30000</v>
          </cell>
        </row>
        <row r="5">
          <cell r="C5">
            <v>2</v>
          </cell>
          <cell r="D5" t="str">
            <v>USUS GORENG</v>
          </cell>
          <cell r="E5">
            <v>2440</v>
          </cell>
          <cell r="F5">
            <v>18000</v>
          </cell>
        </row>
        <row r="6">
          <cell r="C6">
            <v>3</v>
          </cell>
          <cell r="D6" t="str">
            <v>TEMPE &amp; TAHU GORENG COCOL</v>
          </cell>
          <cell r="E6">
            <v>4523</v>
          </cell>
          <cell r="F6">
            <v>25000</v>
          </cell>
        </row>
        <row r="7">
          <cell r="C7">
            <v>4</v>
          </cell>
          <cell r="D7" t="str">
            <v>LUMPIA AYAM</v>
          </cell>
          <cell r="E7">
            <v>9233</v>
          </cell>
          <cell r="F7">
            <v>30000</v>
          </cell>
        </row>
        <row r="8">
          <cell r="C8">
            <v>5</v>
          </cell>
          <cell r="D8" t="str">
            <v>KULIT GORENG</v>
          </cell>
          <cell r="E8">
            <v>5863</v>
          </cell>
          <cell r="F8">
            <v>20000</v>
          </cell>
        </row>
        <row r="9">
          <cell r="C9">
            <v>6</v>
          </cell>
          <cell r="D9" t="str">
            <v>ONION RING</v>
          </cell>
          <cell r="E9">
            <v>8579</v>
          </cell>
          <cell r="F9">
            <v>25000</v>
          </cell>
        </row>
        <row r="10">
          <cell r="C10">
            <v>7</v>
          </cell>
          <cell r="D10" t="str">
            <v>PANACAKE TUTI FRUITY</v>
          </cell>
          <cell r="E10">
            <v>12692</v>
          </cell>
          <cell r="F10">
            <v>35000</v>
          </cell>
        </row>
        <row r="11">
          <cell r="C11">
            <v>8</v>
          </cell>
          <cell r="D11" t="str">
            <v>MOZZARELLA FRITA</v>
          </cell>
          <cell r="E11">
            <v>12960</v>
          </cell>
          <cell r="F11">
            <v>35000</v>
          </cell>
        </row>
        <row r="12">
          <cell r="C12">
            <v>9</v>
          </cell>
          <cell r="D12" t="str">
            <v>TAHU GORENG COCOL</v>
          </cell>
          <cell r="E12">
            <v>12859</v>
          </cell>
          <cell r="F12">
            <v>25000</v>
          </cell>
        </row>
        <row r="13">
          <cell r="C13">
            <v>10</v>
          </cell>
          <cell r="D13" t="str">
            <v>DEEP FRIED CALAMARI</v>
          </cell>
          <cell r="E13">
            <v>25464</v>
          </cell>
          <cell r="F13">
            <v>35000</v>
          </cell>
        </row>
        <row r="14">
          <cell r="C14">
            <v>11</v>
          </cell>
          <cell r="D14" t="str">
            <v>MELON JUICE</v>
          </cell>
          <cell r="E14">
            <v>1908</v>
          </cell>
          <cell r="F14">
            <v>20000</v>
          </cell>
        </row>
        <row r="15">
          <cell r="C15">
            <v>12</v>
          </cell>
          <cell r="D15" t="str">
            <v>STRAWBERRY JUICE</v>
          </cell>
          <cell r="E15">
            <v>2800</v>
          </cell>
          <cell r="F15">
            <v>25000</v>
          </cell>
        </row>
        <row r="16">
          <cell r="C16">
            <v>13</v>
          </cell>
          <cell r="D16" t="str">
            <v>WATERMELON JUICE</v>
          </cell>
          <cell r="E16">
            <v>2600</v>
          </cell>
          <cell r="F16">
            <v>20000</v>
          </cell>
        </row>
        <row r="17">
          <cell r="C17">
            <v>14</v>
          </cell>
          <cell r="D17" t="str">
            <v>HONEY DEW JUICE</v>
          </cell>
          <cell r="E17">
            <v>3650</v>
          </cell>
          <cell r="F17">
            <v>20000</v>
          </cell>
        </row>
        <row r="18">
          <cell r="C18">
            <v>15</v>
          </cell>
          <cell r="D18" t="str">
            <v>TEMPE GORENG</v>
          </cell>
          <cell r="E18">
            <v>2693</v>
          </cell>
          <cell r="F18">
            <v>5000</v>
          </cell>
        </row>
        <row r="19">
          <cell r="C19">
            <v>16</v>
          </cell>
          <cell r="D19" t="str">
            <v>FRUIT PLATTER ( SMALL )</v>
          </cell>
          <cell r="E19">
            <v>17255</v>
          </cell>
          <cell r="F19">
            <v>75000</v>
          </cell>
        </row>
        <row r="20">
          <cell r="C20">
            <v>17</v>
          </cell>
          <cell r="D20" t="str">
            <v>FRUIT PLATER (LARGE)</v>
          </cell>
          <cell r="E20">
            <v>30625</v>
          </cell>
          <cell r="F20">
            <v>100000</v>
          </cell>
        </row>
        <row r="21">
          <cell r="C21">
            <v>18</v>
          </cell>
          <cell r="D21" t="str">
            <v>FRENCH FRIES</v>
          </cell>
          <cell r="E21">
            <v>7849</v>
          </cell>
          <cell r="F21">
            <v>25000</v>
          </cell>
        </row>
        <row r="22">
          <cell r="C22">
            <v>19</v>
          </cell>
          <cell r="D22" t="str">
            <v>CHICKEN WINGS</v>
          </cell>
          <cell r="E22">
            <v>11093</v>
          </cell>
          <cell r="F22">
            <v>25000</v>
          </cell>
        </row>
        <row r="23">
          <cell r="C23">
            <v>20</v>
          </cell>
          <cell r="D23" t="str">
            <v>MIX SNACK</v>
          </cell>
          <cell r="E23">
            <v>16451</v>
          </cell>
          <cell r="F23">
            <v>35000</v>
          </cell>
        </row>
        <row r="24">
          <cell r="C24">
            <v>21</v>
          </cell>
          <cell r="D24" t="str">
            <v>CHICKEN NUGGET</v>
          </cell>
          <cell r="E24">
            <v>15025</v>
          </cell>
          <cell r="F24">
            <v>35000</v>
          </cell>
        </row>
        <row r="25">
          <cell r="C25">
            <v>22</v>
          </cell>
          <cell r="D25" t="str">
            <v>SOSIS AYAM GORENG</v>
          </cell>
          <cell r="E25">
            <v>13603</v>
          </cell>
          <cell r="F25">
            <v>25000</v>
          </cell>
        </row>
        <row r="26">
          <cell r="C26">
            <v>23</v>
          </cell>
          <cell r="D26" t="str">
            <v>NASI GORENG BEEF</v>
          </cell>
          <cell r="E26">
            <v>4279</v>
          </cell>
          <cell r="F26">
            <v>25000</v>
          </cell>
        </row>
        <row r="27">
          <cell r="C27">
            <v>24</v>
          </cell>
          <cell r="D27" t="str">
            <v>RICA-RICA CEKER</v>
          </cell>
          <cell r="E27">
            <v>5288</v>
          </cell>
          <cell r="F27">
            <v>30000</v>
          </cell>
        </row>
        <row r="28">
          <cell r="C28">
            <v>25</v>
          </cell>
          <cell r="D28" t="str">
            <v>TERIYAKI CHICKEN STEAK</v>
          </cell>
          <cell r="E28">
            <v>8524</v>
          </cell>
          <cell r="F28">
            <v>35000</v>
          </cell>
        </row>
        <row r="29">
          <cell r="C29">
            <v>26</v>
          </cell>
          <cell r="D29" t="str">
            <v>PENNE PHAD KAI</v>
          </cell>
          <cell r="E29">
            <v>7044</v>
          </cell>
          <cell r="F29">
            <v>30000</v>
          </cell>
        </row>
        <row r="30">
          <cell r="C30">
            <v>27</v>
          </cell>
          <cell r="D30" t="str">
            <v>TEMPE MENDOAN</v>
          </cell>
          <cell r="E30">
            <v>6516</v>
          </cell>
          <cell r="F30">
            <v>15000</v>
          </cell>
        </row>
        <row r="31">
          <cell r="C31">
            <v>28</v>
          </cell>
          <cell r="D31" t="str">
            <v>TAHU TELOR</v>
          </cell>
          <cell r="E31">
            <v>5247</v>
          </cell>
          <cell r="F31">
            <v>15000</v>
          </cell>
        </row>
        <row r="32">
          <cell r="C32">
            <v>29</v>
          </cell>
          <cell r="D32" t="str">
            <v>BAKSO</v>
          </cell>
          <cell r="E32">
            <v>4382</v>
          </cell>
          <cell r="F32">
            <v>15000</v>
          </cell>
        </row>
        <row r="33">
          <cell r="C33">
            <v>30</v>
          </cell>
          <cell r="D33" t="str">
            <v>NASI PUTIH KARYAWAN</v>
          </cell>
          <cell r="E33">
            <v>1040</v>
          </cell>
          <cell r="F33">
            <v>3500</v>
          </cell>
        </row>
        <row r="34">
          <cell r="C34">
            <v>31</v>
          </cell>
          <cell r="D34" t="str">
            <v>RICA BALUNGAN</v>
          </cell>
          <cell r="E34">
            <v>10755</v>
          </cell>
          <cell r="F34">
            <v>30000</v>
          </cell>
        </row>
        <row r="35">
          <cell r="C35">
            <v>32</v>
          </cell>
          <cell r="D35" t="str">
            <v>OSENG-OSENG KANGKUNG</v>
          </cell>
          <cell r="E35">
            <v>3789</v>
          </cell>
          <cell r="F35">
            <v>12000</v>
          </cell>
        </row>
        <row r="36">
          <cell r="C36">
            <v>33</v>
          </cell>
          <cell r="D36" t="str">
            <v>TUMIS KANGKUNG UDANG SAUCE TIRAM</v>
          </cell>
          <cell r="E36">
            <v>9596</v>
          </cell>
          <cell r="F36">
            <v>25000</v>
          </cell>
        </row>
        <row r="37">
          <cell r="C37">
            <v>34</v>
          </cell>
          <cell r="D37" t="str">
            <v>TOM YUM FRIED RICE</v>
          </cell>
          <cell r="E37">
            <v>12121</v>
          </cell>
          <cell r="F37">
            <v>30000</v>
          </cell>
        </row>
        <row r="38">
          <cell r="C38">
            <v>35</v>
          </cell>
          <cell r="D38" t="str">
            <v>AYAM LADA HITAM</v>
          </cell>
          <cell r="E38">
            <v>8776</v>
          </cell>
          <cell r="F38">
            <v>25000</v>
          </cell>
        </row>
        <row r="39">
          <cell r="C39">
            <v>36</v>
          </cell>
          <cell r="D39" t="str">
            <v>NASI MAGELANGAN</v>
          </cell>
          <cell r="E39">
            <v>12142</v>
          </cell>
          <cell r="F39">
            <v>30000</v>
          </cell>
        </row>
        <row r="40">
          <cell r="C40">
            <v>37</v>
          </cell>
          <cell r="D40" t="str">
            <v>MIE AYAM</v>
          </cell>
          <cell r="E40">
            <v>9851</v>
          </cell>
          <cell r="F40">
            <v>25000</v>
          </cell>
        </row>
        <row r="41">
          <cell r="C41">
            <v>38</v>
          </cell>
          <cell r="D41" t="str">
            <v>NASI CAMPUR</v>
          </cell>
          <cell r="E41">
            <v>10577</v>
          </cell>
          <cell r="F41">
            <v>25000</v>
          </cell>
        </row>
        <row r="42">
          <cell r="C42">
            <v>39</v>
          </cell>
          <cell r="D42" t="str">
            <v>SOTO AYAM</v>
          </cell>
          <cell r="E42">
            <v>12500</v>
          </cell>
          <cell r="F42">
            <v>29000</v>
          </cell>
        </row>
        <row r="43">
          <cell r="C43">
            <v>40</v>
          </cell>
          <cell r="D43" t="str">
            <v>MALIOBORO FRIED RICE</v>
          </cell>
          <cell r="E43">
            <v>11845</v>
          </cell>
          <cell r="F43">
            <v>45455</v>
          </cell>
        </row>
        <row r="44">
          <cell r="C44">
            <v>41</v>
          </cell>
          <cell r="D44" t="str">
            <v>NASI GORENG SEAFOOD</v>
          </cell>
          <cell r="E44">
            <v>12857</v>
          </cell>
          <cell r="F44">
            <v>47107</v>
          </cell>
        </row>
        <row r="45">
          <cell r="C45">
            <v>42</v>
          </cell>
          <cell r="D45" t="str">
            <v>KULIT AYAM CABE GARAM</v>
          </cell>
          <cell r="E45">
            <v>8293</v>
          </cell>
          <cell r="F45">
            <v>28926</v>
          </cell>
        </row>
        <row r="46">
          <cell r="C46">
            <v>43</v>
          </cell>
          <cell r="D46" t="str">
            <v>MIE GORENG MALIOBORO</v>
          </cell>
          <cell r="E46">
            <v>11174</v>
          </cell>
          <cell r="F46">
            <v>37190</v>
          </cell>
        </row>
        <row r="47">
          <cell r="C47">
            <v>44</v>
          </cell>
          <cell r="D47" t="str">
            <v>TAHU CABE GARAM</v>
          </cell>
          <cell r="E47">
            <v>7493</v>
          </cell>
          <cell r="F47">
            <v>24793</v>
          </cell>
        </row>
        <row r="48">
          <cell r="C48">
            <v>45</v>
          </cell>
          <cell r="D48" t="str">
            <v>OSENG-OSENG TEMPE</v>
          </cell>
          <cell r="E48">
            <v>6873</v>
          </cell>
          <cell r="F48">
            <v>21488</v>
          </cell>
        </row>
        <row r="49">
          <cell r="C49">
            <v>46</v>
          </cell>
          <cell r="D49" t="str">
            <v>TELUR DADAR / CEPLOK + NASI</v>
          </cell>
          <cell r="E49">
            <v>4275</v>
          </cell>
          <cell r="F49">
            <v>13223</v>
          </cell>
        </row>
        <row r="50">
          <cell r="C50">
            <v>47</v>
          </cell>
          <cell r="D50" t="str">
            <v>AYAM CABE GARAM</v>
          </cell>
          <cell r="E50">
            <v>14738</v>
          </cell>
          <cell r="F50">
            <v>45455</v>
          </cell>
        </row>
        <row r="51">
          <cell r="C51">
            <v>48</v>
          </cell>
          <cell r="D51" t="str">
            <v>BAKMI GORENG</v>
          </cell>
          <cell r="E51">
            <v>8124</v>
          </cell>
          <cell r="F51">
            <v>24793</v>
          </cell>
        </row>
        <row r="52">
          <cell r="C52">
            <v>49</v>
          </cell>
          <cell r="D52" t="str">
            <v>NASI GORENG</v>
          </cell>
          <cell r="E52">
            <v>9993</v>
          </cell>
          <cell r="F52">
            <v>30000</v>
          </cell>
        </row>
        <row r="53">
          <cell r="C53">
            <v>50</v>
          </cell>
          <cell r="D53" t="str">
            <v>NASI PUTIH</v>
          </cell>
          <cell r="E53">
            <v>1972</v>
          </cell>
          <cell r="F53">
            <v>5785</v>
          </cell>
        </row>
        <row r="54">
          <cell r="C54">
            <v>51</v>
          </cell>
          <cell r="D54" t="str">
            <v>LUMPIA SAYUR</v>
          </cell>
          <cell r="E54">
            <v>10530</v>
          </cell>
          <cell r="F54">
            <v>29752</v>
          </cell>
        </row>
        <row r="55">
          <cell r="C55">
            <v>52</v>
          </cell>
          <cell r="D55" t="str">
            <v>SOUP CHICKEN WING</v>
          </cell>
          <cell r="E55">
            <v>11316</v>
          </cell>
          <cell r="F55">
            <v>29752</v>
          </cell>
        </row>
        <row r="56">
          <cell r="C56">
            <v>53</v>
          </cell>
          <cell r="D56" t="str">
            <v>TOM YUM KUNG</v>
          </cell>
          <cell r="E56">
            <v>15420</v>
          </cell>
          <cell r="F56">
            <v>39669</v>
          </cell>
        </row>
        <row r="57">
          <cell r="C57">
            <v>54</v>
          </cell>
          <cell r="D57" t="str">
            <v>CAP CAY</v>
          </cell>
          <cell r="E57">
            <v>8483</v>
          </cell>
          <cell r="F57">
            <v>21488</v>
          </cell>
        </row>
        <row r="58">
          <cell r="C58">
            <v>55</v>
          </cell>
          <cell r="D58" t="str">
            <v>PARU CABE GARAM</v>
          </cell>
          <cell r="E58">
            <v>24673</v>
          </cell>
          <cell r="F58">
            <v>61983</v>
          </cell>
        </row>
        <row r="59">
          <cell r="C59">
            <v>56</v>
          </cell>
          <cell r="D59" t="str">
            <v>TELUR DADAR</v>
          </cell>
          <cell r="E59">
            <v>2390</v>
          </cell>
          <cell r="F59">
            <v>5785</v>
          </cell>
        </row>
        <row r="60">
          <cell r="C60">
            <v>57</v>
          </cell>
          <cell r="D60" t="str">
            <v>AYAM GORENG TEPUNG</v>
          </cell>
          <cell r="E60">
            <v>17887</v>
          </cell>
          <cell r="F60">
            <v>37190</v>
          </cell>
        </row>
        <row r="61">
          <cell r="C61">
            <v>58</v>
          </cell>
          <cell r="D61" t="str">
            <v>RICA-RICA AYAM</v>
          </cell>
          <cell r="E61">
            <v>17423</v>
          </cell>
          <cell r="F61">
            <v>35537</v>
          </cell>
        </row>
        <row r="62">
          <cell r="C62">
            <v>59</v>
          </cell>
          <cell r="D62" t="str">
            <v>CHICKEN BASKET</v>
          </cell>
          <cell r="E62">
            <v>25039</v>
          </cell>
          <cell r="F62">
            <v>49587</v>
          </cell>
        </row>
        <row r="63">
          <cell r="C63">
            <v>60</v>
          </cell>
          <cell r="D63" t="str">
            <v>TEMPE  PENYET</v>
          </cell>
          <cell r="E63">
            <v>8182</v>
          </cell>
          <cell r="F63">
            <v>15702</v>
          </cell>
        </row>
        <row r="64">
          <cell r="C64">
            <v>61</v>
          </cell>
          <cell r="D64" t="str">
            <v>SOUP CEKER</v>
          </cell>
          <cell r="E64">
            <v>4645</v>
          </cell>
          <cell r="F64">
            <v>30000</v>
          </cell>
        </row>
        <row r="65">
          <cell r="C65">
            <v>62</v>
          </cell>
          <cell r="D65" t="str">
            <v>SWEET CORN SOUP</v>
          </cell>
          <cell r="E65">
            <v>9162</v>
          </cell>
          <cell r="F65">
            <v>30000</v>
          </cell>
        </row>
        <row r="66">
          <cell r="C66">
            <v>63</v>
          </cell>
          <cell r="D66" t="str">
            <v>CHICKEN SOUP</v>
          </cell>
          <cell r="E66">
            <v>9588</v>
          </cell>
          <cell r="F66">
            <v>27000</v>
          </cell>
        </row>
        <row r="67">
          <cell r="C67">
            <v>0</v>
          </cell>
        </row>
        <row r="68">
          <cell r="C68">
            <v>64</v>
          </cell>
          <cell r="D68" t="str">
            <v>EMPING MANIS</v>
          </cell>
          <cell r="E68">
            <v>5000</v>
          </cell>
          <cell r="F68">
            <v>30000</v>
          </cell>
        </row>
        <row r="69">
          <cell r="C69">
            <v>65</v>
          </cell>
          <cell r="D69" t="str">
            <v>FROZZ</v>
          </cell>
          <cell r="E69">
            <v>5401</v>
          </cell>
          <cell r="F69">
            <v>30000</v>
          </cell>
        </row>
        <row r="70">
          <cell r="C70">
            <v>66</v>
          </cell>
          <cell r="D70" t="str">
            <v>MAYASI SPICY</v>
          </cell>
          <cell r="E70">
            <v>5013</v>
          </cell>
          <cell r="F70">
            <v>23141</v>
          </cell>
        </row>
        <row r="71">
          <cell r="C71">
            <v>67</v>
          </cell>
          <cell r="D71" t="str">
            <v>M&amp;M'S CHOCO 40GR</v>
          </cell>
          <cell r="E71">
            <v>4354</v>
          </cell>
          <cell r="F71">
            <v>20000</v>
          </cell>
        </row>
        <row r="72">
          <cell r="C72">
            <v>68</v>
          </cell>
          <cell r="D72" t="str">
            <v>CHITATO 40 GR</v>
          </cell>
          <cell r="E72">
            <v>4390</v>
          </cell>
          <cell r="F72">
            <v>20000</v>
          </cell>
        </row>
        <row r="73">
          <cell r="C73">
            <v>69</v>
          </cell>
          <cell r="D73" t="str">
            <v>LAYS 40 GR</v>
          </cell>
          <cell r="E73">
            <v>4483</v>
          </cell>
          <cell r="F73">
            <v>20000</v>
          </cell>
        </row>
        <row r="74">
          <cell r="C74">
            <v>70</v>
          </cell>
          <cell r="D74" t="str">
            <v>KACANG BAWANG</v>
          </cell>
          <cell r="E74">
            <v>7000</v>
          </cell>
          <cell r="F74">
            <v>30000</v>
          </cell>
        </row>
        <row r="75">
          <cell r="C75">
            <v>71</v>
          </cell>
          <cell r="D75" t="str">
            <v>KACANG GARUDA</v>
          </cell>
          <cell r="E75">
            <v>5930</v>
          </cell>
          <cell r="F75">
            <v>24793</v>
          </cell>
        </row>
        <row r="76">
          <cell r="C76">
            <v>72</v>
          </cell>
          <cell r="D76" t="str">
            <v>MR.P KACANG</v>
          </cell>
          <cell r="E76">
            <v>6615</v>
          </cell>
          <cell r="F76">
            <v>25000</v>
          </cell>
        </row>
        <row r="77">
          <cell r="C77">
            <v>73</v>
          </cell>
          <cell r="D77" t="str">
            <v>CHITATO</v>
          </cell>
          <cell r="E77">
            <v>7617</v>
          </cell>
          <cell r="F77">
            <v>25000</v>
          </cell>
        </row>
        <row r="78">
          <cell r="C78">
            <v>74</v>
          </cell>
          <cell r="D78" t="str">
            <v>MINI PRINGLES</v>
          </cell>
          <cell r="E78">
            <v>6692</v>
          </cell>
          <cell r="F78">
            <v>20661</v>
          </cell>
        </row>
        <row r="79">
          <cell r="C79">
            <v>75</v>
          </cell>
          <cell r="D79" t="str">
            <v>MR. POTATO</v>
          </cell>
          <cell r="E79">
            <v>14800</v>
          </cell>
          <cell r="F79">
            <v>41322</v>
          </cell>
        </row>
        <row r="80">
          <cell r="C80">
            <v>76</v>
          </cell>
          <cell r="D80" t="str">
            <v>SILVERQUEEN</v>
          </cell>
          <cell r="E80">
            <v>14850</v>
          </cell>
          <cell r="F80">
            <v>41322</v>
          </cell>
        </row>
        <row r="81">
          <cell r="C81">
            <v>77</v>
          </cell>
          <cell r="D81" t="str">
            <v>PRINGLES ORIGINAL 110Gr</v>
          </cell>
          <cell r="E81">
            <v>16500</v>
          </cell>
          <cell r="F81">
            <v>45000</v>
          </cell>
        </row>
        <row r="82">
          <cell r="C82">
            <v>78</v>
          </cell>
          <cell r="D82" t="str">
            <v>ALMOND CHOCO 50GR</v>
          </cell>
          <cell r="E82">
            <v>8035</v>
          </cell>
          <cell r="F82">
            <v>20661</v>
          </cell>
        </row>
        <row r="83">
          <cell r="C83">
            <v>79</v>
          </cell>
          <cell r="D83" t="str">
            <v>WRIGLEY MD PAPPERMINT</v>
          </cell>
          <cell r="E83">
            <v>14167</v>
          </cell>
          <cell r="F83">
            <v>35000</v>
          </cell>
        </row>
        <row r="84">
          <cell r="C84">
            <v>80</v>
          </cell>
          <cell r="D84" t="str">
            <v>IMPACT CANDIES</v>
          </cell>
          <cell r="E84">
            <v>17000</v>
          </cell>
          <cell r="F84">
            <v>40000</v>
          </cell>
        </row>
        <row r="85">
          <cell r="C85">
            <v>81</v>
          </cell>
          <cell r="D85" t="str">
            <v>KACANG METE</v>
          </cell>
          <cell r="E85">
            <v>18000</v>
          </cell>
          <cell r="F85">
            <v>38000</v>
          </cell>
        </row>
        <row r="86">
          <cell r="C86">
            <v>82</v>
          </cell>
          <cell r="D86" t="str">
            <v>DRY ROASTED PEANUTS</v>
          </cell>
          <cell r="E86">
            <v>22000</v>
          </cell>
          <cell r="F86">
            <v>45500</v>
          </cell>
        </row>
        <row r="87">
          <cell r="C87">
            <v>83</v>
          </cell>
          <cell r="D87" t="str">
            <v>CHOCO ALMOND 100gr</v>
          </cell>
          <cell r="E87">
            <v>18480</v>
          </cell>
          <cell r="F87">
            <v>33058</v>
          </cell>
        </row>
        <row r="88">
          <cell r="C88">
            <v>0</v>
          </cell>
        </row>
        <row r="94">
          <cell r="C94">
            <v>84</v>
          </cell>
          <cell r="D94" t="str">
            <v>HOT TEA</v>
          </cell>
          <cell r="E94">
            <v>260</v>
          </cell>
          <cell r="F94">
            <v>24793</v>
          </cell>
        </row>
        <row r="95">
          <cell r="C95">
            <v>85</v>
          </cell>
          <cell r="D95" t="str">
            <v>ICED TEA</v>
          </cell>
          <cell r="E95">
            <v>1050</v>
          </cell>
          <cell r="F95">
            <v>24793</v>
          </cell>
        </row>
        <row r="96">
          <cell r="C96">
            <v>86</v>
          </cell>
          <cell r="D96" t="str">
            <v>BLACK COFFEE</v>
          </cell>
          <cell r="E96">
            <v>1084</v>
          </cell>
          <cell r="F96">
            <v>24793</v>
          </cell>
        </row>
        <row r="97">
          <cell r="C97">
            <v>87</v>
          </cell>
          <cell r="D97" t="str">
            <v>LEMON TEA</v>
          </cell>
          <cell r="E97">
            <v>3200</v>
          </cell>
          <cell r="F97">
            <v>24793</v>
          </cell>
        </row>
        <row r="98">
          <cell r="C98">
            <v>88</v>
          </cell>
          <cell r="D98" t="str">
            <v>HOT CAPUCCINO</v>
          </cell>
          <cell r="E98">
            <v>3640</v>
          </cell>
          <cell r="F98">
            <v>24793</v>
          </cell>
        </row>
        <row r="99">
          <cell r="C99">
            <v>89</v>
          </cell>
          <cell r="D99" t="str">
            <v>ICE LEMON TEA</v>
          </cell>
          <cell r="E99">
            <v>3960</v>
          </cell>
          <cell r="F99">
            <v>24793</v>
          </cell>
        </row>
        <row r="100">
          <cell r="C100">
            <v>90</v>
          </cell>
          <cell r="D100" t="str">
            <v>HOT LIME</v>
          </cell>
          <cell r="E100">
            <v>5650</v>
          </cell>
          <cell r="F100">
            <v>24793</v>
          </cell>
        </row>
        <row r="101">
          <cell r="C101">
            <v>91</v>
          </cell>
          <cell r="D101" t="str">
            <v>ICE LIME</v>
          </cell>
          <cell r="E101">
            <v>6320</v>
          </cell>
          <cell r="F101">
            <v>24793</v>
          </cell>
        </row>
        <row r="102">
          <cell r="C102">
            <v>92</v>
          </cell>
          <cell r="D102" t="str">
            <v>DAIRY NUT</v>
          </cell>
          <cell r="E102">
            <v>11606</v>
          </cell>
          <cell r="F102">
            <v>55000</v>
          </cell>
        </row>
        <row r="103">
          <cell r="C103">
            <v>93</v>
          </cell>
          <cell r="D103" t="str">
            <v>KIOKI COFFEE</v>
          </cell>
          <cell r="E103">
            <v>12267</v>
          </cell>
          <cell r="F103">
            <v>55000</v>
          </cell>
        </row>
        <row r="104">
          <cell r="C104">
            <v>94</v>
          </cell>
          <cell r="D104" t="str">
            <v>JAMAICAN COFFEE</v>
          </cell>
          <cell r="E104">
            <v>13844</v>
          </cell>
          <cell r="F104">
            <v>55000</v>
          </cell>
        </row>
        <row r="105">
          <cell r="C105">
            <v>95</v>
          </cell>
          <cell r="D105" t="str">
            <v>CLUB COFFEE</v>
          </cell>
          <cell r="E105">
            <v>16713</v>
          </cell>
          <cell r="F105">
            <v>55000</v>
          </cell>
        </row>
        <row r="106">
          <cell r="C106">
            <v>96</v>
          </cell>
          <cell r="D106" t="str">
            <v>BLACK CREAM</v>
          </cell>
          <cell r="E106">
            <v>941</v>
          </cell>
          <cell r="F106">
            <v>22000</v>
          </cell>
        </row>
        <row r="107">
          <cell r="C107">
            <v>97</v>
          </cell>
          <cell r="D107" t="str">
            <v>MILO</v>
          </cell>
          <cell r="E107">
            <v>1700</v>
          </cell>
          <cell r="F107">
            <v>25000</v>
          </cell>
        </row>
        <row r="108">
          <cell r="C108">
            <v>98</v>
          </cell>
          <cell r="D108" t="str">
            <v>MOCHACCINO</v>
          </cell>
          <cell r="E108">
            <v>2353</v>
          </cell>
          <cell r="F108">
            <v>25000</v>
          </cell>
        </row>
        <row r="109">
          <cell r="C109">
            <v>99</v>
          </cell>
          <cell r="D109" t="str">
            <v>HOT  TEA POCY</v>
          </cell>
          <cell r="E109">
            <v>3284</v>
          </cell>
          <cell r="F109">
            <v>33058</v>
          </cell>
        </row>
        <row r="110">
          <cell r="C110">
            <v>100</v>
          </cell>
          <cell r="D110" t="str">
            <v>CAPPUCCINO</v>
          </cell>
          <cell r="E110">
            <v>3668</v>
          </cell>
          <cell r="F110">
            <v>24793</v>
          </cell>
        </row>
        <row r="111">
          <cell r="C111">
            <v>101</v>
          </cell>
          <cell r="D111" t="str">
            <v>HOT MILK</v>
          </cell>
          <cell r="E111">
            <v>4250</v>
          </cell>
          <cell r="F111">
            <v>20000</v>
          </cell>
        </row>
        <row r="112">
          <cell r="C112">
            <v>102</v>
          </cell>
          <cell r="D112" t="str">
            <v>HOT CHOCOLATE</v>
          </cell>
          <cell r="E112">
            <v>11825</v>
          </cell>
          <cell r="F112">
            <v>20000</v>
          </cell>
        </row>
        <row r="113">
          <cell r="C113">
            <v>103</v>
          </cell>
          <cell r="D113" t="str">
            <v>HOT LEMON</v>
          </cell>
          <cell r="E113">
            <v>7095</v>
          </cell>
          <cell r="F113">
            <v>12000</v>
          </cell>
        </row>
        <row r="114">
          <cell r="C114">
            <v>104</v>
          </cell>
          <cell r="D114" t="str">
            <v>STROWBERRY JUICE</v>
          </cell>
          <cell r="E114">
            <v>1910</v>
          </cell>
          <cell r="F114">
            <v>24793</v>
          </cell>
        </row>
        <row r="115">
          <cell r="C115">
            <v>105</v>
          </cell>
          <cell r="D115" t="str">
            <v>LIME JUICE</v>
          </cell>
          <cell r="E115">
            <v>2005</v>
          </cell>
          <cell r="F115">
            <v>24793</v>
          </cell>
        </row>
        <row r="116">
          <cell r="C116">
            <v>106</v>
          </cell>
          <cell r="D116" t="str">
            <v>ORANGE JUICE</v>
          </cell>
          <cell r="E116">
            <v>2760</v>
          </cell>
          <cell r="F116">
            <v>24793</v>
          </cell>
        </row>
        <row r="117">
          <cell r="C117">
            <v>107</v>
          </cell>
          <cell r="D117" t="str">
            <v>PINEAPPLE JUICE</v>
          </cell>
          <cell r="E117">
            <v>1920</v>
          </cell>
          <cell r="F117">
            <v>29000</v>
          </cell>
        </row>
        <row r="118">
          <cell r="C118">
            <v>108</v>
          </cell>
          <cell r="D118" t="str">
            <v>ORANGE JUICE</v>
          </cell>
          <cell r="E118">
            <v>2737</v>
          </cell>
          <cell r="F118">
            <v>29000</v>
          </cell>
        </row>
        <row r="119">
          <cell r="C119">
            <v>109</v>
          </cell>
          <cell r="D119" t="str">
            <v>GUAVA JUICE</v>
          </cell>
          <cell r="E119">
            <v>2760</v>
          </cell>
          <cell r="F119">
            <v>29000</v>
          </cell>
        </row>
        <row r="120">
          <cell r="C120">
            <v>110</v>
          </cell>
          <cell r="D120" t="str">
            <v>APPLE JUICE</v>
          </cell>
          <cell r="E120">
            <v>2948</v>
          </cell>
          <cell r="F120">
            <v>29000</v>
          </cell>
        </row>
        <row r="121">
          <cell r="C121">
            <v>111</v>
          </cell>
          <cell r="D121" t="str">
            <v>CARROT JUICE</v>
          </cell>
          <cell r="E121">
            <v>3125</v>
          </cell>
          <cell r="F121">
            <v>29000</v>
          </cell>
        </row>
        <row r="122">
          <cell r="C122">
            <v>112</v>
          </cell>
          <cell r="D122" t="str">
            <v>MANGO JUICE</v>
          </cell>
          <cell r="E122">
            <v>3717</v>
          </cell>
          <cell r="F122">
            <v>29000</v>
          </cell>
        </row>
        <row r="123">
          <cell r="C123">
            <v>113</v>
          </cell>
          <cell r="D123" t="str">
            <v>JUICE TOMAT</v>
          </cell>
          <cell r="E123">
            <v>2288</v>
          </cell>
          <cell r="F123">
            <v>11200</v>
          </cell>
        </row>
        <row r="124">
          <cell r="C124">
            <v>114</v>
          </cell>
          <cell r="D124" t="str">
            <v>JUICE MIX (TOMAT &amp; WORTEL)</v>
          </cell>
          <cell r="E124">
            <v>2800</v>
          </cell>
          <cell r="F124">
            <v>13300</v>
          </cell>
        </row>
        <row r="125">
          <cell r="C125">
            <v>115</v>
          </cell>
          <cell r="D125" t="str">
            <v>JUICE WORTEL</v>
          </cell>
          <cell r="E125">
            <v>3188</v>
          </cell>
          <cell r="F125">
            <v>11200</v>
          </cell>
        </row>
        <row r="126">
          <cell r="C126">
            <v>116</v>
          </cell>
          <cell r="D126" t="str">
            <v>JUICE MIX ( ORANGE &amp; PINAPPLE )</v>
          </cell>
          <cell r="E126">
            <v>4606</v>
          </cell>
          <cell r="F126">
            <v>15000</v>
          </cell>
        </row>
        <row r="127">
          <cell r="C127">
            <v>117</v>
          </cell>
          <cell r="D127" t="str">
            <v>LIME JUICE</v>
          </cell>
          <cell r="E127">
            <v>4980</v>
          </cell>
          <cell r="F127">
            <v>12000</v>
          </cell>
        </row>
        <row r="128">
          <cell r="C128">
            <v>118</v>
          </cell>
          <cell r="D128" t="str">
            <v>MIX MAX</v>
          </cell>
          <cell r="E128">
            <v>14067</v>
          </cell>
          <cell r="F128">
            <v>35000</v>
          </cell>
        </row>
        <row r="129">
          <cell r="C129">
            <v>119</v>
          </cell>
          <cell r="D129" t="str">
            <v>PURENCE</v>
          </cell>
          <cell r="E129">
            <v>11000</v>
          </cell>
          <cell r="F129">
            <v>33058</v>
          </cell>
        </row>
        <row r="130">
          <cell r="C130">
            <v>120</v>
          </cell>
          <cell r="D130" t="str">
            <v>HAPPY FRUITY</v>
          </cell>
          <cell r="E130">
            <v>3130</v>
          </cell>
          <cell r="F130">
            <v>42000</v>
          </cell>
        </row>
        <row r="131">
          <cell r="C131">
            <v>121</v>
          </cell>
          <cell r="D131" t="str">
            <v>FRUIT PUNCH</v>
          </cell>
          <cell r="E131">
            <v>3093</v>
          </cell>
          <cell r="F131">
            <v>41250</v>
          </cell>
        </row>
        <row r="132">
          <cell r="C132">
            <v>122</v>
          </cell>
          <cell r="D132" t="str">
            <v>STRAWBERRY DANCE</v>
          </cell>
          <cell r="E132">
            <v>5106</v>
          </cell>
          <cell r="F132">
            <v>50000</v>
          </cell>
        </row>
        <row r="133">
          <cell r="C133">
            <v>123</v>
          </cell>
          <cell r="D133" t="str">
            <v>SHIRLEY TEMPLE</v>
          </cell>
          <cell r="E133">
            <v>5973</v>
          </cell>
          <cell r="F133">
            <v>50000</v>
          </cell>
        </row>
        <row r="134">
          <cell r="C134">
            <v>124</v>
          </cell>
          <cell r="D134" t="str">
            <v>HAPPY SODA</v>
          </cell>
          <cell r="E134">
            <v>11100</v>
          </cell>
          <cell r="F134">
            <v>35000</v>
          </cell>
        </row>
        <row r="135">
          <cell r="C135">
            <v>125</v>
          </cell>
          <cell r="D135" t="str">
            <v>BLUE OCEAN</v>
          </cell>
          <cell r="E135">
            <v>11950</v>
          </cell>
          <cell r="F135">
            <v>35000</v>
          </cell>
        </row>
        <row r="136">
          <cell r="C136">
            <v>126</v>
          </cell>
          <cell r="D136" t="str">
            <v>FRUIT PUNCH</v>
          </cell>
          <cell r="E136">
            <v>12803</v>
          </cell>
          <cell r="F136">
            <v>35000</v>
          </cell>
        </row>
        <row r="137">
          <cell r="C137">
            <v>127</v>
          </cell>
          <cell r="D137" t="str">
            <v>Bananaria</v>
          </cell>
          <cell r="E137">
            <v>23515</v>
          </cell>
          <cell r="F137">
            <v>35000</v>
          </cell>
        </row>
        <row r="138">
          <cell r="C138">
            <v>128</v>
          </cell>
          <cell r="D138" t="str">
            <v>Guava Smoothies</v>
          </cell>
          <cell r="E138">
            <v>3390</v>
          </cell>
          <cell r="F138">
            <v>38000</v>
          </cell>
        </row>
        <row r="139">
          <cell r="C139">
            <v>129</v>
          </cell>
          <cell r="D139" t="str">
            <v>Mango Smoothies</v>
          </cell>
          <cell r="E139">
            <v>3449</v>
          </cell>
          <cell r="F139">
            <v>38000</v>
          </cell>
        </row>
        <row r="140">
          <cell r="C140">
            <v>130</v>
          </cell>
          <cell r="D140" t="str">
            <v>STRAWBERRY SMOOTHIES</v>
          </cell>
          <cell r="E140">
            <v>10355</v>
          </cell>
          <cell r="F140">
            <v>38000</v>
          </cell>
        </row>
        <row r="141">
          <cell r="C141">
            <v>131</v>
          </cell>
          <cell r="D141" t="str">
            <v>Banana Smoothies</v>
          </cell>
          <cell r="E141">
            <v>18355</v>
          </cell>
          <cell r="F141">
            <v>24000</v>
          </cell>
        </row>
        <row r="142">
          <cell r="C142">
            <v>132</v>
          </cell>
          <cell r="D142" t="str">
            <v>SPRITE PITCHER</v>
          </cell>
          <cell r="E142">
            <v>6667</v>
          </cell>
          <cell r="F142">
            <v>85124</v>
          </cell>
        </row>
        <row r="143">
          <cell r="C143">
            <v>133</v>
          </cell>
          <cell r="D143" t="str">
            <v>COLA PITCHER</v>
          </cell>
          <cell r="E143">
            <v>8333</v>
          </cell>
          <cell r="F143">
            <v>85124</v>
          </cell>
        </row>
        <row r="144">
          <cell r="C144">
            <v>134</v>
          </cell>
          <cell r="D144" t="str">
            <v>HYDRO 250 ML</v>
          </cell>
          <cell r="E144">
            <v>4170</v>
          </cell>
          <cell r="F144">
            <v>30000</v>
          </cell>
        </row>
        <row r="145">
          <cell r="C145">
            <v>135</v>
          </cell>
          <cell r="D145" t="str">
            <v>YEOS PITCHER</v>
          </cell>
          <cell r="E145">
            <v>15000</v>
          </cell>
          <cell r="F145">
            <v>85000</v>
          </cell>
        </row>
        <row r="146">
          <cell r="C146">
            <v>136</v>
          </cell>
          <cell r="D146" t="str">
            <v>SPRITE</v>
          </cell>
          <cell r="E146">
            <v>4458</v>
          </cell>
          <cell r="F146">
            <v>24793</v>
          </cell>
        </row>
        <row r="147">
          <cell r="C147">
            <v>137</v>
          </cell>
          <cell r="D147" t="str">
            <v>COKE</v>
          </cell>
          <cell r="E147">
            <v>4708</v>
          </cell>
          <cell r="F147">
            <v>24793</v>
          </cell>
        </row>
        <row r="148">
          <cell r="C148">
            <v>138</v>
          </cell>
          <cell r="D148" t="str">
            <v>YEOS CAN</v>
          </cell>
          <cell r="E148">
            <v>5000</v>
          </cell>
          <cell r="F148">
            <v>24793</v>
          </cell>
        </row>
        <row r="149">
          <cell r="C149">
            <v>139</v>
          </cell>
          <cell r="D149" t="str">
            <v>OKF ALOE VERA</v>
          </cell>
          <cell r="E149">
            <v>17700</v>
          </cell>
          <cell r="F149">
            <v>45000</v>
          </cell>
        </row>
        <row r="150">
          <cell r="C150">
            <v>140</v>
          </cell>
          <cell r="D150" t="str">
            <v>DRIVE CAN 250ML</v>
          </cell>
          <cell r="E150">
            <v>15000</v>
          </cell>
          <cell r="F150">
            <v>33058</v>
          </cell>
        </row>
        <row r="151">
          <cell r="C151">
            <v>141</v>
          </cell>
          <cell r="D151" t="str">
            <v>ORANGE JUICE PITCHER</v>
          </cell>
          <cell r="E151">
            <v>8800</v>
          </cell>
          <cell r="F151">
            <v>116000</v>
          </cell>
        </row>
        <row r="152">
          <cell r="C152">
            <v>142</v>
          </cell>
          <cell r="D152" t="str">
            <v>SODA WATER</v>
          </cell>
          <cell r="E152">
            <v>2100</v>
          </cell>
          <cell r="F152">
            <v>25000</v>
          </cell>
        </row>
        <row r="153">
          <cell r="C153">
            <v>143</v>
          </cell>
          <cell r="D153" t="str">
            <v>COLA BOTOL 295ml</v>
          </cell>
          <cell r="E153">
            <v>2417</v>
          </cell>
          <cell r="F153">
            <v>25000</v>
          </cell>
        </row>
        <row r="154">
          <cell r="C154">
            <v>144</v>
          </cell>
          <cell r="D154" t="str">
            <v>SODA WATER PITCHER</v>
          </cell>
          <cell r="E154">
            <v>8400</v>
          </cell>
          <cell r="F154">
            <v>85000</v>
          </cell>
        </row>
        <row r="155">
          <cell r="C155">
            <v>145</v>
          </cell>
          <cell r="D155" t="str">
            <v>KRATINGDAENG</v>
          </cell>
          <cell r="E155">
            <v>3198</v>
          </cell>
          <cell r="F155">
            <v>20000</v>
          </cell>
        </row>
        <row r="156">
          <cell r="C156">
            <v>146</v>
          </cell>
          <cell r="D156" t="str">
            <v>GREEN TEA PITCHER</v>
          </cell>
          <cell r="E156">
            <v>15000</v>
          </cell>
          <cell r="F156">
            <v>85000</v>
          </cell>
        </row>
        <row r="157">
          <cell r="C157">
            <v>147</v>
          </cell>
          <cell r="D157" t="str">
            <v>DIET COKE</v>
          </cell>
          <cell r="E157">
            <v>4583</v>
          </cell>
          <cell r="F157">
            <v>25000</v>
          </cell>
        </row>
        <row r="158">
          <cell r="C158">
            <v>148</v>
          </cell>
          <cell r="D158" t="str">
            <v>POKKA GREEN TEA</v>
          </cell>
          <cell r="E158">
            <v>5000</v>
          </cell>
          <cell r="F158">
            <v>25000</v>
          </cell>
        </row>
        <row r="159">
          <cell r="C159">
            <v>149</v>
          </cell>
          <cell r="D159" t="str">
            <v>POKKA GREEN TEA</v>
          </cell>
          <cell r="E159">
            <v>5000</v>
          </cell>
          <cell r="F159">
            <v>25000</v>
          </cell>
        </row>
        <row r="160">
          <cell r="C160">
            <v>150</v>
          </cell>
          <cell r="D160" t="str">
            <v>TONIC WATER PITCHER</v>
          </cell>
          <cell r="E160">
            <v>18333</v>
          </cell>
          <cell r="F160">
            <v>85000</v>
          </cell>
        </row>
        <row r="161">
          <cell r="C161">
            <v>151</v>
          </cell>
          <cell r="D161" t="str">
            <v>CHEZ'S ORANGE DRINK</v>
          </cell>
          <cell r="E161">
            <v>4833</v>
          </cell>
          <cell r="F161">
            <v>22000</v>
          </cell>
        </row>
        <row r="162">
          <cell r="C162">
            <v>152</v>
          </cell>
          <cell r="D162" t="str">
            <v>JUICE GUAVA RTD</v>
          </cell>
          <cell r="E162">
            <v>5500</v>
          </cell>
          <cell r="F162">
            <v>22000</v>
          </cell>
        </row>
        <row r="163">
          <cell r="C163">
            <v>153</v>
          </cell>
          <cell r="D163" t="str">
            <v>YOU-C LEMON</v>
          </cell>
          <cell r="E163">
            <v>5038</v>
          </cell>
          <cell r="F163">
            <v>20000</v>
          </cell>
        </row>
        <row r="164">
          <cell r="C164">
            <v>154</v>
          </cell>
          <cell r="D164" t="str">
            <v>YOU-C ORANGE</v>
          </cell>
          <cell r="E164">
            <v>5038</v>
          </cell>
          <cell r="F164">
            <v>20000</v>
          </cell>
        </row>
        <row r="165">
          <cell r="C165">
            <v>155</v>
          </cell>
          <cell r="D165" t="str">
            <v>BEAR BRAND</v>
          </cell>
          <cell r="E165">
            <v>6450</v>
          </cell>
          <cell r="F165">
            <v>25000</v>
          </cell>
        </row>
        <row r="166">
          <cell r="C166">
            <v>156</v>
          </cell>
          <cell r="D166" t="str">
            <v>FANTA</v>
          </cell>
          <cell r="E166">
            <v>4167</v>
          </cell>
          <cell r="F166">
            <v>15000</v>
          </cell>
        </row>
        <row r="167">
          <cell r="C167">
            <v>157</v>
          </cell>
          <cell r="D167" t="str">
            <v>OXYGEN DRINK</v>
          </cell>
          <cell r="E167">
            <v>7000</v>
          </cell>
          <cell r="F167">
            <v>25000</v>
          </cell>
        </row>
        <row r="168">
          <cell r="C168">
            <v>158</v>
          </cell>
          <cell r="D168" t="str">
            <v>TONIC WATER</v>
          </cell>
          <cell r="E168">
            <v>4583</v>
          </cell>
          <cell r="F168">
            <v>15000</v>
          </cell>
        </row>
        <row r="169">
          <cell r="C169">
            <v>159</v>
          </cell>
          <cell r="D169" t="str">
            <v>SPRITE CAN</v>
          </cell>
          <cell r="E169">
            <v>4583</v>
          </cell>
          <cell r="F169">
            <v>15000</v>
          </cell>
        </row>
        <row r="170">
          <cell r="C170">
            <v>160</v>
          </cell>
          <cell r="D170" t="str">
            <v>GINGER ALE</v>
          </cell>
          <cell r="E170">
            <v>4583</v>
          </cell>
          <cell r="F170">
            <v>15000</v>
          </cell>
        </row>
        <row r="171">
          <cell r="C171">
            <v>161</v>
          </cell>
          <cell r="D171" t="str">
            <v>JIGUJA</v>
          </cell>
          <cell r="E171">
            <v>16500</v>
          </cell>
          <cell r="F171">
            <v>35000</v>
          </cell>
        </row>
        <row r="172">
          <cell r="C172">
            <v>162</v>
          </cell>
          <cell r="D172" t="str">
            <v>JUICE ORANGE RTD</v>
          </cell>
          <cell r="E172">
            <v>10500</v>
          </cell>
          <cell r="F172">
            <v>22000</v>
          </cell>
        </row>
        <row r="173">
          <cell r="C173">
            <v>163</v>
          </cell>
          <cell r="D173" t="str">
            <v>ICE CHOCOLATE</v>
          </cell>
          <cell r="E173">
            <v>11000</v>
          </cell>
          <cell r="F173">
            <v>20000</v>
          </cell>
        </row>
        <row r="174">
          <cell r="C174">
            <v>164</v>
          </cell>
          <cell r="D174" t="str">
            <v>Pineapple Squash</v>
          </cell>
          <cell r="E174">
            <v>3935</v>
          </cell>
          <cell r="F174">
            <v>35000</v>
          </cell>
        </row>
        <row r="175">
          <cell r="C175">
            <v>165</v>
          </cell>
          <cell r="D175" t="str">
            <v>Mango Squash</v>
          </cell>
          <cell r="E175">
            <v>3994</v>
          </cell>
          <cell r="F175">
            <v>35000</v>
          </cell>
        </row>
        <row r="176">
          <cell r="C176">
            <v>166</v>
          </cell>
          <cell r="D176" t="str">
            <v>ORANGE SQUASH</v>
          </cell>
          <cell r="E176">
            <v>4053</v>
          </cell>
          <cell r="F176">
            <v>35000</v>
          </cell>
        </row>
        <row r="177">
          <cell r="C177">
            <v>167</v>
          </cell>
          <cell r="D177" t="str">
            <v>LEMON SQUASH</v>
          </cell>
          <cell r="E177">
            <v>7525</v>
          </cell>
          <cell r="F177">
            <v>35000</v>
          </cell>
        </row>
        <row r="178">
          <cell r="C178">
            <v>0</v>
          </cell>
        </row>
        <row r="179">
          <cell r="C179">
            <v>168</v>
          </cell>
          <cell r="D179" t="str">
            <v>GUDANG GARAM PROMILD 16</v>
          </cell>
          <cell r="E179">
            <v>7600</v>
          </cell>
          <cell r="F179">
            <v>35000</v>
          </cell>
        </row>
        <row r="180">
          <cell r="C180">
            <v>169</v>
          </cell>
          <cell r="D180" t="str">
            <v>GUDANG GARAM PROFESIONAL 16</v>
          </cell>
          <cell r="E180">
            <v>10200</v>
          </cell>
          <cell r="F180">
            <v>35000</v>
          </cell>
        </row>
        <row r="181">
          <cell r="C181">
            <v>170</v>
          </cell>
          <cell r="D181" t="str">
            <v>DJISAMSOE MAGNUM</v>
          </cell>
          <cell r="E181">
            <v>10269</v>
          </cell>
          <cell r="F181">
            <v>35000</v>
          </cell>
        </row>
        <row r="182">
          <cell r="C182">
            <v>171</v>
          </cell>
          <cell r="D182" t="str">
            <v>GG MILD</v>
          </cell>
          <cell r="E182">
            <v>10300</v>
          </cell>
          <cell r="F182">
            <v>35000</v>
          </cell>
        </row>
        <row r="183">
          <cell r="C183">
            <v>172</v>
          </cell>
          <cell r="D183" t="str">
            <v>CLASS MILD MENTHOL</v>
          </cell>
          <cell r="E183">
            <v>11075</v>
          </cell>
          <cell r="F183">
            <v>35000</v>
          </cell>
        </row>
        <row r="184">
          <cell r="C184">
            <v>173</v>
          </cell>
          <cell r="D184" t="str">
            <v>GUDANG GARAM SURYA 12</v>
          </cell>
          <cell r="E184">
            <v>8600</v>
          </cell>
          <cell r="F184">
            <v>25000</v>
          </cell>
        </row>
        <row r="185">
          <cell r="C185">
            <v>174</v>
          </cell>
          <cell r="D185" t="str">
            <v>A Mild Flava</v>
          </cell>
          <cell r="E185">
            <v>11000</v>
          </cell>
          <cell r="F185">
            <v>30000</v>
          </cell>
        </row>
        <row r="186">
          <cell r="C186">
            <v>175</v>
          </cell>
          <cell r="D186" t="str">
            <v>GUDANG GARAM SURYA 16</v>
          </cell>
          <cell r="E186">
            <v>13100</v>
          </cell>
          <cell r="F186">
            <v>35000</v>
          </cell>
        </row>
        <row r="187">
          <cell r="C187">
            <v>176</v>
          </cell>
          <cell r="D187" t="str">
            <v>DJISAMSOE PREMIUM</v>
          </cell>
          <cell r="E187">
            <v>14526</v>
          </cell>
          <cell r="F187">
            <v>35000</v>
          </cell>
        </row>
        <row r="188">
          <cell r="C188">
            <v>177</v>
          </cell>
          <cell r="D188" t="str">
            <v>MARLBORO LIGHT MENTHOL</v>
          </cell>
          <cell r="E188">
            <v>15327</v>
          </cell>
          <cell r="F188">
            <v>35000</v>
          </cell>
        </row>
        <row r="189">
          <cell r="C189">
            <v>178</v>
          </cell>
          <cell r="D189" t="str">
            <v>MARLBORO MENTHOL</v>
          </cell>
          <cell r="E189">
            <v>16650</v>
          </cell>
          <cell r="F189">
            <v>35000</v>
          </cell>
        </row>
        <row r="190">
          <cell r="C190">
            <v>179</v>
          </cell>
          <cell r="D190" t="str">
            <v>DUNHILL MILD</v>
          </cell>
          <cell r="E190">
            <v>12250</v>
          </cell>
          <cell r="F190">
            <v>25000</v>
          </cell>
        </row>
        <row r="191">
          <cell r="C191">
            <v>180</v>
          </cell>
          <cell r="D191" t="str">
            <v>GUDANG GARAM SURYA EXLUSIVE 16</v>
          </cell>
          <cell r="E191">
            <v>13500</v>
          </cell>
          <cell r="F191">
            <v>25000</v>
          </cell>
        </row>
        <row r="192">
          <cell r="C192">
            <v>181</v>
          </cell>
          <cell r="D192" t="str">
            <v>ESSE GOLDEN</v>
          </cell>
          <cell r="E192">
            <v>16500</v>
          </cell>
          <cell r="F192">
            <v>30000</v>
          </cell>
        </row>
        <row r="193">
          <cell r="C193">
            <v>182</v>
          </cell>
          <cell r="D193" t="str">
            <v>GUDANG GARAM SURYA 16 COKLAT</v>
          </cell>
          <cell r="E193">
            <v>14000</v>
          </cell>
          <cell r="F193">
            <v>25000</v>
          </cell>
        </row>
        <row r="194">
          <cell r="C194">
            <v>183</v>
          </cell>
          <cell r="D194" t="str">
            <v>GUDANG GARAM INTERNATIONAL FILTER</v>
          </cell>
          <cell r="E194">
            <v>12500</v>
          </cell>
          <cell r="F194">
            <v>35000</v>
          </cell>
        </row>
        <row r="195">
          <cell r="C195">
            <v>184</v>
          </cell>
          <cell r="D195" t="str">
            <v>DJI SAM SOE KRETEK</v>
          </cell>
          <cell r="E195">
            <v>12750</v>
          </cell>
          <cell r="F195">
            <v>35000</v>
          </cell>
        </row>
        <row r="196">
          <cell r="C196">
            <v>185</v>
          </cell>
          <cell r="D196" t="str">
            <v>DJARUM SUPER 12</v>
          </cell>
          <cell r="E196">
            <v>13550</v>
          </cell>
          <cell r="F196">
            <v>35000</v>
          </cell>
        </row>
        <row r="197">
          <cell r="C197">
            <v>186</v>
          </cell>
          <cell r="D197" t="str">
            <v>CLASS MILD</v>
          </cell>
          <cell r="E197">
            <v>14050</v>
          </cell>
          <cell r="F197">
            <v>35000</v>
          </cell>
        </row>
        <row r="198">
          <cell r="C198">
            <v>187</v>
          </cell>
          <cell r="D198" t="str">
            <v>LA RED</v>
          </cell>
          <cell r="E198">
            <v>15350</v>
          </cell>
          <cell r="F198">
            <v>35000</v>
          </cell>
        </row>
        <row r="199">
          <cell r="C199">
            <v>188</v>
          </cell>
          <cell r="D199" t="str">
            <v>LA MENTHOL</v>
          </cell>
          <cell r="E199">
            <v>15350</v>
          </cell>
          <cell r="F199">
            <v>35000</v>
          </cell>
        </row>
        <row r="200">
          <cell r="C200">
            <v>189</v>
          </cell>
          <cell r="D200" t="str">
            <v>LA ICE</v>
          </cell>
          <cell r="E200">
            <v>15350</v>
          </cell>
          <cell r="F200">
            <v>35000</v>
          </cell>
        </row>
        <row r="201">
          <cell r="C201">
            <v>190</v>
          </cell>
          <cell r="D201" t="str">
            <v>SAMPOERNA RED</v>
          </cell>
          <cell r="E201">
            <v>16450</v>
          </cell>
          <cell r="F201">
            <v>35000</v>
          </cell>
        </row>
        <row r="202">
          <cell r="C202">
            <v>191</v>
          </cell>
          <cell r="D202" t="str">
            <v>SAMPOERNA MENTHOL</v>
          </cell>
          <cell r="E202">
            <v>16450</v>
          </cell>
          <cell r="F202">
            <v>35000</v>
          </cell>
        </row>
        <row r="203">
          <cell r="C203">
            <v>192</v>
          </cell>
          <cell r="D203" t="str">
            <v>A VOLUTION RED</v>
          </cell>
          <cell r="E203">
            <v>16506</v>
          </cell>
          <cell r="F203">
            <v>35000</v>
          </cell>
        </row>
        <row r="204">
          <cell r="C204">
            <v>193</v>
          </cell>
          <cell r="D204" t="str">
            <v>A VOLUTION MENTHOL</v>
          </cell>
          <cell r="E204">
            <v>16506</v>
          </cell>
          <cell r="F204">
            <v>35000</v>
          </cell>
        </row>
        <row r="205">
          <cell r="C205">
            <v>194</v>
          </cell>
          <cell r="D205" t="str">
            <v>MARLBORO RED</v>
          </cell>
          <cell r="E205">
            <v>18350</v>
          </cell>
          <cell r="F205">
            <v>35000</v>
          </cell>
        </row>
        <row r="206">
          <cell r="C206">
            <v>195</v>
          </cell>
          <cell r="D206" t="str">
            <v>MARLBORO LIGHT</v>
          </cell>
          <cell r="E206">
            <v>18350</v>
          </cell>
          <cell r="F206">
            <v>35000</v>
          </cell>
        </row>
        <row r="207">
          <cell r="C207">
            <v>196</v>
          </cell>
          <cell r="D207" t="str">
            <v>MARLBORO BLACK MENTHOL</v>
          </cell>
          <cell r="E207">
            <v>18350</v>
          </cell>
          <cell r="F207">
            <v>35000</v>
          </cell>
        </row>
        <row r="208">
          <cell r="C208">
            <v>197</v>
          </cell>
          <cell r="D208" t="str">
            <v>MARLBORO BLAST IC</v>
          </cell>
          <cell r="E208">
            <v>19350</v>
          </cell>
          <cell r="F208">
            <v>35000</v>
          </cell>
        </row>
        <row r="209">
          <cell r="C209">
            <v>198</v>
          </cell>
          <cell r="D209" t="str">
            <v>DUNHILL MILD</v>
          </cell>
          <cell r="E209">
            <v>12775</v>
          </cell>
          <cell r="F209">
            <v>35000</v>
          </cell>
        </row>
        <row r="210">
          <cell r="C210">
            <v>199</v>
          </cell>
          <cell r="D210" t="str">
            <v>ESSE CHANGED</v>
          </cell>
          <cell r="E210">
            <v>14550</v>
          </cell>
          <cell r="F210">
            <v>35000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Normal="100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G39" sqref="G39"/>
    </sheetView>
  </sheetViews>
  <sheetFormatPr defaultColWidth="9.140625" defaultRowHeight="12.75" x14ac:dyDescent="0.2"/>
  <cols>
    <col min="1" max="1" width="9.140625" style="22"/>
    <col min="2" max="2" width="2.7109375" style="22" customWidth="1"/>
    <col min="3" max="3" width="9.7109375" style="22" bestFit="1" customWidth="1"/>
    <col min="4" max="4" width="6" style="22" bestFit="1" customWidth="1"/>
    <col min="5" max="5" width="10.5703125" style="22" hidden="1" customWidth="1"/>
    <col min="6" max="6" width="13.5703125" style="22" customWidth="1"/>
    <col min="7" max="7" width="11.5703125" style="22" customWidth="1"/>
    <col min="8" max="9" width="10.5703125" style="22" customWidth="1"/>
    <col min="10" max="10" width="11.5703125" style="22" customWidth="1"/>
    <col min="11" max="12" width="2.7109375" style="22" customWidth="1"/>
    <col min="13" max="13" width="9.7109375" style="22" customWidth="1"/>
    <col min="14" max="32" width="9.140625" style="22" customWidth="1"/>
    <col min="33" max="16384" width="9.140625" style="22"/>
  </cols>
  <sheetData>
    <row r="1" spans="1:15" x14ac:dyDescent="0.2">
      <c r="A1" s="44"/>
      <c r="B1" s="44" t="s">
        <v>37</v>
      </c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5" x14ac:dyDescent="0.2">
      <c r="A2" s="44"/>
      <c r="B2" s="44" t="s">
        <v>82</v>
      </c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5" x14ac:dyDescent="0.2">
      <c r="A3" s="44"/>
      <c r="B3" s="42" t="s">
        <v>38</v>
      </c>
      <c r="C3" s="29" t="s">
        <v>0</v>
      </c>
      <c r="D3" s="29" t="s">
        <v>4</v>
      </c>
      <c r="E3" s="29" t="s">
        <v>13</v>
      </c>
      <c r="F3" s="29" t="s">
        <v>21</v>
      </c>
      <c r="G3" s="29" t="s">
        <v>2</v>
      </c>
      <c r="H3" s="29" t="s">
        <v>22</v>
      </c>
      <c r="I3" s="29" t="s">
        <v>17</v>
      </c>
      <c r="J3" s="29" t="s">
        <v>12</v>
      </c>
      <c r="K3" s="26"/>
      <c r="L3" s="26"/>
      <c r="M3" s="55" t="s">
        <v>46</v>
      </c>
      <c r="N3" s="55"/>
    </row>
    <row r="4" spans="1:15" x14ac:dyDescent="0.2">
      <c r="B4" s="17">
        <v>1</v>
      </c>
      <c r="C4" s="34">
        <v>46143</v>
      </c>
      <c r="D4" s="37" t="s">
        <v>8</v>
      </c>
      <c r="E4" s="19">
        <f>SUMIF(Input!$D$5:$D$531,C4,Input!$R$5:$R$531)</f>
        <v>0</v>
      </c>
      <c r="F4" s="21">
        <f>SUMIF(Input!$D$5:$D$531,C4,Input!$T$5:$T$531)</f>
        <v>497000</v>
      </c>
      <c r="G4" s="21">
        <f>E4+F4</f>
        <v>497000</v>
      </c>
      <c r="H4" s="21">
        <f t="shared" ref="H4:H33" si="0">G4*11%</f>
        <v>54670</v>
      </c>
      <c r="I4" s="21">
        <f>G4*1%</f>
        <v>4970</v>
      </c>
      <c r="J4" s="21">
        <f t="shared" ref="J4:J33" si="1">G4+H4+I4</f>
        <v>556640</v>
      </c>
      <c r="M4" s="39">
        <f>+G4*40%</f>
        <v>198800</v>
      </c>
      <c r="N4" s="39"/>
      <c r="O4" s="39"/>
    </row>
    <row r="5" spans="1:15" x14ac:dyDescent="0.2">
      <c r="B5" s="17">
        <v>2</v>
      </c>
      <c r="C5" s="34">
        <f>C4+1</f>
        <v>46144</v>
      </c>
      <c r="D5" s="37" t="s">
        <v>9</v>
      </c>
      <c r="E5" s="19">
        <f>SUMIF(Input!$D$5:$D$531,C5,Input!$R$5:$R$531)</f>
        <v>0</v>
      </c>
      <c r="F5" s="21">
        <f>SUMIF(Input!$D$5:$D$531,C5,Input!$T$5:$T$531)</f>
        <v>1299000</v>
      </c>
      <c r="G5" s="21">
        <f t="shared" ref="G5:G33" si="2">E5+F5</f>
        <v>1299000</v>
      </c>
      <c r="H5" s="21">
        <f t="shared" si="0"/>
        <v>142890</v>
      </c>
      <c r="I5" s="21">
        <f t="shared" ref="I5:I34" si="3">G5*1%</f>
        <v>12990</v>
      </c>
      <c r="J5" s="21">
        <f t="shared" si="1"/>
        <v>1454880</v>
      </c>
      <c r="M5" s="39">
        <f t="shared" ref="M5:M34" si="4">+G5*40%</f>
        <v>519600</v>
      </c>
      <c r="N5" s="39"/>
      <c r="O5" s="39"/>
    </row>
    <row r="6" spans="1:15" x14ac:dyDescent="0.2">
      <c r="B6" s="17">
        <v>3</v>
      </c>
      <c r="C6" s="34">
        <f t="shared" ref="C6:C34" si="5">C5+1</f>
        <v>46145</v>
      </c>
      <c r="D6" s="37" t="s">
        <v>10</v>
      </c>
      <c r="E6" s="19">
        <f>SUMIF(Input!$D$5:$D$531,C6,Input!$R$5:$R$531)</f>
        <v>0</v>
      </c>
      <c r="F6" s="21">
        <f>SUMIF(Input!$D$5:$D$531,C6,Input!$T$5:$T$531)</f>
        <v>185000</v>
      </c>
      <c r="G6" s="21">
        <f t="shared" si="2"/>
        <v>185000</v>
      </c>
      <c r="H6" s="21">
        <f t="shared" si="0"/>
        <v>20350</v>
      </c>
      <c r="I6" s="21">
        <f t="shared" si="3"/>
        <v>1850</v>
      </c>
      <c r="J6" s="21">
        <f t="shared" si="1"/>
        <v>207200</v>
      </c>
      <c r="M6" s="39">
        <f t="shared" si="4"/>
        <v>74000</v>
      </c>
      <c r="N6" s="39"/>
      <c r="O6" s="39"/>
    </row>
    <row r="7" spans="1:15" x14ac:dyDescent="0.2">
      <c r="B7" s="17">
        <v>4</v>
      </c>
      <c r="C7" s="34">
        <f t="shared" si="5"/>
        <v>46146</v>
      </c>
      <c r="D7" s="37" t="s">
        <v>11</v>
      </c>
      <c r="E7" s="19">
        <f>SUMIF(Input!$D$5:$D$531,C7,Input!$R$5:$R$531)</f>
        <v>0</v>
      </c>
      <c r="F7" s="21">
        <f>SUMIF(Input!$D$5:$D$531,C7,Input!$T$5:$T$531)</f>
        <v>716000</v>
      </c>
      <c r="G7" s="21">
        <f t="shared" si="2"/>
        <v>716000</v>
      </c>
      <c r="H7" s="21">
        <f t="shared" si="0"/>
        <v>78760</v>
      </c>
      <c r="I7" s="21">
        <f t="shared" si="3"/>
        <v>7160</v>
      </c>
      <c r="J7" s="21">
        <f t="shared" si="1"/>
        <v>801920</v>
      </c>
      <c r="M7" s="39">
        <f t="shared" si="4"/>
        <v>286400</v>
      </c>
      <c r="N7" s="39"/>
      <c r="O7" s="39"/>
    </row>
    <row r="8" spans="1:15" x14ac:dyDescent="0.2">
      <c r="B8" s="17">
        <v>5</v>
      </c>
      <c r="C8" s="34">
        <f t="shared" si="5"/>
        <v>46147</v>
      </c>
      <c r="D8" s="37" t="s">
        <v>5</v>
      </c>
      <c r="E8" s="19">
        <f>SUMIF(Input!$D$5:$D$531,C8,Input!$R$5:$R$531)</f>
        <v>0</v>
      </c>
      <c r="F8" s="21">
        <f>SUMIF(Input!$D$5:$D$531,C8,Input!$T$5:$T$531)</f>
        <v>105000</v>
      </c>
      <c r="G8" s="21">
        <f t="shared" si="2"/>
        <v>105000</v>
      </c>
      <c r="H8" s="21">
        <f t="shared" si="0"/>
        <v>11550</v>
      </c>
      <c r="I8" s="21">
        <f t="shared" si="3"/>
        <v>1050</v>
      </c>
      <c r="J8" s="21">
        <f t="shared" si="1"/>
        <v>117600</v>
      </c>
      <c r="M8" s="39">
        <f t="shared" si="4"/>
        <v>42000</v>
      </c>
      <c r="N8" s="39"/>
      <c r="O8" s="39"/>
    </row>
    <row r="9" spans="1:15" x14ac:dyDescent="0.2">
      <c r="B9" s="17">
        <v>6</v>
      </c>
      <c r="C9" s="34">
        <f t="shared" si="5"/>
        <v>46148</v>
      </c>
      <c r="D9" s="37" t="s">
        <v>6</v>
      </c>
      <c r="E9" s="19">
        <f>SUMIF(Input!$D$5:$D$531,C9,Input!$R$5:$R$531)</f>
        <v>0</v>
      </c>
      <c r="F9" s="21">
        <f>SUMIF(Input!$D$5:$D$531,C9,Input!$T$5:$T$531)</f>
        <v>188500</v>
      </c>
      <c r="G9" s="21">
        <f t="shared" si="2"/>
        <v>188500</v>
      </c>
      <c r="H9" s="21">
        <f t="shared" si="0"/>
        <v>20735</v>
      </c>
      <c r="I9" s="21">
        <f t="shared" si="3"/>
        <v>1885</v>
      </c>
      <c r="J9" s="21">
        <f t="shared" si="1"/>
        <v>211120</v>
      </c>
      <c r="M9" s="39">
        <f t="shared" si="4"/>
        <v>75400</v>
      </c>
      <c r="N9" s="39"/>
      <c r="O9" s="39"/>
    </row>
    <row r="10" spans="1:15" x14ac:dyDescent="0.2">
      <c r="B10" s="17">
        <v>7</v>
      </c>
      <c r="C10" s="34">
        <f t="shared" si="5"/>
        <v>46149</v>
      </c>
      <c r="D10" s="37" t="s">
        <v>7</v>
      </c>
      <c r="E10" s="19">
        <f>SUMIF(Input!$D$5:$D$531,C10,Input!$R$5:$R$531)</f>
        <v>0</v>
      </c>
      <c r="F10" s="21">
        <f>SUMIF(Input!$D$5:$D$531,C10,Input!$T$5:$T$531)</f>
        <v>370000</v>
      </c>
      <c r="G10" s="21">
        <f t="shared" si="2"/>
        <v>370000</v>
      </c>
      <c r="H10" s="21">
        <f t="shared" si="0"/>
        <v>40700</v>
      </c>
      <c r="I10" s="21">
        <f t="shared" si="3"/>
        <v>3700</v>
      </c>
      <c r="J10" s="21">
        <f t="shared" si="1"/>
        <v>414400</v>
      </c>
      <c r="M10" s="39">
        <f t="shared" si="4"/>
        <v>148000</v>
      </c>
      <c r="N10" s="39"/>
      <c r="O10" s="39"/>
    </row>
    <row r="11" spans="1:15" x14ac:dyDescent="0.2">
      <c r="B11" s="17">
        <v>8</v>
      </c>
      <c r="C11" s="34">
        <f t="shared" si="5"/>
        <v>46150</v>
      </c>
      <c r="D11" s="37" t="s">
        <v>8</v>
      </c>
      <c r="E11" s="19">
        <f>SUMIF(Input!$D$5:$D$531,C11,Input!$R$5:$R$531)</f>
        <v>0</v>
      </c>
      <c r="F11" s="21">
        <f>SUMIF(Input!$D$5:$D$531,C11,Input!$T$5:$T$531)</f>
        <v>375000</v>
      </c>
      <c r="G11" s="21">
        <f t="shared" si="2"/>
        <v>375000</v>
      </c>
      <c r="H11" s="21">
        <f t="shared" si="0"/>
        <v>41250</v>
      </c>
      <c r="I11" s="21">
        <f t="shared" si="3"/>
        <v>3750</v>
      </c>
      <c r="J11" s="21">
        <f t="shared" si="1"/>
        <v>420000</v>
      </c>
      <c r="M11" s="39">
        <f t="shared" si="4"/>
        <v>150000</v>
      </c>
      <c r="N11" s="39"/>
      <c r="O11" s="39"/>
    </row>
    <row r="12" spans="1:15" x14ac:dyDescent="0.2">
      <c r="B12" s="17">
        <v>9</v>
      </c>
      <c r="C12" s="34">
        <f t="shared" si="5"/>
        <v>46151</v>
      </c>
      <c r="D12" s="37" t="s">
        <v>9</v>
      </c>
      <c r="E12" s="19">
        <f>SUMIF(Input!$D$5:$D$531,C12,Input!$R$5:$R$531)</f>
        <v>0</v>
      </c>
      <c r="F12" s="21">
        <f>SUMIF(Input!$D$5:$D$531,C12,Input!$T$5:$T$531)</f>
        <v>358000</v>
      </c>
      <c r="G12" s="21">
        <f t="shared" si="2"/>
        <v>358000</v>
      </c>
      <c r="H12" s="21">
        <f t="shared" si="0"/>
        <v>39380</v>
      </c>
      <c r="I12" s="21">
        <f t="shared" si="3"/>
        <v>3580</v>
      </c>
      <c r="J12" s="21">
        <f t="shared" si="1"/>
        <v>400960</v>
      </c>
      <c r="M12" s="39">
        <f t="shared" si="4"/>
        <v>143200</v>
      </c>
      <c r="N12" s="39"/>
      <c r="O12" s="39"/>
    </row>
    <row r="13" spans="1:15" x14ac:dyDescent="0.2">
      <c r="B13" s="17">
        <v>10</v>
      </c>
      <c r="C13" s="34">
        <f t="shared" si="5"/>
        <v>46152</v>
      </c>
      <c r="D13" s="37" t="s">
        <v>10</v>
      </c>
      <c r="E13" s="19">
        <f>SUMIF(Input!$D$5:$D$531,C13,Input!$R$5:$R$531)</f>
        <v>0</v>
      </c>
      <c r="F13" s="21">
        <f>SUMIF(Input!$D$5:$D$531,C13,Input!$T$5:$T$531)</f>
        <v>800000</v>
      </c>
      <c r="G13" s="21">
        <f t="shared" si="2"/>
        <v>800000</v>
      </c>
      <c r="H13" s="21">
        <f t="shared" si="0"/>
        <v>88000</v>
      </c>
      <c r="I13" s="21">
        <f t="shared" si="3"/>
        <v>8000</v>
      </c>
      <c r="J13" s="21">
        <f t="shared" si="1"/>
        <v>896000</v>
      </c>
      <c r="M13" s="39">
        <f t="shared" si="4"/>
        <v>320000</v>
      </c>
      <c r="N13" s="39"/>
      <c r="O13" s="39"/>
    </row>
    <row r="14" spans="1:15" x14ac:dyDescent="0.2">
      <c r="B14" s="17">
        <v>11</v>
      </c>
      <c r="C14" s="34">
        <f t="shared" si="5"/>
        <v>46153</v>
      </c>
      <c r="D14" s="37" t="s">
        <v>11</v>
      </c>
      <c r="E14" s="19">
        <f>SUMIF(Input!$D$5:$D$531,C14,Input!$R$5:$R$531)</f>
        <v>0</v>
      </c>
      <c r="F14" s="21">
        <f>SUMIF(Input!$D$5:$D$531,C14,Input!$T$5:$T$531)</f>
        <v>1275000</v>
      </c>
      <c r="G14" s="21">
        <f t="shared" si="2"/>
        <v>1275000</v>
      </c>
      <c r="H14" s="21">
        <f t="shared" si="0"/>
        <v>140250</v>
      </c>
      <c r="I14" s="21">
        <f t="shared" si="3"/>
        <v>12750</v>
      </c>
      <c r="J14" s="21">
        <f t="shared" si="1"/>
        <v>1428000</v>
      </c>
      <c r="M14" s="39">
        <f t="shared" si="4"/>
        <v>510000</v>
      </c>
      <c r="N14" s="39"/>
      <c r="O14" s="39"/>
    </row>
    <row r="15" spans="1:15" x14ac:dyDescent="0.2">
      <c r="B15" s="17">
        <v>12</v>
      </c>
      <c r="C15" s="34">
        <f t="shared" si="5"/>
        <v>46154</v>
      </c>
      <c r="D15" s="37" t="s">
        <v>5</v>
      </c>
      <c r="E15" s="19">
        <f>SUMIF(Input!$D$5:$D$531,C15,Input!$R$5:$R$531)</f>
        <v>0</v>
      </c>
      <c r="F15" s="21">
        <f>SUMIF(Input!$D$5:$D$531,C15,Input!$T$5:$T$531)</f>
        <v>725000</v>
      </c>
      <c r="G15" s="21">
        <f t="shared" si="2"/>
        <v>725000</v>
      </c>
      <c r="H15" s="21">
        <f t="shared" si="0"/>
        <v>79750</v>
      </c>
      <c r="I15" s="21">
        <f t="shared" si="3"/>
        <v>7250</v>
      </c>
      <c r="J15" s="21">
        <f t="shared" si="1"/>
        <v>812000</v>
      </c>
      <c r="M15" s="39">
        <f t="shared" si="4"/>
        <v>290000</v>
      </c>
      <c r="N15" s="39"/>
      <c r="O15" s="39"/>
    </row>
    <row r="16" spans="1:15" x14ac:dyDescent="0.2">
      <c r="B16" s="17">
        <v>13</v>
      </c>
      <c r="C16" s="34">
        <f t="shared" si="5"/>
        <v>46155</v>
      </c>
      <c r="D16" s="37" t="s">
        <v>6</v>
      </c>
      <c r="E16" s="19">
        <f>SUMIF(Input!$D$5:$D$531,C16,Input!$R$5:$R$531)</f>
        <v>0</v>
      </c>
      <c r="F16" s="21">
        <f>SUMIF(Input!$D$5:$D$531,C16,Input!$T$5:$T$531)</f>
        <v>385000</v>
      </c>
      <c r="G16" s="21">
        <f t="shared" si="2"/>
        <v>385000</v>
      </c>
      <c r="H16" s="21">
        <f t="shared" si="0"/>
        <v>42350</v>
      </c>
      <c r="I16" s="21">
        <f t="shared" si="3"/>
        <v>3850</v>
      </c>
      <c r="J16" s="21">
        <f t="shared" si="1"/>
        <v>431200</v>
      </c>
      <c r="M16" s="39">
        <f t="shared" si="4"/>
        <v>154000</v>
      </c>
      <c r="N16" s="39"/>
      <c r="O16" s="39"/>
    </row>
    <row r="17" spans="2:15" x14ac:dyDescent="0.2">
      <c r="B17" s="17">
        <v>14</v>
      </c>
      <c r="C17" s="34">
        <f t="shared" si="5"/>
        <v>46156</v>
      </c>
      <c r="D17" s="37" t="s">
        <v>7</v>
      </c>
      <c r="E17" s="19">
        <f>SUMIF(Input!$D$5:$D$531,C17,Input!$R$5:$R$531)</f>
        <v>0</v>
      </c>
      <c r="F17" s="21">
        <f>SUMIF(Input!$D$5:$D$531,C17,Input!$T$5:$T$531)</f>
        <v>330000</v>
      </c>
      <c r="G17" s="21">
        <f t="shared" si="2"/>
        <v>330000</v>
      </c>
      <c r="H17" s="21">
        <f t="shared" si="0"/>
        <v>36300</v>
      </c>
      <c r="I17" s="21">
        <f t="shared" si="3"/>
        <v>3300</v>
      </c>
      <c r="J17" s="21">
        <f t="shared" si="1"/>
        <v>369600</v>
      </c>
      <c r="M17" s="39">
        <f t="shared" si="4"/>
        <v>132000</v>
      </c>
      <c r="N17" s="39"/>
      <c r="O17" s="39"/>
    </row>
    <row r="18" spans="2:15" x14ac:dyDescent="0.2">
      <c r="B18" s="17">
        <v>15</v>
      </c>
      <c r="C18" s="34">
        <f t="shared" si="5"/>
        <v>46157</v>
      </c>
      <c r="D18" s="37" t="s">
        <v>8</v>
      </c>
      <c r="E18" s="19">
        <f>SUMIF(Input!$D$5:$D$531,C18,Input!$R$5:$R$531)</f>
        <v>0</v>
      </c>
      <c r="F18" s="21">
        <f>SUMIF(Input!$D$5:$D$531,C18,Input!$T$5:$T$531)</f>
        <v>299000</v>
      </c>
      <c r="G18" s="21">
        <f t="shared" si="2"/>
        <v>299000</v>
      </c>
      <c r="H18" s="21">
        <f t="shared" si="0"/>
        <v>32890</v>
      </c>
      <c r="I18" s="21">
        <f t="shared" si="3"/>
        <v>2990</v>
      </c>
      <c r="J18" s="21">
        <f t="shared" si="1"/>
        <v>334880</v>
      </c>
      <c r="M18" s="39">
        <f t="shared" si="4"/>
        <v>119600</v>
      </c>
      <c r="N18" s="39"/>
      <c r="O18" s="39"/>
    </row>
    <row r="19" spans="2:15" x14ac:dyDescent="0.2">
      <c r="B19" s="17">
        <v>16</v>
      </c>
      <c r="C19" s="34">
        <f t="shared" si="5"/>
        <v>46158</v>
      </c>
      <c r="D19" s="37" t="s">
        <v>9</v>
      </c>
      <c r="E19" s="19">
        <f>SUMIF(Input!$D$5:$D$531,C19,Input!$R$5:$R$531)</f>
        <v>0</v>
      </c>
      <c r="F19" s="21">
        <f>SUMIF(Input!$D$5:$D$531,C19,Input!$T$5:$T$531)</f>
        <v>270000</v>
      </c>
      <c r="G19" s="21">
        <f t="shared" si="2"/>
        <v>270000</v>
      </c>
      <c r="H19" s="21">
        <f t="shared" si="0"/>
        <v>29700</v>
      </c>
      <c r="I19" s="21">
        <f t="shared" si="3"/>
        <v>2700</v>
      </c>
      <c r="J19" s="21">
        <f t="shared" si="1"/>
        <v>302400</v>
      </c>
      <c r="M19" s="39">
        <f t="shared" si="4"/>
        <v>108000</v>
      </c>
      <c r="N19" s="39"/>
      <c r="O19" s="39"/>
    </row>
    <row r="20" spans="2:15" x14ac:dyDescent="0.2">
      <c r="B20" s="17">
        <v>17</v>
      </c>
      <c r="C20" s="34">
        <f t="shared" si="5"/>
        <v>46159</v>
      </c>
      <c r="D20" s="37" t="s">
        <v>10</v>
      </c>
      <c r="E20" s="19">
        <f>SUMIF(Input!$D$5:$D$531,C20,Input!$R$5:$R$531)</f>
        <v>0</v>
      </c>
      <c r="F20" s="21">
        <f>SUMIF(Input!$D$5:$D$531,C20,Input!$T$5:$T$531)</f>
        <v>785000</v>
      </c>
      <c r="G20" s="21">
        <f t="shared" si="2"/>
        <v>785000</v>
      </c>
      <c r="H20" s="21">
        <f t="shared" si="0"/>
        <v>86350</v>
      </c>
      <c r="I20" s="21">
        <f t="shared" si="3"/>
        <v>7850</v>
      </c>
      <c r="J20" s="21">
        <f t="shared" si="1"/>
        <v>879200</v>
      </c>
      <c r="M20" s="39">
        <f t="shared" si="4"/>
        <v>314000</v>
      </c>
      <c r="N20" s="39"/>
      <c r="O20" s="39"/>
    </row>
    <row r="21" spans="2:15" x14ac:dyDescent="0.2">
      <c r="B21" s="17">
        <v>18</v>
      </c>
      <c r="C21" s="34">
        <f t="shared" si="5"/>
        <v>46160</v>
      </c>
      <c r="D21" s="37" t="s">
        <v>11</v>
      </c>
      <c r="E21" s="19">
        <f>SUMIF(Input!$D$5:$D$531,C21,Input!$R$5:$R$531)</f>
        <v>0</v>
      </c>
      <c r="F21" s="21">
        <f>SUMIF(Input!$D$5:$D$531,C21,Input!$T$5:$T$531)</f>
        <v>252000</v>
      </c>
      <c r="G21" s="21">
        <f t="shared" si="2"/>
        <v>252000</v>
      </c>
      <c r="H21" s="21">
        <f t="shared" si="0"/>
        <v>27720</v>
      </c>
      <c r="I21" s="21">
        <f t="shared" si="3"/>
        <v>2520</v>
      </c>
      <c r="J21" s="21">
        <f t="shared" si="1"/>
        <v>282240</v>
      </c>
      <c r="M21" s="39">
        <f t="shared" si="4"/>
        <v>100800</v>
      </c>
      <c r="N21" s="39"/>
      <c r="O21" s="39"/>
    </row>
    <row r="22" spans="2:15" x14ac:dyDescent="0.2">
      <c r="B22" s="17">
        <v>19</v>
      </c>
      <c r="C22" s="34">
        <f t="shared" si="5"/>
        <v>46161</v>
      </c>
      <c r="D22" s="37" t="s">
        <v>5</v>
      </c>
      <c r="E22" s="19">
        <f>SUMIF(Input!$D$5:$D$531,C22,Input!$R$5:$R$531)</f>
        <v>0</v>
      </c>
      <c r="F22" s="21">
        <f>SUMIF(Input!$D$5:$D$531,C22,Input!$T$5:$T$531)</f>
        <v>131000</v>
      </c>
      <c r="G22" s="21">
        <f t="shared" si="2"/>
        <v>131000</v>
      </c>
      <c r="H22" s="21">
        <f t="shared" si="0"/>
        <v>14410</v>
      </c>
      <c r="I22" s="21">
        <f t="shared" si="3"/>
        <v>1310</v>
      </c>
      <c r="J22" s="21">
        <f t="shared" si="1"/>
        <v>146720</v>
      </c>
      <c r="M22" s="39">
        <f t="shared" si="4"/>
        <v>52400</v>
      </c>
      <c r="N22" s="39"/>
      <c r="O22" s="39"/>
    </row>
    <row r="23" spans="2:15" x14ac:dyDescent="0.2">
      <c r="B23" s="17">
        <v>20</v>
      </c>
      <c r="C23" s="34">
        <f t="shared" si="5"/>
        <v>46162</v>
      </c>
      <c r="D23" s="37" t="s">
        <v>6</v>
      </c>
      <c r="E23" s="19">
        <f>SUMIF(Input!$D$5:$D$531,C23,Input!$R$5:$R$531)</f>
        <v>0</v>
      </c>
      <c r="F23" s="21">
        <f>SUMIF(Input!$D$5:$D$531,C23,Input!$T$5:$T$531)</f>
        <v>246000</v>
      </c>
      <c r="G23" s="21">
        <f t="shared" si="2"/>
        <v>246000</v>
      </c>
      <c r="H23" s="21">
        <f t="shared" si="0"/>
        <v>27060</v>
      </c>
      <c r="I23" s="21">
        <f t="shared" si="3"/>
        <v>2460</v>
      </c>
      <c r="J23" s="21">
        <f t="shared" si="1"/>
        <v>275520</v>
      </c>
      <c r="M23" s="39">
        <f t="shared" si="4"/>
        <v>98400</v>
      </c>
      <c r="N23" s="39"/>
      <c r="O23" s="39"/>
    </row>
    <row r="24" spans="2:15" x14ac:dyDescent="0.2">
      <c r="B24" s="17">
        <v>21</v>
      </c>
      <c r="C24" s="34">
        <f t="shared" si="5"/>
        <v>46163</v>
      </c>
      <c r="D24" s="37" t="s">
        <v>7</v>
      </c>
      <c r="E24" s="19">
        <f>SUMIF(Input!$D$5:$D$531,C24,Input!$R$5:$R$531)</f>
        <v>0</v>
      </c>
      <c r="F24" s="21">
        <f>SUMIF(Input!$D$5:$D$531,C24,Input!$T$5:$T$531)</f>
        <v>238000</v>
      </c>
      <c r="G24" s="21">
        <f t="shared" si="2"/>
        <v>238000</v>
      </c>
      <c r="H24" s="21">
        <f t="shared" si="0"/>
        <v>26180</v>
      </c>
      <c r="I24" s="21">
        <f t="shared" si="3"/>
        <v>2380</v>
      </c>
      <c r="J24" s="21">
        <f t="shared" si="1"/>
        <v>266560</v>
      </c>
      <c r="M24" s="39">
        <f t="shared" si="4"/>
        <v>95200</v>
      </c>
      <c r="N24" s="39"/>
      <c r="O24" s="39"/>
    </row>
    <row r="25" spans="2:15" x14ac:dyDescent="0.2">
      <c r="B25" s="17">
        <v>22</v>
      </c>
      <c r="C25" s="34">
        <f t="shared" si="5"/>
        <v>46164</v>
      </c>
      <c r="D25" s="37" t="s">
        <v>8</v>
      </c>
      <c r="E25" s="19">
        <f>SUMIF(Input!$D$5:$D$531,C25,Input!$R$5:$R$531)</f>
        <v>0</v>
      </c>
      <c r="F25" s="21">
        <f>SUMIF(Input!$D$5:$D$531,C25,Input!$T$5:$T$531)</f>
        <v>230000</v>
      </c>
      <c r="G25" s="21">
        <f t="shared" si="2"/>
        <v>230000</v>
      </c>
      <c r="H25" s="21">
        <f t="shared" si="0"/>
        <v>25300</v>
      </c>
      <c r="I25" s="21">
        <f t="shared" si="3"/>
        <v>2300</v>
      </c>
      <c r="J25" s="21">
        <f t="shared" si="1"/>
        <v>257600</v>
      </c>
      <c r="M25" s="39">
        <f t="shared" si="4"/>
        <v>92000</v>
      </c>
      <c r="N25" s="39"/>
      <c r="O25" s="39"/>
    </row>
    <row r="26" spans="2:15" x14ac:dyDescent="0.2">
      <c r="B26" s="17">
        <v>23</v>
      </c>
      <c r="C26" s="34">
        <f t="shared" si="5"/>
        <v>46165</v>
      </c>
      <c r="D26" s="37" t="s">
        <v>9</v>
      </c>
      <c r="E26" s="19">
        <f>SUMIF(Input!$D$5:$D$531,C26,Input!$R$5:$R$531)</f>
        <v>0</v>
      </c>
      <c r="F26" s="21">
        <f>SUMIF(Input!$D$5:$D$531,C26,Input!$T$5:$T$531)</f>
        <v>275500</v>
      </c>
      <c r="G26" s="21">
        <f t="shared" si="2"/>
        <v>275500</v>
      </c>
      <c r="H26" s="21">
        <f t="shared" si="0"/>
        <v>30305</v>
      </c>
      <c r="I26" s="21">
        <f t="shared" si="3"/>
        <v>2755</v>
      </c>
      <c r="J26" s="21">
        <f t="shared" si="1"/>
        <v>308560</v>
      </c>
      <c r="M26" s="39">
        <f t="shared" si="4"/>
        <v>110200</v>
      </c>
      <c r="N26" s="39"/>
      <c r="O26" s="39"/>
    </row>
    <row r="27" spans="2:15" x14ac:dyDescent="0.2">
      <c r="B27" s="17">
        <v>24</v>
      </c>
      <c r="C27" s="34">
        <f t="shared" si="5"/>
        <v>46166</v>
      </c>
      <c r="D27" s="37" t="s">
        <v>10</v>
      </c>
      <c r="E27" s="19">
        <f>SUMIF(Input!$D$5:$D$531,C27,Input!$R$5:$R$531)</f>
        <v>0</v>
      </c>
      <c r="F27" s="21">
        <f>SUMIF(Input!$D$5:$D$531,C27,Input!$T$5:$T$531)</f>
        <v>335000</v>
      </c>
      <c r="G27" s="21">
        <f t="shared" si="2"/>
        <v>335000</v>
      </c>
      <c r="H27" s="21">
        <f t="shared" si="0"/>
        <v>36850</v>
      </c>
      <c r="I27" s="21">
        <f t="shared" si="3"/>
        <v>3350</v>
      </c>
      <c r="J27" s="21">
        <f t="shared" si="1"/>
        <v>375200</v>
      </c>
      <c r="M27" s="39">
        <f t="shared" si="4"/>
        <v>134000</v>
      </c>
      <c r="N27" s="39"/>
      <c r="O27" s="39"/>
    </row>
    <row r="28" spans="2:15" x14ac:dyDescent="0.2">
      <c r="B28" s="17">
        <v>25</v>
      </c>
      <c r="C28" s="34">
        <f t="shared" si="5"/>
        <v>46167</v>
      </c>
      <c r="D28" s="37" t="s">
        <v>11</v>
      </c>
      <c r="E28" s="19">
        <f>SUMIF(Input!$D$5:$D$531,C28,Input!$R$5:$R$531)</f>
        <v>0</v>
      </c>
      <c r="F28" s="21">
        <f>SUMIF(Input!$D$5:$D$531,C28,Input!$T$5:$T$531)</f>
        <v>365000</v>
      </c>
      <c r="G28" s="21">
        <f t="shared" si="2"/>
        <v>365000</v>
      </c>
      <c r="H28" s="21">
        <f t="shared" si="0"/>
        <v>40150</v>
      </c>
      <c r="I28" s="21">
        <f t="shared" si="3"/>
        <v>3650</v>
      </c>
      <c r="J28" s="21">
        <f t="shared" si="1"/>
        <v>408800</v>
      </c>
      <c r="M28" s="39">
        <f t="shared" si="4"/>
        <v>146000</v>
      </c>
      <c r="N28" s="39"/>
      <c r="O28" s="39"/>
    </row>
    <row r="29" spans="2:15" x14ac:dyDescent="0.2">
      <c r="B29" s="17">
        <v>26</v>
      </c>
      <c r="C29" s="34">
        <f t="shared" si="5"/>
        <v>46168</v>
      </c>
      <c r="D29" s="37" t="s">
        <v>5</v>
      </c>
      <c r="E29" s="19">
        <f>SUMIF(Input!$D$5:$D$531,C29,Input!$R$5:$R$531)</f>
        <v>0</v>
      </c>
      <c r="F29" s="21">
        <f>SUMIF(Input!$D$5:$D$531,C29,Input!$T$5:$T$531)</f>
        <v>550000</v>
      </c>
      <c r="G29" s="21">
        <f t="shared" si="2"/>
        <v>550000</v>
      </c>
      <c r="H29" s="21">
        <f t="shared" si="0"/>
        <v>60500</v>
      </c>
      <c r="I29" s="21">
        <f t="shared" si="3"/>
        <v>5500</v>
      </c>
      <c r="J29" s="21">
        <f t="shared" si="1"/>
        <v>616000</v>
      </c>
      <c r="M29" s="39">
        <f t="shared" si="4"/>
        <v>220000</v>
      </c>
      <c r="N29" s="39"/>
      <c r="O29" s="39"/>
    </row>
    <row r="30" spans="2:15" x14ac:dyDescent="0.2">
      <c r="B30" s="17">
        <v>27</v>
      </c>
      <c r="C30" s="34">
        <f t="shared" si="5"/>
        <v>46169</v>
      </c>
      <c r="D30" s="37" t="s">
        <v>6</v>
      </c>
      <c r="E30" s="19">
        <f>SUMIF(Input!$D$5:$D$531,C30,Input!$R$5:$R$531)</f>
        <v>0</v>
      </c>
      <c r="F30" s="21">
        <f>SUMIF(Input!$D$5:$D$531,C30,Input!$T$5:$T$531)</f>
        <v>617000</v>
      </c>
      <c r="G30" s="21">
        <f t="shared" si="2"/>
        <v>617000</v>
      </c>
      <c r="H30" s="21">
        <f t="shared" si="0"/>
        <v>67870</v>
      </c>
      <c r="I30" s="21">
        <f t="shared" si="3"/>
        <v>6170</v>
      </c>
      <c r="J30" s="21">
        <f t="shared" si="1"/>
        <v>691040</v>
      </c>
      <c r="M30" s="39">
        <f t="shared" si="4"/>
        <v>246800</v>
      </c>
      <c r="N30" s="39"/>
      <c r="O30" s="39"/>
    </row>
    <row r="31" spans="2:15" x14ac:dyDescent="0.2">
      <c r="B31" s="17">
        <v>28</v>
      </c>
      <c r="C31" s="34">
        <f t="shared" si="5"/>
        <v>46170</v>
      </c>
      <c r="D31" s="37" t="s">
        <v>7</v>
      </c>
      <c r="E31" s="19">
        <f>SUMIF(Input!$D$5:$D$531,C31,Input!$R$5:$R$531)</f>
        <v>0</v>
      </c>
      <c r="F31" s="21">
        <f>SUMIF(Input!$D$5:$D$531,C31,Input!$T$5:$T$531)</f>
        <v>917000</v>
      </c>
      <c r="G31" s="21">
        <f t="shared" si="2"/>
        <v>917000</v>
      </c>
      <c r="H31" s="21">
        <f t="shared" si="0"/>
        <v>100870</v>
      </c>
      <c r="I31" s="21">
        <f t="shared" si="3"/>
        <v>9170</v>
      </c>
      <c r="J31" s="21">
        <f t="shared" si="1"/>
        <v>1027040</v>
      </c>
      <c r="M31" s="39">
        <f t="shared" si="4"/>
        <v>366800</v>
      </c>
      <c r="N31" s="39"/>
      <c r="O31" s="39"/>
    </row>
    <row r="32" spans="2:15" x14ac:dyDescent="0.2">
      <c r="B32" s="17">
        <v>29</v>
      </c>
      <c r="C32" s="34">
        <f t="shared" si="5"/>
        <v>46171</v>
      </c>
      <c r="D32" s="37" t="s">
        <v>8</v>
      </c>
      <c r="E32" s="19">
        <f>SUMIF(Input!$D$5:$D$531,C32,Input!$R$5:$R$531)</f>
        <v>0</v>
      </c>
      <c r="F32" s="21">
        <f>SUMIF(Input!$D$5:$D$531,C32,Input!$T$5:$T$531)</f>
        <v>1347000</v>
      </c>
      <c r="G32" s="21">
        <f t="shared" si="2"/>
        <v>1347000</v>
      </c>
      <c r="H32" s="21">
        <f t="shared" si="0"/>
        <v>148170</v>
      </c>
      <c r="I32" s="21">
        <f t="shared" si="3"/>
        <v>13470</v>
      </c>
      <c r="J32" s="21">
        <f t="shared" si="1"/>
        <v>1508640</v>
      </c>
      <c r="M32" s="39">
        <f t="shared" si="4"/>
        <v>538800</v>
      </c>
      <c r="N32" s="39"/>
      <c r="O32" s="39"/>
    </row>
    <row r="33" spans="2:15" x14ac:dyDescent="0.2">
      <c r="B33" s="17">
        <v>30</v>
      </c>
      <c r="C33" s="34">
        <f t="shared" si="5"/>
        <v>46172</v>
      </c>
      <c r="D33" s="37" t="s">
        <v>9</v>
      </c>
      <c r="E33" s="19">
        <f>SUMIF(Input!$D$5:$D$531,C33,Input!$R$5:$R$531)</f>
        <v>0</v>
      </c>
      <c r="F33" s="21">
        <f>SUMIF(Input!$D$5:$D$531,C33,Input!$T$5:$T$531)</f>
        <v>592000</v>
      </c>
      <c r="G33" s="21">
        <f t="shared" si="2"/>
        <v>592000</v>
      </c>
      <c r="H33" s="21">
        <f t="shared" si="0"/>
        <v>65120</v>
      </c>
      <c r="I33" s="21">
        <f t="shared" si="3"/>
        <v>5920</v>
      </c>
      <c r="J33" s="21">
        <f t="shared" si="1"/>
        <v>663040</v>
      </c>
      <c r="M33" s="39">
        <f t="shared" si="4"/>
        <v>236800</v>
      </c>
      <c r="N33" s="39"/>
      <c r="O33" s="39"/>
    </row>
    <row r="34" spans="2:15" x14ac:dyDescent="0.2">
      <c r="B34" s="17">
        <v>31</v>
      </c>
      <c r="C34" s="34">
        <f t="shared" si="5"/>
        <v>46173</v>
      </c>
      <c r="D34" s="37" t="s">
        <v>10</v>
      </c>
      <c r="E34" s="19">
        <f>SUMIF(Input!$D$5:$D$531,C34,Input!$R$5:$R$531)</f>
        <v>0</v>
      </c>
      <c r="F34" s="21">
        <f>SUMIF(Input!$D$5:$D$531,C34,Input!$T$5:$T$531)</f>
        <v>492000</v>
      </c>
      <c r="G34" s="21">
        <f t="shared" ref="G34" si="6">E34+F34</f>
        <v>492000</v>
      </c>
      <c r="H34" s="21">
        <f t="shared" ref="H34" si="7">G34*11%</f>
        <v>54120</v>
      </c>
      <c r="I34" s="21">
        <f t="shared" si="3"/>
        <v>4920</v>
      </c>
      <c r="J34" s="21">
        <f t="shared" ref="J34" si="8">G34+H34+I34</f>
        <v>551040</v>
      </c>
      <c r="M34" s="39">
        <f t="shared" si="4"/>
        <v>196800</v>
      </c>
      <c r="O34" s="39"/>
    </row>
    <row r="35" spans="2:15" x14ac:dyDescent="0.2">
      <c r="D35" s="37"/>
    </row>
    <row r="36" spans="2:15" x14ac:dyDescent="0.2">
      <c r="B36" s="17"/>
      <c r="C36" s="42" t="s">
        <v>2</v>
      </c>
      <c r="D36" s="37"/>
      <c r="E36" s="56">
        <f>SUM(E4:E35)</f>
        <v>0</v>
      </c>
      <c r="F36" s="56">
        <f>SUM(F4:F35)</f>
        <v>15550000</v>
      </c>
      <c r="G36" s="43">
        <f>SUM(G4:G35)</f>
        <v>15550000</v>
      </c>
      <c r="H36" s="43">
        <f t="shared" ref="H36" si="9">SUM(H4:H35)</f>
        <v>1710500</v>
      </c>
      <c r="I36" s="43">
        <f>SUM(I4:I35)</f>
        <v>155500</v>
      </c>
      <c r="J36" s="43">
        <f>SUM(J4:J35)</f>
        <v>17416000</v>
      </c>
      <c r="M36" s="53">
        <f>SUM(M4:M35)</f>
        <v>6220000</v>
      </c>
      <c r="N36" s="53"/>
    </row>
    <row r="37" spans="2:15" x14ac:dyDescent="0.2">
      <c r="D37" s="37"/>
      <c r="E37" s="57"/>
      <c r="F37" s="57"/>
      <c r="G37" s="39"/>
      <c r="H37" s="39"/>
      <c r="I37" s="39"/>
      <c r="J37" s="39"/>
    </row>
    <row r="38" spans="2:15" x14ac:dyDescent="0.2">
      <c r="H38" s="39"/>
    </row>
    <row r="39" spans="2:15" x14ac:dyDescent="0.2">
      <c r="C39" s="58"/>
      <c r="F39" s="44" t="s">
        <v>46</v>
      </c>
      <c r="G39" s="53">
        <f>G36*40%</f>
        <v>6220000</v>
      </c>
      <c r="I39" s="46"/>
    </row>
    <row r="40" spans="2:15" x14ac:dyDescent="0.2">
      <c r="G40" s="39"/>
    </row>
    <row r="42" spans="2:15" x14ac:dyDescent="0.2">
      <c r="G42" s="53"/>
      <c r="I42" s="39"/>
    </row>
  </sheetData>
  <sortState xmlns:xlrd2="http://schemas.microsoft.com/office/spreadsheetml/2017/richdata2" ref="B3:K64">
    <sortCondition ref="B3"/>
  </sortState>
  <printOptions horizontalCentered="1"/>
  <pageMargins left="0.11811023622047245" right="0.11811023622047245" top="0.15748031496062992" bottom="0.15748031496062992" header="0.31496062992125984" footer="0.31496062992125984"/>
  <pageSetup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D1048522"/>
  <sheetViews>
    <sheetView topLeftCell="J2" zoomScale="80" zoomScaleNormal="80" workbookViewId="0">
      <selection activeCell="AG5" sqref="AG5"/>
    </sheetView>
  </sheetViews>
  <sheetFormatPr defaultColWidth="9.140625" defaultRowHeight="15" x14ac:dyDescent="0.25"/>
  <cols>
    <col min="1" max="3" width="9.140625" style="22"/>
    <col min="4" max="4" width="9.42578125" style="22" bestFit="1" customWidth="1"/>
    <col min="5" max="7" width="8.7109375" style="22" customWidth="1"/>
    <col min="8" max="8" width="15.28515625" style="22" bestFit="1" customWidth="1"/>
    <col min="9" max="9" width="9.85546875" style="22" bestFit="1" customWidth="1"/>
    <col min="10" max="10" width="9.42578125" style="22" customWidth="1"/>
    <col min="11" max="11" width="13" style="22" bestFit="1" customWidth="1"/>
    <col min="12" max="12" width="6.28515625" style="22" customWidth="1"/>
    <col min="13" max="13" width="11.28515625" style="22" customWidth="1"/>
    <col min="14" max="14" width="4" style="22" customWidth="1"/>
    <col min="15" max="15" width="10.5703125" style="22" bestFit="1" customWidth="1"/>
    <col min="16" max="16" width="6.42578125" style="22" customWidth="1"/>
    <col min="17" max="17" width="8.7109375" style="22" customWidth="1"/>
    <col min="18" max="18" width="11" style="23" bestFit="1" customWidth="1"/>
    <col min="19" max="20" width="12.42578125" style="22" customWidth="1"/>
    <col min="21" max="21" width="12" style="23" bestFit="1" customWidth="1"/>
    <col min="22" max="22" width="11" style="22" bestFit="1" customWidth="1"/>
    <col min="23" max="23" width="9.140625" style="41" customWidth="1"/>
    <col min="24" max="24" width="10" style="41" customWidth="1"/>
    <col min="25" max="25" width="9.140625" style="41" customWidth="1"/>
    <col min="26" max="26" width="9.5703125" style="41" bestFit="1" customWidth="1"/>
    <col min="27" max="27" width="10.5703125" style="41" customWidth="1"/>
    <col min="28" max="30" width="9.140625" style="41" customWidth="1"/>
    <col min="31" max="31" width="9.5703125" style="41" customWidth="1"/>
    <col min="32" max="32" width="10.5703125" style="41" customWidth="1"/>
    <col min="33" max="33" width="9.140625" style="41" customWidth="1"/>
    <col min="34" max="34" width="15.42578125" style="41" customWidth="1"/>
    <col min="35" max="35" width="9.140625" style="41" customWidth="1"/>
    <col min="36" max="36" width="9.5703125" style="41" customWidth="1"/>
    <col min="37" max="37" width="10.5703125" style="41" customWidth="1"/>
    <col min="38" max="38" width="9.140625" style="41" customWidth="1"/>
    <col min="39" max="39" width="10.28515625" style="41" customWidth="1"/>
    <col min="40" max="40" width="9.140625" style="41" customWidth="1"/>
    <col min="41" max="41" width="9.5703125" style="41" customWidth="1"/>
    <col min="42" max="42" width="10.5703125" style="41" customWidth="1"/>
    <col min="43" max="45" width="9.140625" style="41" customWidth="1"/>
    <col min="46" max="46" width="9.5703125" style="41" bestFit="1" customWidth="1"/>
    <col min="47" max="47" width="10.5703125" style="41" bestFit="1" customWidth="1"/>
    <col min="48" max="50" width="9.140625" style="41" customWidth="1"/>
    <col min="51" max="51" width="9.5703125" style="41" bestFit="1" customWidth="1"/>
    <col min="52" max="52" width="11" style="41" customWidth="1"/>
    <col min="53" max="55" width="9.140625" style="41" customWidth="1"/>
    <col min="56" max="57" width="9.85546875" style="41" customWidth="1"/>
    <col min="58" max="82" width="9.140625" style="41" customWidth="1"/>
    <col min="83" max="16384" width="9.140625" style="22"/>
  </cols>
  <sheetData>
    <row r="1" spans="1:82" x14ac:dyDescent="0.25">
      <c r="W1" s="24"/>
      <c r="X1" s="22"/>
      <c r="Y1" s="25"/>
      <c r="Z1" s="22"/>
      <c r="AA1" s="22"/>
      <c r="AB1" s="24"/>
      <c r="AC1" s="22"/>
      <c r="AD1" s="25"/>
      <c r="AE1" s="22"/>
      <c r="AF1" s="22"/>
      <c r="AG1" s="24"/>
      <c r="AH1" s="22"/>
      <c r="AI1" s="25"/>
      <c r="AJ1" s="22"/>
      <c r="AK1" s="22"/>
      <c r="AL1" s="24"/>
      <c r="AM1" s="22"/>
      <c r="AN1" s="25"/>
      <c r="AO1" s="22"/>
      <c r="AP1" s="22"/>
      <c r="AQ1" s="24"/>
      <c r="AR1" s="22"/>
      <c r="AS1" s="25"/>
      <c r="AT1" s="22"/>
      <c r="AU1" s="22"/>
      <c r="AV1" s="24"/>
      <c r="AW1" s="22"/>
      <c r="AX1" s="25"/>
      <c r="AY1" s="22"/>
      <c r="AZ1" s="22"/>
      <c r="BA1" s="24"/>
      <c r="BB1" s="22"/>
      <c r="BC1" s="25"/>
      <c r="BD1" s="22"/>
      <c r="BE1" s="22"/>
      <c r="BF1" s="24"/>
      <c r="BG1" s="22"/>
      <c r="BH1" s="25"/>
      <c r="BI1" s="22"/>
      <c r="BJ1" s="22"/>
      <c r="BK1" s="24"/>
      <c r="BL1" s="22"/>
      <c r="BM1" s="25"/>
      <c r="BN1" s="22"/>
      <c r="BO1" s="22"/>
      <c r="BP1" s="24"/>
      <c r="BQ1" s="22"/>
      <c r="BR1" s="25"/>
      <c r="BS1" s="22"/>
      <c r="BT1" s="22"/>
      <c r="BU1" s="24"/>
      <c r="BV1" s="22"/>
      <c r="BW1" s="25"/>
      <c r="BX1" s="22"/>
      <c r="BY1" s="22"/>
      <c r="BZ1" s="24"/>
      <c r="CA1" s="22"/>
      <c r="CB1" s="25"/>
      <c r="CC1" s="22"/>
      <c r="CD1" s="22"/>
    </row>
    <row r="2" spans="1:82" ht="12.75" x14ac:dyDescent="0.2">
      <c r="C2" s="26">
        <v>1</v>
      </c>
      <c r="D2" s="26">
        <f>C2+1</f>
        <v>2</v>
      </c>
      <c r="E2" s="26">
        <f t="shared" ref="E2:BI2" si="0">D2+1</f>
        <v>3</v>
      </c>
      <c r="F2" s="26">
        <f t="shared" si="0"/>
        <v>4</v>
      </c>
      <c r="G2" s="26">
        <f t="shared" si="0"/>
        <v>5</v>
      </c>
      <c r="H2" s="26">
        <f t="shared" si="0"/>
        <v>6</v>
      </c>
      <c r="I2" s="26">
        <f t="shared" si="0"/>
        <v>7</v>
      </c>
      <c r="J2" s="26">
        <f t="shared" si="0"/>
        <v>8</v>
      </c>
      <c r="K2" s="26">
        <f t="shared" si="0"/>
        <v>9</v>
      </c>
      <c r="L2" s="26">
        <f>K2+1</f>
        <v>10</v>
      </c>
      <c r="M2" s="26">
        <f t="shared" ref="M2" si="1">L2+1</f>
        <v>11</v>
      </c>
      <c r="N2" s="26">
        <f t="shared" ref="N2" si="2">M2+1</f>
        <v>12</v>
      </c>
      <c r="O2" s="26">
        <f t="shared" ref="O2" si="3">N2+1</f>
        <v>13</v>
      </c>
      <c r="P2" s="26">
        <f t="shared" ref="P2" si="4">O2+1</f>
        <v>14</v>
      </c>
      <c r="Q2" s="26">
        <f t="shared" ref="Q2" si="5">P2+1</f>
        <v>15</v>
      </c>
      <c r="R2" s="26">
        <f t="shared" ref="R2" si="6">Q2+1</f>
        <v>16</v>
      </c>
      <c r="S2" s="26">
        <f t="shared" si="0"/>
        <v>17</v>
      </c>
      <c r="T2" s="26">
        <f t="shared" si="0"/>
        <v>18</v>
      </c>
      <c r="U2" s="26">
        <f t="shared" si="0"/>
        <v>19</v>
      </c>
      <c r="V2" s="26">
        <f>T2+1</f>
        <v>19</v>
      </c>
      <c r="W2" s="27">
        <f t="shared" si="0"/>
        <v>20</v>
      </c>
      <c r="X2" s="26">
        <f t="shared" si="0"/>
        <v>21</v>
      </c>
      <c r="Y2" s="28">
        <f t="shared" si="0"/>
        <v>22</v>
      </c>
      <c r="Z2" s="26">
        <f t="shared" si="0"/>
        <v>23</v>
      </c>
      <c r="AA2" s="26">
        <f t="shared" si="0"/>
        <v>24</v>
      </c>
      <c r="AB2" s="27">
        <f t="shared" si="0"/>
        <v>25</v>
      </c>
      <c r="AC2" s="26">
        <f t="shared" si="0"/>
        <v>26</v>
      </c>
      <c r="AD2" s="28">
        <f t="shared" si="0"/>
        <v>27</v>
      </c>
      <c r="AE2" s="26">
        <f t="shared" si="0"/>
        <v>28</v>
      </c>
      <c r="AF2" s="26">
        <f t="shared" si="0"/>
        <v>29</v>
      </c>
      <c r="AG2" s="27">
        <f t="shared" si="0"/>
        <v>30</v>
      </c>
      <c r="AH2" s="26">
        <f t="shared" si="0"/>
        <v>31</v>
      </c>
      <c r="AI2" s="28">
        <f t="shared" si="0"/>
        <v>32</v>
      </c>
      <c r="AJ2" s="26">
        <f t="shared" si="0"/>
        <v>33</v>
      </c>
      <c r="AK2" s="26">
        <f t="shared" si="0"/>
        <v>34</v>
      </c>
      <c r="AL2" s="27">
        <f t="shared" si="0"/>
        <v>35</v>
      </c>
      <c r="AM2" s="26">
        <f t="shared" si="0"/>
        <v>36</v>
      </c>
      <c r="AN2" s="28">
        <f t="shared" si="0"/>
        <v>37</v>
      </c>
      <c r="AO2" s="26">
        <f t="shared" si="0"/>
        <v>38</v>
      </c>
      <c r="AP2" s="26">
        <f t="shared" si="0"/>
        <v>39</v>
      </c>
      <c r="AQ2" s="27">
        <f t="shared" si="0"/>
        <v>40</v>
      </c>
      <c r="AR2" s="26">
        <f t="shared" si="0"/>
        <v>41</v>
      </c>
      <c r="AS2" s="28">
        <f t="shared" si="0"/>
        <v>42</v>
      </c>
      <c r="AT2" s="26">
        <f t="shared" si="0"/>
        <v>43</v>
      </c>
      <c r="AU2" s="26">
        <f t="shared" si="0"/>
        <v>44</v>
      </c>
      <c r="AV2" s="27">
        <f t="shared" si="0"/>
        <v>45</v>
      </c>
      <c r="AW2" s="26">
        <f t="shared" si="0"/>
        <v>46</v>
      </c>
      <c r="AX2" s="28">
        <f t="shared" si="0"/>
        <v>47</v>
      </c>
      <c r="AY2" s="26">
        <f t="shared" si="0"/>
        <v>48</v>
      </c>
      <c r="AZ2" s="26">
        <f t="shared" si="0"/>
        <v>49</v>
      </c>
      <c r="BA2" s="27">
        <f t="shared" si="0"/>
        <v>50</v>
      </c>
      <c r="BB2" s="26">
        <f t="shared" si="0"/>
        <v>51</v>
      </c>
      <c r="BC2" s="28">
        <f t="shared" si="0"/>
        <v>52</v>
      </c>
      <c r="BD2" s="26">
        <f t="shared" si="0"/>
        <v>53</v>
      </c>
      <c r="BE2" s="26">
        <f t="shared" si="0"/>
        <v>54</v>
      </c>
      <c r="BF2" s="27">
        <f t="shared" si="0"/>
        <v>55</v>
      </c>
      <c r="BG2" s="26">
        <f t="shared" si="0"/>
        <v>56</v>
      </c>
      <c r="BH2" s="28">
        <f t="shared" si="0"/>
        <v>57</v>
      </c>
      <c r="BI2" s="26">
        <f t="shared" si="0"/>
        <v>58</v>
      </c>
      <c r="BJ2" s="26">
        <f t="shared" ref="BJ2:CD2" si="7">BI2+1</f>
        <v>59</v>
      </c>
      <c r="BK2" s="27">
        <f t="shared" si="7"/>
        <v>60</v>
      </c>
      <c r="BL2" s="26">
        <f t="shared" si="7"/>
        <v>61</v>
      </c>
      <c r="BM2" s="28">
        <f t="shared" si="7"/>
        <v>62</v>
      </c>
      <c r="BN2" s="26">
        <f t="shared" si="7"/>
        <v>63</v>
      </c>
      <c r="BO2" s="26">
        <f t="shared" si="7"/>
        <v>64</v>
      </c>
      <c r="BP2" s="27">
        <f t="shared" si="7"/>
        <v>65</v>
      </c>
      <c r="BQ2" s="26">
        <f t="shared" si="7"/>
        <v>66</v>
      </c>
      <c r="BR2" s="28">
        <f t="shared" si="7"/>
        <v>67</v>
      </c>
      <c r="BS2" s="26">
        <f t="shared" si="7"/>
        <v>68</v>
      </c>
      <c r="BT2" s="26">
        <f t="shared" si="7"/>
        <v>69</v>
      </c>
      <c r="BU2" s="27">
        <f t="shared" si="7"/>
        <v>70</v>
      </c>
      <c r="BV2" s="26">
        <f t="shared" si="7"/>
        <v>71</v>
      </c>
      <c r="BW2" s="28">
        <f t="shared" si="7"/>
        <v>72</v>
      </c>
      <c r="BX2" s="26">
        <f t="shared" si="7"/>
        <v>73</v>
      </c>
      <c r="BY2" s="26">
        <f t="shared" si="7"/>
        <v>74</v>
      </c>
      <c r="BZ2" s="27">
        <f t="shared" si="7"/>
        <v>75</v>
      </c>
      <c r="CA2" s="26">
        <f t="shared" si="7"/>
        <v>76</v>
      </c>
      <c r="CB2" s="28">
        <f t="shared" si="7"/>
        <v>77</v>
      </c>
      <c r="CC2" s="26">
        <f t="shared" si="7"/>
        <v>78</v>
      </c>
      <c r="CD2" s="26">
        <f t="shared" si="7"/>
        <v>79</v>
      </c>
    </row>
    <row r="3" spans="1:82" ht="15" customHeight="1" x14ac:dyDescent="0.2">
      <c r="D3" s="79" t="s">
        <v>0</v>
      </c>
      <c r="E3" s="79" t="s">
        <v>39</v>
      </c>
      <c r="F3" s="79"/>
      <c r="G3" s="79"/>
      <c r="H3" s="79" t="s">
        <v>40</v>
      </c>
      <c r="I3" s="79"/>
      <c r="J3" s="79" t="s">
        <v>4</v>
      </c>
      <c r="K3" s="29" t="s">
        <v>18</v>
      </c>
      <c r="L3" s="79" t="s">
        <v>1</v>
      </c>
      <c r="M3" s="79" t="s">
        <v>3</v>
      </c>
      <c r="N3" s="79" t="s">
        <v>34</v>
      </c>
      <c r="O3" s="79"/>
      <c r="P3" s="79" t="s">
        <v>14</v>
      </c>
      <c r="Q3" s="79"/>
      <c r="R3" s="78" t="s">
        <v>35</v>
      </c>
      <c r="S3" s="79" t="s">
        <v>16</v>
      </c>
      <c r="T3" s="79"/>
      <c r="U3" s="78" t="s">
        <v>36</v>
      </c>
      <c r="W3" s="30" t="s">
        <v>28</v>
      </c>
      <c r="X3" s="17"/>
      <c r="Y3" s="13"/>
      <c r="Z3" s="17"/>
      <c r="AA3" s="17"/>
      <c r="AB3" s="16"/>
      <c r="AC3" s="17"/>
      <c r="AD3" s="13"/>
      <c r="AE3" s="17"/>
      <c r="AF3" s="17"/>
      <c r="AG3" s="16"/>
      <c r="AH3" s="17"/>
      <c r="AI3" s="13"/>
      <c r="AJ3" s="17"/>
      <c r="AK3" s="17"/>
      <c r="AL3" s="16"/>
      <c r="AM3" s="17"/>
      <c r="AN3" s="13"/>
      <c r="AO3" s="17"/>
      <c r="AP3" s="17"/>
      <c r="AQ3" s="30" t="s">
        <v>30</v>
      </c>
      <c r="AR3" s="17"/>
      <c r="AS3" s="13"/>
      <c r="AT3" s="17"/>
      <c r="AU3" s="17"/>
      <c r="AV3" s="16"/>
      <c r="AW3" s="17"/>
      <c r="AX3" s="13"/>
      <c r="AY3" s="17"/>
      <c r="AZ3" s="17"/>
      <c r="BA3" s="16"/>
      <c r="BB3" s="17"/>
      <c r="BC3" s="13"/>
      <c r="BD3" s="17"/>
      <c r="BE3" s="17"/>
      <c r="BF3" s="16"/>
      <c r="BG3" s="17"/>
      <c r="BH3" s="13"/>
      <c r="BI3" s="17"/>
      <c r="BJ3" s="17"/>
      <c r="BK3" s="30" t="s">
        <v>27</v>
      </c>
      <c r="BL3" s="17"/>
      <c r="BM3" s="13"/>
      <c r="BN3" s="17"/>
      <c r="BO3" s="17"/>
      <c r="BP3" s="16"/>
      <c r="BQ3" s="17"/>
      <c r="BR3" s="13"/>
      <c r="BS3" s="17"/>
      <c r="BT3" s="17"/>
      <c r="BU3" s="16"/>
      <c r="BV3" s="17"/>
      <c r="BW3" s="13"/>
      <c r="BX3" s="17"/>
      <c r="BY3" s="17"/>
      <c r="BZ3" s="16"/>
      <c r="CA3" s="17"/>
      <c r="CB3" s="13"/>
      <c r="CC3" s="17"/>
      <c r="CD3" s="17"/>
    </row>
    <row r="4" spans="1:82" ht="12.75" x14ac:dyDescent="0.2">
      <c r="D4" s="79"/>
      <c r="E4" s="29" t="s">
        <v>0</v>
      </c>
      <c r="F4" s="29" t="s">
        <v>31</v>
      </c>
      <c r="G4" s="29" t="s">
        <v>32</v>
      </c>
      <c r="H4" s="29" t="s">
        <v>29</v>
      </c>
      <c r="I4" s="29" t="s">
        <v>0</v>
      </c>
      <c r="J4" s="79"/>
      <c r="K4" s="29"/>
      <c r="L4" s="79"/>
      <c r="M4" s="79"/>
      <c r="N4" s="29" t="s">
        <v>15</v>
      </c>
      <c r="O4" s="29" t="s">
        <v>2</v>
      </c>
      <c r="P4" s="29" t="s">
        <v>15</v>
      </c>
      <c r="Q4" s="29" t="s">
        <v>2</v>
      </c>
      <c r="R4" s="78"/>
      <c r="S4" s="29" t="s">
        <v>15</v>
      </c>
      <c r="T4" s="29" t="s">
        <v>20</v>
      </c>
      <c r="U4" s="78"/>
      <c r="V4" s="22">
        <v>1</v>
      </c>
      <c r="W4" s="30" t="s">
        <v>29</v>
      </c>
      <c r="X4" s="29" t="s">
        <v>18</v>
      </c>
      <c r="Y4" s="31" t="s">
        <v>15</v>
      </c>
      <c r="Z4" s="29" t="s">
        <v>19</v>
      </c>
      <c r="AA4" s="29" t="s">
        <v>20</v>
      </c>
      <c r="AB4" s="30" t="s">
        <v>29</v>
      </c>
      <c r="AC4" s="29" t="s">
        <v>18</v>
      </c>
      <c r="AD4" s="31" t="s">
        <v>15</v>
      </c>
      <c r="AE4" s="29" t="s">
        <v>19</v>
      </c>
      <c r="AF4" s="29" t="s">
        <v>20</v>
      </c>
      <c r="AG4" s="30" t="s">
        <v>29</v>
      </c>
      <c r="AH4" s="29" t="s">
        <v>18</v>
      </c>
      <c r="AI4" s="31" t="s">
        <v>15</v>
      </c>
      <c r="AJ4" s="29" t="s">
        <v>19</v>
      </c>
      <c r="AK4" s="29" t="s">
        <v>20</v>
      </c>
      <c r="AL4" s="30" t="s">
        <v>29</v>
      </c>
      <c r="AM4" s="29" t="s">
        <v>18</v>
      </c>
      <c r="AN4" s="31" t="s">
        <v>15</v>
      </c>
      <c r="AO4" s="29" t="s">
        <v>19</v>
      </c>
      <c r="AP4" s="29" t="s">
        <v>20</v>
      </c>
      <c r="AQ4" s="30" t="s">
        <v>29</v>
      </c>
      <c r="AR4" s="29" t="s">
        <v>18</v>
      </c>
      <c r="AS4" s="31" t="s">
        <v>15</v>
      </c>
      <c r="AT4" s="29" t="s">
        <v>19</v>
      </c>
      <c r="AU4" s="29" t="s">
        <v>20</v>
      </c>
      <c r="AV4" s="30" t="s">
        <v>29</v>
      </c>
      <c r="AW4" s="29" t="s">
        <v>18</v>
      </c>
      <c r="AX4" s="31" t="s">
        <v>15</v>
      </c>
      <c r="AY4" s="29" t="s">
        <v>19</v>
      </c>
      <c r="AZ4" s="29" t="s">
        <v>20</v>
      </c>
      <c r="BA4" s="30" t="s">
        <v>29</v>
      </c>
      <c r="BB4" s="29" t="s">
        <v>18</v>
      </c>
      <c r="BC4" s="31" t="s">
        <v>15</v>
      </c>
      <c r="BD4" s="29" t="s">
        <v>19</v>
      </c>
      <c r="BE4" s="29" t="s">
        <v>20</v>
      </c>
      <c r="BF4" s="30" t="s">
        <v>29</v>
      </c>
      <c r="BG4" s="29" t="s">
        <v>18</v>
      </c>
      <c r="BH4" s="31" t="s">
        <v>15</v>
      </c>
      <c r="BI4" s="29" t="s">
        <v>19</v>
      </c>
      <c r="BJ4" s="29" t="s">
        <v>20</v>
      </c>
      <c r="BK4" s="30" t="s">
        <v>29</v>
      </c>
      <c r="BL4" s="29" t="s">
        <v>18</v>
      </c>
      <c r="BM4" s="31" t="s">
        <v>15</v>
      </c>
      <c r="BN4" s="29" t="s">
        <v>19</v>
      </c>
      <c r="BO4" s="29" t="s">
        <v>20</v>
      </c>
      <c r="BP4" s="30" t="s">
        <v>29</v>
      </c>
      <c r="BQ4" s="29" t="s">
        <v>18</v>
      </c>
      <c r="BR4" s="31" t="s">
        <v>15</v>
      </c>
      <c r="BS4" s="29" t="s">
        <v>19</v>
      </c>
      <c r="BT4" s="29" t="s">
        <v>20</v>
      </c>
      <c r="BU4" s="30" t="s">
        <v>29</v>
      </c>
      <c r="BV4" s="29" t="s">
        <v>18</v>
      </c>
      <c r="BW4" s="31" t="s">
        <v>15</v>
      </c>
      <c r="BX4" s="29" t="s">
        <v>19</v>
      </c>
      <c r="BY4" s="29" t="s">
        <v>20</v>
      </c>
      <c r="BZ4" s="30" t="s">
        <v>29</v>
      </c>
      <c r="CA4" s="29" t="s">
        <v>18</v>
      </c>
      <c r="CB4" s="31" t="s">
        <v>15</v>
      </c>
      <c r="CC4" s="29" t="s">
        <v>19</v>
      </c>
      <c r="CD4" s="29" t="s">
        <v>20</v>
      </c>
    </row>
    <row r="5" spans="1:82" ht="13.5" x14ac:dyDescent="0.25">
      <c r="A5" s="32" t="str">
        <f>CONCATENATE(F5,"-",E5,"-20",G5)</f>
        <v>05-'01-2026</v>
      </c>
      <c r="B5" s="33">
        <v>1</v>
      </c>
      <c r="C5" s="22">
        <v>1</v>
      </c>
      <c r="D5" s="34">
        <v>46143</v>
      </c>
      <c r="E5" s="35" t="s">
        <v>55</v>
      </c>
      <c r="F5" s="35" t="s">
        <v>202</v>
      </c>
      <c r="G5" s="52" t="s">
        <v>81</v>
      </c>
      <c r="H5" s="36" t="str">
        <f>CONCATENATE("RJ","-",E5,F5,G5,"-",B5)</f>
        <v>RJ-'010526-1</v>
      </c>
      <c r="I5" s="36" t="str">
        <f>CONCATENATE(E5,"-",F5,"-20",G5)</f>
        <v>'01-05-2026</v>
      </c>
      <c r="J5" s="37" t="str">
        <f>VLOOKUP(D5,Laporan!$C$4:$D$34,2,0)</f>
        <v>Jumat</v>
      </c>
      <c r="K5" s="48"/>
      <c r="L5" s="13" t="s">
        <v>33</v>
      </c>
      <c r="M5" s="19">
        <f>SUMIF('DATABASE Room'!$B$3:$B$7,L5,'DATABASE Room'!$D$3:$D$7)</f>
        <v>0</v>
      </c>
      <c r="N5" s="13">
        <v>1</v>
      </c>
      <c r="O5" s="21">
        <f>N5*M5</f>
        <v>0</v>
      </c>
      <c r="P5" s="38"/>
      <c r="Q5" s="19">
        <f>P5*M5</f>
        <v>0</v>
      </c>
      <c r="R5" s="21">
        <f t="shared" ref="R5" si="8">O5+Q5</f>
        <v>0</v>
      </c>
      <c r="S5" s="19">
        <f t="shared" ref="S5" si="9">SUMIF($W$4:$CD$4,$S$4,W5:CD5)</f>
        <v>5</v>
      </c>
      <c r="T5" s="19">
        <f t="shared" ref="T5" si="10">SUMIF($W$4:$CD$4,$T$4,W5:CD5)</f>
        <v>145000</v>
      </c>
      <c r="U5" s="21">
        <f>R5+T5</f>
        <v>145000</v>
      </c>
      <c r="V5" s="39"/>
      <c r="W5" s="16">
        <v>42</v>
      </c>
      <c r="X5" s="17" t="str">
        <f>VLOOKUP(W5,'DATABASE F&amp;B'!$C$3:$F$216,2,0)</f>
        <v>SOJU JINRO ORI</v>
      </c>
      <c r="Y5" s="18">
        <v>1</v>
      </c>
      <c r="Z5" s="19">
        <f>VLOOKUP(W5,'DATABASE F&amp;B'!$C$3:$F$216,4,0)</f>
        <v>145000</v>
      </c>
      <c r="AA5" s="19">
        <f t="shared" ref="AA5" si="11">Y5*Z5</f>
        <v>145000</v>
      </c>
      <c r="AB5" s="16"/>
      <c r="AC5" s="17">
        <f>VLOOKUP(AB5,'DATABASE F&amp;B'!$C$3:$F$216,2,0)</f>
        <v>0</v>
      </c>
      <c r="AD5" s="18">
        <v>1</v>
      </c>
      <c r="AE5" s="19">
        <f>VLOOKUP(AB5,'DATABASE F&amp;B'!$C$3:$F$216,4,0)</f>
        <v>0</v>
      </c>
      <c r="AF5" s="19">
        <f>AD5*AE5</f>
        <v>0</v>
      </c>
      <c r="AG5" s="16"/>
      <c r="AH5" s="17">
        <f>VLOOKUP(AG5,'DATABASE F&amp;B'!$C$3:$F$216,2,0)</f>
        <v>0</v>
      </c>
      <c r="AI5" s="18">
        <v>1</v>
      </c>
      <c r="AJ5" s="19">
        <f>VLOOKUP(AG5,'DATABASE F&amp;B'!$C$3:$F$216,4,0)</f>
        <v>0</v>
      </c>
      <c r="AK5" s="19">
        <f t="shared" ref="AK5" si="12">AI5*AJ5</f>
        <v>0</v>
      </c>
      <c r="AL5" s="75"/>
      <c r="AM5" s="17">
        <f>VLOOKUP(AL5,'DATABASE F&amp;B'!$C$3:$F$216,2,0)</f>
        <v>0</v>
      </c>
      <c r="AN5" s="18">
        <v>1</v>
      </c>
      <c r="AO5" s="19">
        <f>VLOOKUP(AL5,'DATABASE F&amp;B'!$C$3:$F$216,4,0)</f>
        <v>0</v>
      </c>
      <c r="AP5" s="19">
        <f t="shared" ref="AP5" si="13">AN5*AO5</f>
        <v>0</v>
      </c>
      <c r="AQ5" s="75"/>
      <c r="AR5" s="17">
        <f>VLOOKUP(AQ5,'DATABASE F&amp;B'!$C$3:$F$216,2,0)</f>
        <v>0</v>
      </c>
      <c r="AS5" s="18">
        <v>1</v>
      </c>
      <c r="AT5" s="19">
        <f>VLOOKUP(AQ5,'DATABASE F&amp;B'!$C$3:$F$216,4,0)</f>
        <v>0</v>
      </c>
      <c r="AU5" s="19">
        <f t="shared" ref="AU5" si="14">AS5*AT5</f>
        <v>0</v>
      </c>
      <c r="AV5" s="16"/>
      <c r="AW5" s="17">
        <f>VLOOKUP(AV5,'DATABASE F&amp;B'!$C$3:$F$216,2,0)</f>
        <v>0</v>
      </c>
      <c r="AX5" s="18"/>
      <c r="AY5" s="19">
        <f>VLOOKUP(AV5,'DATABASE F&amp;B'!$C$3:$F$216,4,0)</f>
        <v>0</v>
      </c>
      <c r="AZ5" s="19">
        <f t="shared" ref="AZ5" si="15">AX5*AY5</f>
        <v>0</v>
      </c>
      <c r="BA5" s="16"/>
      <c r="BB5" s="17">
        <f>VLOOKUP(BA5,'DATABASE F&amp;B'!$C$3:$F$216,2,0)</f>
        <v>0</v>
      </c>
      <c r="BC5" s="18"/>
      <c r="BD5" s="19">
        <f>VLOOKUP(BA5,'DATABASE F&amp;B'!$C$3:$F$216,4,0)</f>
        <v>0</v>
      </c>
      <c r="BE5" s="19">
        <f t="shared" ref="BE5" si="16">BC5*BD5</f>
        <v>0</v>
      </c>
      <c r="BF5" s="16"/>
      <c r="BG5" s="17">
        <f>VLOOKUP(BF5,'DATABASE F&amp;B'!$C$3:$F$216,2,0)</f>
        <v>0</v>
      </c>
      <c r="BH5" s="18"/>
      <c r="BI5" s="19">
        <f>VLOOKUP(BF5,'DATABASE F&amp;B'!$C$3:$F$216,4,0)</f>
        <v>0</v>
      </c>
      <c r="BJ5" s="19">
        <f t="shared" ref="BJ5" si="17">BH5*BI5</f>
        <v>0</v>
      </c>
      <c r="BK5" s="16"/>
      <c r="BL5" s="17">
        <f>VLOOKUP(BK5,'DATABASE F&amp;B'!$C$3:$F$210,2,0)</f>
        <v>0</v>
      </c>
      <c r="BM5" s="18"/>
      <c r="BN5" s="19">
        <f>VLOOKUP(BK5,'DATABASE F&amp;B'!$C$3:$F$210,4,0)</f>
        <v>0</v>
      </c>
      <c r="BO5" s="19">
        <f t="shared" ref="BO5" si="18">BM5*BN5</f>
        <v>0</v>
      </c>
      <c r="BP5" s="16"/>
      <c r="BQ5" s="17">
        <f>VLOOKUP(BP5,'DATABASE F&amp;B'!$C$3:$F$210,2,0)</f>
        <v>0</v>
      </c>
      <c r="BR5" s="18"/>
      <c r="BS5" s="19">
        <f>VLOOKUP(BP5,'DATABASE F&amp;B'!$C$3:$F$210,4,0)</f>
        <v>0</v>
      </c>
      <c r="BT5" s="19">
        <f t="shared" ref="BT5" si="19">BR5*BS5</f>
        <v>0</v>
      </c>
      <c r="BU5" s="16"/>
      <c r="BV5" s="17">
        <f>VLOOKUP(BU5,'DATABASE F&amp;B'!$C$3:$F$210,2,0)</f>
        <v>0</v>
      </c>
      <c r="BW5" s="18"/>
      <c r="BX5" s="19">
        <f>VLOOKUP(BU5,'DATABASE F&amp;B'!$C$3:$F$210,4,0)</f>
        <v>0</v>
      </c>
      <c r="BY5" s="19">
        <f t="shared" ref="BY5" si="20">BW5*BX5</f>
        <v>0</v>
      </c>
      <c r="BZ5" s="16"/>
      <c r="CA5" s="17">
        <f>VLOOKUP(BZ5,'DATABASE F&amp;B'!$C$3:$F$210,2,0)</f>
        <v>0</v>
      </c>
      <c r="CB5" s="18"/>
      <c r="CC5" s="19">
        <f>VLOOKUP(BZ5,'DATABASE F&amp;B'!$C$3:$F$210,4,0)</f>
        <v>0</v>
      </c>
      <c r="CD5" s="19">
        <f t="shared" ref="CD5" si="21">CB5*CC5</f>
        <v>0</v>
      </c>
    </row>
    <row r="6" spans="1:82" ht="13.5" x14ac:dyDescent="0.25">
      <c r="A6" s="32" t="str">
        <f t="shared" ref="A6:A11" si="22">CONCATENATE(F6,"-",E6,"-20",G6)</f>
        <v>05-'01-2026</v>
      </c>
      <c r="B6" s="22">
        <f>B5+1</f>
        <v>2</v>
      </c>
      <c r="C6" s="22">
        <f>C5+1</f>
        <v>2</v>
      </c>
      <c r="D6" s="34">
        <v>46143</v>
      </c>
      <c r="E6" s="35" t="s">
        <v>55</v>
      </c>
      <c r="F6" s="35" t="s">
        <v>202</v>
      </c>
      <c r="G6" s="52" t="s">
        <v>81</v>
      </c>
      <c r="H6" s="36" t="str">
        <f t="shared" ref="H6:H69" si="23">CONCATENATE("RJ","-",E6,F6,G6,"-",B6)</f>
        <v>RJ-'010526-2</v>
      </c>
      <c r="I6" s="36" t="str">
        <f t="shared" ref="I6:I11" si="24">CONCATENATE(E6,"-",F6,"-20",G6)</f>
        <v>'01-05-2026</v>
      </c>
      <c r="J6" s="37" t="str">
        <f>VLOOKUP(D6,Laporan!$C$4:$D$34,2,0)</f>
        <v>Jumat</v>
      </c>
      <c r="K6" s="48"/>
      <c r="L6" s="13" t="s">
        <v>33</v>
      </c>
      <c r="M6" s="19">
        <f>SUMIF('DATABASE Room'!$B$3:$B$7,L6,'DATABASE Room'!$D$3:$D$7)</f>
        <v>0</v>
      </c>
      <c r="N6" s="13">
        <v>1</v>
      </c>
      <c r="O6" s="21">
        <f t="shared" ref="O6:O11" si="25">N6*M6</f>
        <v>0</v>
      </c>
      <c r="P6" s="38"/>
      <c r="Q6" s="19">
        <f t="shared" ref="Q6:Q11" si="26">P6*M6</f>
        <v>0</v>
      </c>
      <c r="R6" s="21">
        <f t="shared" ref="R6:R11" si="27">O6+Q6</f>
        <v>0</v>
      </c>
      <c r="S6" s="19">
        <f t="shared" ref="S6:S11" si="28">SUMIF($W$4:$CD$4,$S$4,W6:CD6)</f>
        <v>5</v>
      </c>
      <c r="T6" s="19">
        <f t="shared" ref="T6:T11" si="29">SUMIF($W$4:$CD$4,$T$4,W6:CD6)</f>
        <v>107000</v>
      </c>
      <c r="U6" s="21">
        <f t="shared" ref="U6:U11" si="30">R6+T6</f>
        <v>107000</v>
      </c>
      <c r="V6" s="39"/>
      <c r="W6" s="16">
        <v>95</v>
      </c>
      <c r="X6" s="17" t="str">
        <f>VLOOKUP(W6,'DATABASE F&amp;B'!$C$3:$F$216,2,0)</f>
        <v>MARLBORO RED</v>
      </c>
      <c r="Y6" s="18">
        <v>1</v>
      </c>
      <c r="Z6" s="19">
        <f>VLOOKUP(W6,'DATABASE F&amp;B'!$C$3:$F$216,4,0)</f>
        <v>75000</v>
      </c>
      <c r="AA6" s="19">
        <f t="shared" ref="AA6:AA11" si="31">Y6*Z6</f>
        <v>75000</v>
      </c>
      <c r="AB6" s="16">
        <v>20</v>
      </c>
      <c r="AC6" s="17" t="str">
        <f>VLOOKUP(AB6,'DATABASE F&amp;B'!$C$3:$F$216,2,0)</f>
        <v>NASI SAPI ASAP DABU MATAH</v>
      </c>
      <c r="AD6" s="18">
        <v>1</v>
      </c>
      <c r="AE6" s="19">
        <f>VLOOKUP(AB6,'DATABASE F&amp;B'!$C$3:$F$216,4,0)</f>
        <v>32000</v>
      </c>
      <c r="AF6" s="19">
        <f t="shared" ref="AF6:AF11" si="32">AD6*AE6</f>
        <v>32000</v>
      </c>
      <c r="AG6" s="16"/>
      <c r="AH6" s="17">
        <f>VLOOKUP(AG6,'DATABASE F&amp;B'!$C$3:$F$216,2,0)</f>
        <v>0</v>
      </c>
      <c r="AI6" s="18">
        <v>1</v>
      </c>
      <c r="AJ6" s="19">
        <f>VLOOKUP(AG6,'DATABASE F&amp;B'!$C$3:$F$216,4,0)</f>
        <v>0</v>
      </c>
      <c r="AK6" s="19">
        <f t="shared" ref="AK6:AK11" si="33">AI6*AJ6</f>
        <v>0</v>
      </c>
      <c r="AL6" s="16"/>
      <c r="AM6" s="17">
        <f>VLOOKUP(AL6,'DATABASE F&amp;B'!$C$3:$F$216,2,0)</f>
        <v>0</v>
      </c>
      <c r="AN6" s="18">
        <v>1</v>
      </c>
      <c r="AO6" s="19">
        <f>VLOOKUP(AL6,'DATABASE F&amp;B'!$C$3:$F$216,4,0)</f>
        <v>0</v>
      </c>
      <c r="AP6" s="19">
        <f t="shared" ref="AP6:AP11" si="34">AN6*AO6</f>
        <v>0</v>
      </c>
      <c r="AQ6" s="16"/>
      <c r="AR6" s="17">
        <f>VLOOKUP(AQ6,'DATABASE F&amp;B'!$C$3:$F$216,2,0)</f>
        <v>0</v>
      </c>
      <c r="AS6" s="18">
        <v>1</v>
      </c>
      <c r="AT6" s="19">
        <f>VLOOKUP(AQ6,'DATABASE F&amp;B'!$C$3:$F$216,4,0)</f>
        <v>0</v>
      </c>
      <c r="AU6" s="19">
        <f t="shared" ref="AU6:AU11" si="35">AS6*AT6</f>
        <v>0</v>
      </c>
      <c r="AV6" s="16"/>
      <c r="AW6" s="17">
        <f>VLOOKUP(AV6,'DATABASE F&amp;B'!$C$3:$F$216,2,0)</f>
        <v>0</v>
      </c>
      <c r="AX6" s="18"/>
      <c r="AY6" s="19">
        <f>VLOOKUP(AV6,'DATABASE F&amp;B'!$C$3:$F$216,4,0)</f>
        <v>0</v>
      </c>
      <c r="AZ6" s="19">
        <f t="shared" ref="AZ6:AZ11" si="36">AX6*AY6</f>
        <v>0</v>
      </c>
      <c r="BA6" s="16"/>
      <c r="BB6" s="17">
        <f>VLOOKUP(BA6,'DATABASE F&amp;B'!$C$3:$F$216,2,0)</f>
        <v>0</v>
      </c>
      <c r="BC6" s="18"/>
      <c r="BD6" s="19">
        <f>VLOOKUP(BA6,'DATABASE F&amp;B'!$C$3:$F$216,4,0)</f>
        <v>0</v>
      </c>
      <c r="BE6" s="19">
        <f t="shared" ref="BE6:BE11" si="37">BC6*BD6</f>
        <v>0</v>
      </c>
      <c r="BF6" s="16"/>
      <c r="BG6" s="17">
        <f>VLOOKUP(BF6,'DATABASE F&amp;B'!$C$3:$F$216,2,0)</f>
        <v>0</v>
      </c>
      <c r="BH6" s="18"/>
      <c r="BI6" s="19">
        <f>VLOOKUP(BF6,'DATABASE F&amp;B'!$C$3:$F$216,4,0)</f>
        <v>0</v>
      </c>
      <c r="BJ6" s="19">
        <f t="shared" ref="BJ6:BJ11" si="38">BH6*BI6</f>
        <v>0</v>
      </c>
      <c r="BK6" s="16"/>
      <c r="BL6" s="17">
        <f>VLOOKUP(BK6,'DATABASE F&amp;B'!$C$3:$F$210,2,0)</f>
        <v>0</v>
      </c>
      <c r="BM6" s="18"/>
      <c r="BN6" s="19">
        <f>VLOOKUP(BK6,'DATABASE F&amp;B'!$C$3:$F$210,4,0)</f>
        <v>0</v>
      </c>
      <c r="BO6" s="19">
        <f t="shared" ref="BO6:BO11" si="39">BM6*BN6</f>
        <v>0</v>
      </c>
      <c r="BP6" s="16"/>
      <c r="BQ6" s="17">
        <f>VLOOKUP(BP6,'DATABASE F&amp;B'!$C$3:$F$210,2,0)</f>
        <v>0</v>
      </c>
      <c r="BR6" s="18"/>
      <c r="BS6" s="19">
        <f>VLOOKUP(BP6,'DATABASE F&amp;B'!$C$3:$F$210,4,0)</f>
        <v>0</v>
      </c>
      <c r="BT6" s="19">
        <f t="shared" ref="BT6:BT11" si="40">BR6*BS6</f>
        <v>0</v>
      </c>
      <c r="BU6" s="16"/>
      <c r="BV6" s="17">
        <f>VLOOKUP(BU6,'DATABASE F&amp;B'!$C$3:$F$210,2,0)</f>
        <v>0</v>
      </c>
      <c r="BW6" s="18"/>
      <c r="BX6" s="19">
        <f>VLOOKUP(BU6,'DATABASE F&amp;B'!$C$3:$F$210,4,0)</f>
        <v>0</v>
      </c>
      <c r="BY6" s="19">
        <f t="shared" ref="BY6:BY11" si="41">BW6*BX6</f>
        <v>0</v>
      </c>
      <c r="BZ6" s="16"/>
      <c r="CA6" s="17">
        <f>VLOOKUP(BZ6,'DATABASE F&amp;B'!$C$3:$F$210,2,0)</f>
        <v>0</v>
      </c>
      <c r="CB6" s="18"/>
      <c r="CC6" s="19">
        <f>VLOOKUP(BZ6,'DATABASE F&amp;B'!$C$3:$F$210,4,0)</f>
        <v>0</v>
      </c>
      <c r="CD6" s="19">
        <f t="shared" ref="CD6:CD11" si="42">CB6*CC6</f>
        <v>0</v>
      </c>
    </row>
    <row r="7" spans="1:82" ht="13.5" x14ac:dyDescent="0.25">
      <c r="A7" s="32" t="str">
        <f t="shared" si="22"/>
        <v>05-'01-2026</v>
      </c>
      <c r="B7" s="22">
        <f t="shared" ref="B7:B70" si="43">B6+1</f>
        <v>3</v>
      </c>
      <c r="C7" s="22">
        <f t="shared" ref="C7:C70" si="44">C6+1</f>
        <v>3</v>
      </c>
      <c r="D7" s="34">
        <v>46143</v>
      </c>
      <c r="E7" s="35" t="s">
        <v>55</v>
      </c>
      <c r="F7" s="35" t="s">
        <v>202</v>
      </c>
      <c r="G7" s="52" t="s">
        <v>81</v>
      </c>
      <c r="H7" s="36" t="str">
        <f t="shared" si="23"/>
        <v>RJ-'010526-3</v>
      </c>
      <c r="I7" s="36" t="str">
        <f t="shared" si="24"/>
        <v>'01-05-2026</v>
      </c>
      <c r="J7" s="37" t="str">
        <f>VLOOKUP(D7,Laporan!$C$4:$D$34,2,0)</f>
        <v>Jumat</v>
      </c>
      <c r="K7" s="48"/>
      <c r="L7" s="13" t="s">
        <v>33</v>
      </c>
      <c r="M7" s="19">
        <f>SUMIF('DATABASE Room'!$B$3:$B$7,L7,'DATABASE Room'!$D$3:$D$7)</f>
        <v>0</v>
      </c>
      <c r="N7" s="13">
        <v>1</v>
      </c>
      <c r="O7" s="21">
        <f t="shared" si="25"/>
        <v>0</v>
      </c>
      <c r="P7" s="38"/>
      <c r="Q7" s="19">
        <f t="shared" si="26"/>
        <v>0</v>
      </c>
      <c r="R7" s="21">
        <f t="shared" si="27"/>
        <v>0</v>
      </c>
      <c r="S7" s="19">
        <f t="shared" si="28"/>
        <v>5</v>
      </c>
      <c r="T7" s="19">
        <f t="shared" si="29"/>
        <v>28000</v>
      </c>
      <c r="U7" s="21">
        <f t="shared" si="30"/>
        <v>28000</v>
      </c>
      <c r="V7" s="39"/>
      <c r="W7" s="16">
        <v>15</v>
      </c>
      <c r="X7" s="17" t="str">
        <f>VLOOKUP(W7,'DATABASE F&amp;B'!$C$3:$F$216,2,0)</f>
        <v>CHICKEN SKIN</v>
      </c>
      <c r="Y7" s="18">
        <v>1</v>
      </c>
      <c r="Z7" s="19">
        <f>VLOOKUP(W7,'DATABASE F&amp;B'!$C$3:$F$216,4,0)</f>
        <v>28000</v>
      </c>
      <c r="AA7" s="19">
        <f t="shared" si="31"/>
        <v>28000</v>
      </c>
      <c r="AB7" s="16"/>
      <c r="AC7" s="17">
        <f>VLOOKUP(AB7,'DATABASE F&amp;B'!$C$3:$F$216,2,0)</f>
        <v>0</v>
      </c>
      <c r="AD7" s="18">
        <v>1</v>
      </c>
      <c r="AE7" s="19">
        <f>VLOOKUP(AB7,'DATABASE F&amp;B'!$C$3:$F$216,4,0)</f>
        <v>0</v>
      </c>
      <c r="AF7" s="19">
        <f t="shared" si="32"/>
        <v>0</v>
      </c>
      <c r="AG7" s="16"/>
      <c r="AH7" s="17">
        <f>VLOOKUP(AG7,'DATABASE F&amp;B'!$C$3:$F$216,2,0)</f>
        <v>0</v>
      </c>
      <c r="AI7" s="18">
        <v>1</v>
      </c>
      <c r="AJ7" s="19">
        <f>VLOOKUP(AG7,'DATABASE F&amp;B'!$C$3:$F$216,4,0)</f>
        <v>0</v>
      </c>
      <c r="AK7" s="19">
        <f t="shared" si="33"/>
        <v>0</v>
      </c>
      <c r="AL7" s="16"/>
      <c r="AM7" s="17">
        <f>VLOOKUP(AL7,'DATABASE F&amp;B'!$C$3:$F$216,2,0)</f>
        <v>0</v>
      </c>
      <c r="AN7" s="18">
        <v>1</v>
      </c>
      <c r="AO7" s="19">
        <f>VLOOKUP(AL7,'DATABASE F&amp;B'!$C$3:$F$216,4,0)</f>
        <v>0</v>
      </c>
      <c r="AP7" s="19">
        <f t="shared" si="34"/>
        <v>0</v>
      </c>
      <c r="AQ7" s="16"/>
      <c r="AR7" s="17">
        <f>VLOOKUP(AQ7,'DATABASE F&amp;B'!$C$3:$F$216,2,0)</f>
        <v>0</v>
      </c>
      <c r="AS7" s="18">
        <v>1</v>
      </c>
      <c r="AT7" s="19">
        <f>VLOOKUP(AQ7,'DATABASE F&amp;B'!$C$3:$F$216,4,0)</f>
        <v>0</v>
      </c>
      <c r="AU7" s="19">
        <f t="shared" si="35"/>
        <v>0</v>
      </c>
      <c r="AV7" s="16"/>
      <c r="AW7" s="17">
        <f>VLOOKUP(AV7,'DATABASE F&amp;B'!$C$3:$F$216,2,0)</f>
        <v>0</v>
      </c>
      <c r="AX7" s="18"/>
      <c r="AY7" s="19">
        <f>VLOOKUP(AV7,'DATABASE F&amp;B'!$C$3:$F$216,4,0)</f>
        <v>0</v>
      </c>
      <c r="AZ7" s="19">
        <f t="shared" si="36"/>
        <v>0</v>
      </c>
      <c r="BA7" s="16"/>
      <c r="BB7" s="17">
        <f>VLOOKUP(BA7,'DATABASE F&amp;B'!$C$3:$F$216,2,0)</f>
        <v>0</v>
      </c>
      <c r="BC7" s="18"/>
      <c r="BD7" s="19">
        <f>VLOOKUP(BA7,'DATABASE F&amp;B'!$C$3:$F$216,4,0)</f>
        <v>0</v>
      </c>
      <c r="BE7" s="19">
        <f t="shared" si="37"/>
        <v>0</v>
      </c>
      <c r="BF7" s="16"/>
      <c r="BG7" s="17">
        <f>VLOOKUP(BF7,'DATABASE F&amp;B'!$C$3:$F$216,2,0)</f>
        <v>0</v>
      </c>
      <c r="BH7" s="18"/>
      <c r="BI7" s="19">
        <f>VLOOKUP(BF7,'DATABASE F&amp;B'!$C$3:$F$216,4,0)</f>
        <v>0</v>
      </c>
      <c r="BJ7" s="19">
        <f t="shared" si="38"/>
        <v>0</v>
      </c>
      <c r="BK7" s="16"/>
      <c r="BL7" s="17">
        <f>VLOOKUP(BK7,'DATABASE F&amp;B'!$C$3:$F$210,2,0)</f>
        <v>0</v>
      </c>
      <c r="BM7" s="18"/>
      <c r="BN7" s="19">
        <f>VLOOKUP(BK7,'DATABASE F&amp;B'!$C$3:$F$210,4,0)</f>
        <v>0</v>
      </c>
      <c r="BO7" s="19">
        <f t="shared" si="39"/>
        <v>0</v>
      </c>
      <c r="BP7" s="16"/>
      <c r="BQ7" s="17">
        <f>VLOOKUP(BP7,'DATABASE F&amp;B'!$C$3:$F$210,2,0)</f>
        <v>0</v>
      </c>
      <c r="BR7" s="18"/>
      <c r="BS7" s="19">
        <f>VLOOKUP(BP7,'DATABASE F&amp;B'!$C$3:$F$210,4,0)</f>
        <v>0</v>
      </c>
      <c r="BT7" s="19">
        <f t="shared" si="40"/>
        <v>0</v>
      </c>
      <c r="BU7" s="16"/>
      <c r="BV7" s="17">
        <f>VLOOKUP(BU7,'DATABASE F&amp;B'!$C$3:$F$210,2,0)</f>
        <v>0</v>
      </c>
      <c r="BW7" s="18"/>
      <c r="BX7" s="19">
        <f>VLOOKUP(BU7,'DATABASE F&amp;B'!$C$3:$F$210,4,0)</f>
        <v>0</v>
      </c>
      <c r="BY7" s="19">
        <f t="shared" si="41"/>
        <v>0</v>
      </c>
      <c r="BZ7" s="16"/>
      <c r="CA7" s="17">
        <f>VLOOKUP(BZ7,'DATABASE F&amp;B'!$C$3:$F$210,2,0)</f>
        <v>0</v>
      </c>
      <c r="CB7" s="18"/>
      <c r="CC7" s="19">
        <f>VLOOKUP(BZ7,'DATABASE F&amp;B'!$C$3:$F$210,4,0)</f>
        <v>0</v>
      </c>
      <c r="CD7" s="19">
        <f t="shared" si="42"/>
        <v>0</v>
      </c>
    </row>
    <row r="8" spans="1:82" ht="13.5" x14ac:dyDescent="0.25">
      <c r="A8" s="32" t="str">
        <f t="shared" si="22"/>
        <v>05-'01-2026</v>
      </c>
      <c r="B8" s="22">
        <f t="shared" si="43"/>
        <v>4</v>
      </c>
      <c r="C8" s="22">
        <f t="shared" si="44"/>
        <v>4</v>
      </c>
      <c r="D8" s="34">
        <v>46143</v>
      </c>
      <c r="E8" s="35" t="s">
        <v>55</v>
      </c>
      <c r="F8" s="35" t="s">
        <v>202</v>
      </c>
      <c r="G8" s="52" t="s">
        <v>81</v>
      </c>
      <c r="H8" s="36" t="str">
        <f t="shared" si="23"/>
        <v>RJ-'010526-4</v>
      </c>
      <c r="I8" s="36" t="str">
        <f t="shared" si="24"/>
        <v>'01-05-2026</v>
      </c>
      <c r="J8" s="37" t="str">
        <f>VLOOKUP(D8,Laporan!$C$4:$D$34,2,0)</f>
        <v>Jumat</v>
      </c>
      <c r="K8" s="48"/>
      <c r="L8" s="13" t="s">
        <v>33</v>
      </c>
      <c r="M8" s="19">
        <f>SUMIF('DATABASE Room'!$B$3:$B$7,L8,'DATABASE Room'!$D$3:$D$7)</f>
        <v>0</v>
      </c>
      <c r="N8" s="13">
        <v>1</v>
      </c>
      <c r="O8" s="21">
        <f t="shared" si="25"/>
        <v>0</v>
      </c>
      <c r="P8" s="38"/>
      <c r="Q8" s="19">
        <f t="shared" si="26"/>
        <v>0</v>
      </c>
      <c r="R8" s="21">
        <f t="shared" si="27"/>
        <v>0</v>
      </c>
      <c r="S8" s="19">
        <f t="shared" si="28"/>
        <v>5</v>
      </c>
      <c r="T8" s="19">
        <f t="shared" si="29"/>
        <v>36000</v>
      </c>
      <c r="U8" s="21">
        <f t="shared" si="30"/>
        <v>36000</v>
      </c>
      <c r="V8" s="39"/>
      <c r="W8" s="16">
        <v>16</v>
      </c>
      <c r="X8" s="17" t="str">
        <f>VLOOKUP(W8,'DATABASE F&amp;B'!$C$3:$F$216,2,0)</f>
        <v>CRISPY CHICKEN WINGS</v>
      </c>
      <c r="Y8" s="18">
        <v>1</v>
      </c>
      <c r="Z8" s="19">
        <f>VLOOKUP(W8,'DATABASE F&amp;B'!$C$3:$F$216,4,0)</f>
        <v>36000</v>
      </c>
      <c r="AA8" s="19">
        <f t="shared" si="31"/>
        <v>36000</v>
      </c>
      <c r="AB8" s="16"/>
      <c r="AC8" s="17">
        <f>VLOOKUP(AB8,'DATABASE F&amp;B'!$C$3:$F$216,2,0)</f>
        <v>0</v>
      </c>
      <c r="AD8" s="18">
        <v>1</v>
      </c>
      <c r="AE8" s="19">
        <f>VLOOKUP(AB8,'DATABASE F&amp;B'!$C$3:$F$216,4,0)</f>
        <v>0</v>
      </c>
      <c r="AF8" s="19">
        <f t="shared" si="32"/>
        <v>0</v>
      </c>
      <c r="AG8" s="16"/>
      <c r="AH8" s="17">
        <f>VLOOKUP(AG8,'DATABASE F&amp;B'!$C$3:$F$216,2,0)</f>
        <v>0</v>
      </c>
      <c r="AI8" s="18">
        <v>1</v>
      </c>
      <c r="AJ8" s="19">
        <f>VLOOKUP(AG8,'DATABASE F&amp;B'!$C$3:$F$216,4,0)</f>
        <v>0</v>
      </c>
      <c r="AK8" s="19">
        <f t="shared" si="33"/>
        <v>0</v>
      </c>
      <c r="AL8" s="16"/>
      <c r="AM8" s="17">
        <f>VLOOKUP(AL8,'DATABASE F&amp;B'!$C$3:$F$216,2,0)</f>
        <v>0</v>
      </c>
      <c r="AN8" s="18">
        <v>1</v>
      </c>
      <c r="AO8" s="19">
        <f>VLOOKUP(AL8,'DATABASE F&amp;B'!$C$3:$F$216,4,0)</f>
        <v>0</v>
      </c>
      <c r="AP8" s="19">
        <f t="shared" si="34"/>
        <v>0</v>
      </c>
      <c r="AQ8" s="16"/>
      <c r="AR8" s="17">
        <f>VLOOKUP(AQ8,'DATABASE F&amp;B'!$C$3:$F$216,2,0)</f>
        <v>0</v>
      </c>
      <c r="AS8" s="18">
        <v>1</v>
      </c>
      <c r="AT8" s="19">
        <f>VLOOKUP(AQ8,'DATABASE F&amp;B'!$C$3:$F$216,4,0)</f>
        <v>0</v>
      </c>
      <c r="AU8" s="19">
        <f t="shared" si="35"/>
        <v>0</v>
      </c>
      <c r="AV8" s="16"/>
      <c r="AW8" s="17">
        <f>VLOOKUP(AV8,'DATABASE F&amp;B'!$C$3:$F$216,2,0)</f>
        <v>0</v>
      </c>
      <c r="AX8" s="18"/>
      <c r="AY8" s="19">
        <f>VLOOKUP(AV8,'DATABASE F&amp;B'!$C$3:$F$216,4,0)</f>
        <v>0</v>
      </c>
      <c r="AZ8" s="19">
        <f t="shared" si="36"/>
        <v>0</v>
      </c>
      <c r="BA8" s="16"/>
      <c r="BB8" s="17">
        <f>VLOOKUP(BA8,'DATABASE F&amp;B'!$C$3:$F$216,2,0)</f>
        <v>0</v>
      </c>
      <c r="BC8" s="18"/>
      <c r="BD8" s="19">
        <f>VLOOKUP(BA8,'DATABASE F&amp;B'!$C$3:$F$216,4,0)</f>
        <v>0</v>
      </c>
      <c r="BE8" s="19">
        <f t="shared" si="37"/>
        <v>0</v>
      </c>
      <c r="BF8" s="16"/>
      <c r="BG8" s="17">
        <f>VLOOKUP(BF8,'DATABASE F&amp;B'!$C$3:$F$216,2,0)</f>
        <v>0</v>
      </c>
      <c r="BH8" s="18"/>
      <c r="BI8" s="19">
        <f>VLOOKUP(BF8,'DATABASE F&amp;B'!$C$3:$F$216,4,0)</f>
        <v>0</v>
      </c>
      <c r="BJ8" s="19">
        <f t="shared" si="38"/>
        <v>0</v>
      </c>
      <c r="BK8" s="16"/>
      <c r="BL8" s="17">
        <f>VLOOKUP(BK8,'DATABASE F&amp;B'!$C$3:$F$210,2,0)</f>
        <v>0</v>
      </c>
      <c r="BM8" s="18"/>
      <c r="BN8" s="19">
        <f>VLOOKUP(BK8,'DATABASE F&amp;B'!$C$3:$F$210,4,0)</f>
        <v>0</v>
      </c>
      <c r="BO8" s="19">
        <f t="shared" si="39"/>
        <v>0</v>
      </c>
      <c r="BP8" s="16"/>
      <c r="BQ8" s="17">
        <f>VLOOKUP(BP8,'DATABASE F&amp;B'!$C$3:$F$210,2,0)</f>
        <v>0</v>
      </c>
      <c r="BR8" s="18"/>
      <c r="BS8" s="19">
        <f>VLOOKUP(BP8,'DATABASE F&amp;B'!$C$3:$F$210,4,0)</f>
        <v>0</v>
      </c>
      <c r="BT8" s="19">
        <f t="shared" si="40"/>
        <v>0</v>
      </c>
      <c r="BU8" s="16"/>
      <c r="BV8" s="17">
        <f>VLOOKUP(BU8,'DATABASE F&amp;B'!$C$3:$F$210,2,0)</f>
        <v>0</v>
      </c>
      <c r="BW8" s="18"/>
      <c r="BX8" s="19">
        <f>VLOOKUP(BU8,'DATABASE F&amp;B'!$C$3:$F$210,4,0)</f>
        <v>0</v>
      </c>
      <c r="BY8" s="19">
        <f t="shared" si="41"/>
        <v>0</v>
      </c>
      <c r="BZ8" s="16"/>
      <c r="CA8" s="17">
        <f>VLOOKUP(BZ8,'DATABASE F&amp;B'!$C$3:$F$210,2,0)</f>
        <v>0</v>
      </c>
      <c r="CB8" s="18"/>
      <c r="CC8" s="19">
        <f>VLOOKUP(BZ8,'DATABASE F&amp;B'!$C$3:$F$210,4,0)</f>
        <v>0</v>
      </c>
      <c r="CD8" s="19">
        <f t="shared" si="42"/>
        <v>0</v>
      </c>
    </row>
    <row r="9" spans="1:82" ht="13.5" x14ac:dyDescent="0.25">
      <c r="A9" s="32" t="str">
        <f t="shared" si="22"/>
        <v>05-'01-2026</v>
      </c>
      <c r="B9" s="22">
        <f t="shared" si="43"/>
        <v>5</v>
      </c>
      <c r="C9" s="22">
        <f t="shared" si="44"/>
        <v>5</v>
      </c>
      <c r="D9" s="34">
        <v>46143</v>
      </c>
      <c r="E9" s="35" t="s">
        <v>55</v>
      </c>
      <c r="F9" s="35" t="s">
        <v>202</v>
      </c>
      <c r="G9" s="52" t="s">
        <v>81</v>
      </c>
      <c r="H9" s="36" t="str">
        <f t="shared" si="23"/>
        <v>RJ-'010526-5</v>
      </c>
      <c r="I9" s="36" t="str">
        <f t="shared" si="24"/>
        <v>'01-05-2026</v>
      </c>
      <c r="J9" s="37" t="str">
        <f>VLOOKUP(D9,Laporan!$C$4:$D$34,2,0)</f>
        <v>Jumat</v>
      </c>
      <c r="K9" s="48"/>
      <c r="L9" s="13" t="s">
        <v>33</v>
      </c>
      <c r="M9" s="19">
        <f>SUMIF('DATABASE Room'!$B$3:$B$7,L9,'DATABASE Room'!$D$3:$D$7)</f>
        <v>0</v>
      </c>
      <c r="N9" s="13">
        <v>1</v>
      </c>
      <c r="O9" s="21">
        <f t="shared" si="25"/>
        <v>0</v>
      </c>
      <c r="P9" s="38"/>
      <c r="Q9" s="19">
        <f t="shared" si="26"/>
        <v>0</v>
      </c>
      <c r="R9" s="21">
        <f t="shared" si="27"/>
        <v>0</v>
      </c>
      <c r="S9" s="19">
        <f t="shared" si="28"/>
        <v>5</v>
      </c>
      <c r="T9" s="19">
        <f t="shared" si="29"/>
        <v>36000</v>
      </c>
      <c r="U9" s="21">
        <f t="shared" si="30"/>
        <v>36000</v>
      </c>
      <c r="V9" s="39"/>
      <c r="W9" s="16">
        <v>17</v>
      </c>
      <c r="X9" s="17" t="str">
        <f>VLOOKUP(W9,'DATABASE F&amp;B'!$C$3:$F$216,2,0)</f>
        <v>CIRENG</v>
      </c>
      <c r="Y9" s="18">
        <v>1</v>
      </c>
      <c r="Z9" s="19">
        <f>VLOOKUP(W9,'DATABASE F&amp;B'!$C$3:$F$216,4,0)</f>
        <v>36000</v>
      </c>
      <c r="AA9" s="19">
        <f t="shared" si="31"/>
        <v>36000</v>
      </c>
      <c r="AB9" s="16"/>
      <c r="AC9" s="17">
        <f>VLOOKUP(AB9,'DATABASE F&amp;B'!$C$3:$F$216,2,0)</f>
        <v>0</v>
      </c>
      <c r="AD9" s="18">
        <v>1</v>
      </c>
      <c r="AE9" s="19">
        <f>VLOOKUP(AB9,'DATABASE F&amp;B'!$C$3:$F$216,4,0)</f>
        <v>0</v>
      </c>
      <c r="AF9" s="19">
        <f t="shared" si="32"/>
        <v>0</v>
      </c>
      <c r="AG9" s="16"/>
      <c r="AH9" s="17">
        <f>VLOOKUP(AG9,'DATABASE F&amp;B'!$C$3:$F$216,2,0)</f>
        <v>0</v>
      </c>
      <c r="AI9" s="18">
        <v>1</v>
      </c>
      <c r="AJ9" s="19">
        <f>VLOOKUP(AG9,'DATABASE F&amp;B'!$C$3:$F$216,4,0)</f>
        <v>0</v>
      </c>
      <c r="AK9" s="19">
        <f t="shared" si="33"/>
        <v>0</v>
      </c>
      <c r="AL9" s="16"/>
      <c r="AM9" s="17">
        <f>VLOOKUP(AL9,'DATABASE F&amp;B'!$C$3:$F$216,2,0)</f>
        <v>0</v>
      </c>
      <c r="AN9" s="18">
        <v>1</v>
      </c>
      <c r="AO9" s="19">
        <f>VLOOKUP(AL9,'DATABASE F&amp;B'!$C$3:$F$216,4,0)</f>
        <v>0</v>
      </c>
      <c r="AP9" s="19">
        <f t="shared" si="34"/>
        <v>0</v>
      </c>
      <c r="AQ9" s="16"/>
      <c r="AR9" s="17">
        <f>VLOOKUP(AQ9,'DATABASE F&amp;B'!$C$3:$F$216,2,0)</f>
        <v>0</v>
      </c>
      <c r="AS9" s="18">
        <v>1</v>
      </c>
      <c r="AT9" s="19">
        <f>VLOOKUP(AQ9,'DATABASE F&amp;B'!$C$3:$F$216,4,0)</f>
        <v>0</v>
      </c>
      <c r="AU9" s="19">
        <f t="shared" si="35"/>
        <v>0</v>
      </c>
      <c r="AV9" s="16"/>
      <c r="AW9" s="17">
        <f>VLOOKUP(AV9,'DATABASE F&amp;B'!$C$3:$F$216,2,0)</f>
        <v>0</v>
      </c>
      <c r="AX9" s="18"/>
      <c r="AY9" s="19">
        <f>VLOOKUP(AV9,'DATABASE F&amp;B'!$C$3:$F$216,4,0)</f>
        <v>0</v>
      </c>
      <c r="AZ9" s="19">
        <f t="shared" si="36"/>
        <v>0</v>
      </c>
      <c r="BA9" s="16"/>
      <c r="BB9" s="17">
        <f>VLOOKUP(BA9,'DATABASE F&amp;B'!$C$3:$F$216,2,0)</f>
        <v>0</v>
      </c>
      <c r="BC9" s="18"/>
      <c r="BD9" s="19">
        <f>VLOOKUP(BA9,'DATABASE F&amp;B'!$C$3:$F$216,4,0)</f>
        <v>0</v>
      </c>
      <c r="BE9" s="19">
        <f t="shared" si="37"/>
        <v>0</v>
      </c>
      <c r="BF9" s="16"/>
      <c r="BG9" s="17">
        <f>VLOOKUP(BF9,'DATABASE F&amp;B'!$C$3:$F$216,2,0)</f>
        <v>0</v>
      </c>
      <c r="BH9" s="18"/>
      <c r="BI9" s="19">
        <f>VLOOKUP(BF9,'DATABASE F&amp;B'!$C$3:$F$216,4,0)</f>
        <v>0</v>
      </c>
      <c r="BJ9" s="19">
        <f t="shared" si="38"/>
        <v>0</v>
      </c>
      <c r="BK9" s="16"/>
      <c r="BL9" s="17">
        <f>VLOOKUP(BK9,'DATABASE F&amp;B'!$C$3:$F$210,2,0)</f>
        <v>0</v>
      </c>
      <c r="BM9" s="18"/>
      <c r="BN9" s="19">
        <f>VLOOKUP(BK9,'DATABASE F&amp;B'!$C$3:$F$210,4,0)</f>
        <v>0</v>
      </c>
      <c r="BO9" s="19">
        <f t="shared" si="39"/>
        <v>0</v>
      </c>
      <c r="BP9" s="16"/>
      <c r="BQ9" s="17">
        <f>VLOOKUP(BP9,'DATABASE F&amp;B'!$C$3:$F$210,2,0)</f>
        <v>0</v>
      </c>
      <c r="BR9" s="18"/>
      <c r="BS9" s="19">
        <f>VLOOKUP(BP9,'DATABASE F&amp;B'!$C$3:$F$210,4,0)</f>
        <v>0</v>
      </c>
      <c r="BT9" s="19">
        <f t="shared" si="40"/>
        <v>0</v>
      </c>
      <c r="BU9" s="16"/>
      <c r="BV9" s="17">
        <f>VLOOKUP(BU9,'DATABASE F&amp;B'!$C$3:$F$210,2,0)</f>
        <v>0</v>
      </c>
      <c r="BW9" s="18"/>
      <c r="BX9" s="19">
        <f>VLOOKUP(BU9,'DATABASE F&amp;B'!$C$3:$F$210,4,0)</f>
        <v>0</v>
      </c>
      <c r="BY9" s="19">
        <f t="shared" si="41"/>
        <v>0</v>
      </c>
      <c r="BZ9" s="16"/>
      <c r="CA9" s="17">
        <f>VLOOKUP(BZ9,'DATABASE F&amp;B'!$C$3:$F$210,2,0)</f>
        <v>0</v>
      </c>
      <c r="CB9" s="18"/>
      <c r="CC9" s="19">
        <f>VLOOKUP(BZ9,'DATABASE F&amp;B'!$C$3:$F$210,4,0)</f>
        <v>0</v>
      </c>
      <c r="CD9" s="19">
        <f t="shared" si="42"/>
        <v>0</v>
      </c>
    </row>
    <row r="10" spans="1:82" ht="13.5" x14ac:dyDescent="0.25">
      <c r="A10" s="32" t="str">
        <f t="shared" si="22"/>
        <v>05-'01-2026</v>
      </c>
      <c r="B10" s="22">
        <f t="shared" si="43"/>
        <v>6</v>
      </c>
      <c r="C10" s="22">
        <f t="shared" si="44"/>
        <v>6</v>
      </c>
      <c r="D10" s="34">
        <v>46143</v>
      </c>
      <c r="E10" s="35" t="s">
        <v>55</v>
      </c>
      <c r="F10" s="35" t="s">
        <v>202</v>
      </c>
      <c r="G10" s="52" t="s">
        <v>81</v>
      </c>
      <c r="H10" s="36" t="str">
        <f t="shared" si="23"/>
        <v>RJ-'010526-6</v>
      </c>
      <c r="I10" s="36" t="str">
        <f t="shared" si="24"/>
        <v>'01-05-2026</v>
      </c>
      <c r="J10" s="37" t="str">
        <f>VLOOKUP(D10,Laporan!$C$4:$D$34,2,0)</f>
        <v>Jumat</v>
      </c>
      <c r="K10" s="48"/>
      <c r="L10" s="13" t="s">
        <v>33</v>
      </c>
      <c r="M10" s="19">
        <f>SUMIF('DATABASE Room'!$B$3:$B$7,L10,'DATABASE Room'!$D$3:$D$7)</f>
        <v>0</v>
      </c>
      <c r="N10" s="13">
        <v>1</v>
      </c>
      <c r="O10" s="21">
        <f t="shared" si="25"/>
        <v>0</v>
      </c>
      <c r="P10" s="38"/>
      <c r="Q10" s="19">
        <f t="shared" si="26"/>
        <v>0</v>
      </c>
      <c r="R10" s="21">
        <f t="shared" si="27"/>
        <v>0</v>
      </c>
      <c r="S10" s="19">
        <f t="shared" si="28"/>
        <v>5</v>
      </c>
      <c r="T10" s="19">
        <f t="shared" si="29"/>
        <v>145000</v>
      </c>
      <c r="U10" s="21">
        <f t="shared" si="30"/>
        <v>145000</v>
      </c>
      <c r="V10" s="39"/>
      <c r="W10" s="16">
        <v>43</v>
      </c>
      <c r="X10" s="17" t="str">
        <f>VLOOKUP(W10,'DATABASE F&amp;B'!$C$3:$F$216,2,0)</f>
        <v>SOJU JINRO GREENGRAPE</v>
      </c>
      <c r="Y10" s="18">
        <v>1</v>
      </c>
      <c r="Z10" s="19">
        <f>VLOOKUP(W10,'DATABASE F&amp;B'!$C$3:$F$216,4,0)</f>
        <v>145000</v>
      </c>
      <c r="AA10" s="19">
        <f t="shared" si="31"/>
        <v>145000</v>
      </c>
      <c r="AB10" s="16"/>
      <c r="AC10" s="17">
        <f>VLOOKUP(AB10,'DATABASE F&amp;B'!$C$3:$F$216,2,0)</f>
        <v>0</v>
      </c>
      <c r="AD10" s="18">
        <v>1</v>
      </c>
      <c r="AE10" s="19">
        <f>VLOOKUP(AB10,'DATABASE F&amp;B'!$C$3:$F$216,4,0)</f>
        <v>0</v>
      </c>
      <c r="AF10" s="19">
        <f t="shared" si="32"/>
        <v>0</v>
      </c>
      <c r="AG10" s="16"/>
      <c r="AH10" s="17">
        <f>VLOOKUP(AG10,'DATABASE F&amp;B'!$C$3:$F$216,2,0)</f>
        <v>0</v>
      </c>
      <c r="AI10" s="18">
        <v>1</v>
      </c>
      <c r="AJ10" s="19">
        <f>VLOOKUP(AG10,'DATABASE F&amp;B'!$C$3:$F$216,4,0)</f>
        <v>0</v>
      </c>
      <c r="AK10" s="19">
        <f t="shared" si="33"/>
        <v>0</v>
      </c>
      <c r="AL10" s="16"/>
      <c r="AM10" s="17">
        <f>VLOOKUP(AL10,'DATABASE F&amp;B'!$C$3:$F$216,2,0)</f>
        <v>0</v>
      </c>
      <c r="AN10" s="18">
        <v>1</v>
      </c>
      <c r="AO10" s="19">
        <f>VLOOKUP(AL10,'DATABASE F&amp;B'!$C$3:$F$216,4,0)</f>
        <v>0</v>
      </c>
      <c r="AP10" s="19">
        <f t="shared" si="34"/>
        <v>0</v>
      </c>
      <c r="AQ10" s="16"/>
      <c r="AR10" s="17">
        <f>VLOOKUP(AQ10,'DATABASE F&amp;B'!$C$3:$F$216,2,0)</f>
        <v>0</v>
      </c>
      <c r="AS10" s="18">
        <v>1</v>
      </c>
      <c r="AT10" s="19">
        <f>VLOOKUP(AQ10,'DATABASE F&amp;B'!$C$3:$F$216,4,0)</f>
        <v>0</v>
      </c>
      <c r="AU10" s="19">
        <f t="shared" si="35"/>
        <v>0</v>
      </c>
      <c r="AV10" s="16"/>
      <c r="AW10" s="17">
        <f>VLOOKUP(AV10,'DATABASE F&amp;B'!$C$3:$F$216,2,0)</f>
        <v>0</v>
      </c>
      <c r="AX10" s="18"/>
      <c r="AY10" s="19">
        <f>VLOOKUP(AV10,'DATABASE F&amp;B'!$C$3:$F$216,4,0)</f>
        <v>0</v>
      </c>
      <c r="AZ10" s="19">
        <f t="shared" si="36"/>
        <v>0</v>
      </c>
      <c r="BA10" s="16"/>
      <c r="BB10" s="17">
        <f>VLOOKUP(BA10,'DATABASE F&amp;B'!$C$3:$F$216,2,0)</f>
        <v>0</v>
      </c>
      <c r="BC10" s="18"/>
      <c r="BD10" s="19">
        <f>VLOOKUP(BA10,'DATABASE F&amp;B'!$C$3:$F$216,4,0)</f>
        <v>0</v>
      </c>
      <c r="BE10" s="19">
        <f t="shared" si="37"/>
        <v>0</v>
      </c>
      <c r="BF10" s="16"/>
      <c r="BG10" s="17">
        <f>VLOOKUP(BF10,'DATABASE F&amp;B'!$C$3:$F$216,2,0)</f>
        <v>0</v>
      </c>
      <c r="BH10" s="18"/>
      <c r="BI10" s="19">
        <f>VLOOKUP(BF10,'DATABASE F&amp;B'!$C$3:$F$216,4,0)</f>
        <v>0</v>
      </c>
      <c r="BJ10" s="19">
        <f t="shared" si="38"/>
        <v>0</v>
      </c>
      <c r="BK10" s="16"/>
      <c r="BL10" s="17">
        <f>VLOOKUP(BK10,'DATABASE F&amp;B'!$C$3:$F$210,2,0)</f>
        <v>0</v>
      </c>
      <c r="BM10" s="18"/>
      <c r="BN10" s="19">
        <f>VLOOKUP(BK10,'DATABASE F&amp;B'!$C$3:$F$210,4,0)</f>
        <v>0</v>
      </c>
      <c r="BO10" s="19">
        <f t="shared" si="39"/>
        <v>0</v>
      </c>
      <c r="BP10" s="16"/>
      <c r="BQ10" s="17">
        <f>VLOOKUP(BP10,'DATABASE F&amp;B'!$C$3:$F$210,2,0)</f>
        <v>0</v>
      </c>
      <c r="BR10" s="18"/>
      <c r="BS10" s="19">
        <f>VLOOKUP(BP10,'DATABASE F&amp;B'!$C$3:$F$210,4,0)</f>
        <v>0</v>
      </c>
      <c r="BT10" s="19">
        <f t="shared" si="40"/>
        <v>0</v>
      </c>
      <c r="BU10" s="16"/>
      <c r="BV10" s="17">
        <f>VLOOKUP(BU10,'DATABASE F&amp;B'!$C$3:$F$210,2,0)</f>
        <v>0</v>
      </c>
      <c r="BW10" s="18"/>
      <c r="BX10" s="19">
        <f>VLOOKUP(BU10,'DATABASE F&amp;B'!$C$3:$F$210,4,0)</f>
        <v>0</v>
      </c>
      <c r="BY10" s="19">
        <f t="shared" si="41"/>
        <v>0</v>
      </c>
      <c r="BZ10" s="16"/>
      <c r="CA10" s="17">
        <f>VLOOKUP(BZ10,'DATABASE F&amp;B'!$C$3:$F$210,2,0)</f>
        <v>0</v>
      </c>
      <c r="CB10" s="18"/>
      <c r="CC10" s="19">
        <f>VLOOKUP(BZ10,'DATABASE F&amp;B'!$C$3:$F$210,4,0)</f>
        <v>0</v>
      </c>
      <c r="CD10" s="19">
        <f t="shared" si="42"/>
        <v>0</v>
      </c>
    </row>
    <row r="11" spans="1:82" ht="13.5" x14ac:dyDescent="0.25">
      <c r="A11" s="32" t="str">
        <f t="shared" si="22"/>
        <v>05-'02-2026</v>
      </c>
      <c r="B11" s="22">
        <f t="shared" si="43"/>
        <v>7</v>
      </c>
      <c r="C11" s="22">
        <f t="shared" si="44"/>
        <v>7</v>
      </c>
      <c r="D11" s="34">
        <v>46144</v>
      </c>
      <c r="E11" s="35" t="s">
        <v>56</v>
      </c>
      <c r="F11" s="35" t="s">
        <v>202</v>
      </c>
      <c r="G11" s="52" t="s">
        <v>81</v>
      </c>
      <c r="H11" s="36" t="str">
        <f t="shared" si="23"/>
        <v>RJ-'020526-7</v>
      </c>
      <c r="I11" s="36" t="str">
        <f t="shared" si="24"/>
        <v>'02-05-2026</v>
      </c>
      <c r="J11" s="37" t="str">
        <f>VLOOKUP(D11,Laporan!$C$4:$D$34,2,0)</f>
        <v>Sabtu</v>
      </c>
      <c r="K11" s="48"/>
      <c r="L11" s="13" t="s">
        <v>33</v>
      </c>
      <c r="M11" s="19">
        <f>SUMIF('DATABASE Room'!$B$3:$B$7,L11,'DATABASE Room'!$D$3:$D$7)</f>
        <v>0</v>
      </c>
      <c r="N11" s="13">
        <v>1</v>
      </c>
      <c r="O11" s="21">
        <f t="shared" si="25"/>
        <v>0</v>
      </c>
      <c r="P11" s="38"/>
      <c r="Q11" s="19">
        <f t="shared" si="26"/>
        <v>0</v>
      </c>
      <c r="R11" s="21">
        <f t="shared" si="27"/>
        <v>0</v>
      </c>
      <c r="S11" s="19">
        <f t="shared" si="28"/>
        <v>5</v>
      </c>
      <c r="T11" s="19">
        <f t="shared" si="29"/>
        <v>145000</v>
      </c>
      <c r="U11" s="21">
        <f t="shared" si="30"/>
        <v>145000</v>
      </c>
      <c r="V11" s="39"/>
      <c r="W11" s="16">
        <v>42</v>
      </c>
      <c r="X11" s="17" t="str">
        <f>VLOOKUP(W11,'DATABASE F&amp;B'!$C$3:$F$216,2,0)</f>
        <v>SOJU JINRO ORI</v>
      </c>
      <c r="Y11" s="18">
        <v>1</v>
      </c>
      <c r="Z11" s="19">
        <f>VLOOKUP(W11,'DATABASE F&amp;B'!$C$3:$F$216,4,0)</f>
        <v>145000</v>
      </c>
      <c r="AA11" s="19">
        <f t="shared" si="31"/>
        <v>145000</v>
      </c>
      <c r="AB11" s="16"/>
      <c r="AC11" s="17">
        <f>VLOOKUP(AB11,'DATABASE F&amp;B'!$C$3:$F$216,2,0)</f>
        <v>0</v>
      </c>
      <c r="AD11" s="18">
        <v>1</v>
      </c>
      <c r="AE11" s="19">
        <f>VLOOKUP(AB11,'DATABASE F&amp;B'!$C$3:$F$216,4,0)</f>
        <v>0</v>
      </c>
      <c r="AF11" s="19">
        <f t="shared" si="32"/>
        <v>0</v>
      </c>
      <c r="AG11" s="16"/>
      <c r="AH11" s="17">
        <f>VLOOKUP(AG11,'DATABASE F&amp;B'!$C$3:$F$216,2,0)</f>
        <v>0</v>
      </c>
      <c r="AI11" s="18">
        <v>1</v>
      </c>
      <c r="AJ11" s="19">
        <f>VLOOKUP(AG11,'DATABASE F&amp;B'!$C$3:$F$216,4,0)</f>
        <v>0</v>
      </c>
      <c r="AK11" s="19">
        <f t="shared" si="33"/>
        <v>0</v>
      </c>
      <c r="AL11" s="16"/>
      <c r="AM11" s="17">
        <f>VLOOKUP(AL11,'DATABASE F&amp;B'!$C$3:$F$216,2,0)</f>
        <v>0</v>
      </c>
      <c r="AN11" s="18">
        <v>1</v>
      </c>
      <c r="AO11" s="19">
        <f>VLOOKUP(AL11,'DATABASE F&amp;B'!$C$3:$F$216,4,0)</f>
        <v>0</v>
      </c>
      <c r="AP11" s="19">
        <f t="shared" si="34"/>
        <v>0</v>
      </c>
      <c r="AQ11" s="16"/>
      <c r="AR11" s="17">
        <f>VLOOKUP(AQ11,'DATABASE F&amp;B'!$C$3:$F$216,2,0)</f>
        <v>0</v>
      </c>
      <c r="AS11" s="18">
        <v>1</v>
      </c>
      <c r="AT11" s="19">
        <f>VLOOKUP(AQ11,'DATABASE F&amp;B'!$C$3:$F$216,4,0)</f>
        <v>0</v>
      </c>
      <c r="AU11" s="19">
        <f t="shared" si="35"/>
        <v>0</v>
      </c>
      <c r="AV11" s="16"/>
      <c r="AW11" s="17">
        <f>VLOOKUP(AV11,'DATABASE F&amp;B'!$C$3:$F$216,2,0)</f>
        <v>0</v>
      </c>
      <c r="AX11" s="18"/>
      <c r="AY11" s="19">
        <f>VLOOKUP(AV11,'DATABASE F&amp;B'!$C$3:$F$216,4,0)</f>
        <v>0</v>
      </c>
      <c r="AZ11" s="19">
        <f t="shared" si="36"/>
        <v>0</v>
      </c>
      <c r="BA11" s="16"/>
      <c r="BB11" s="17">
        <f>VLOOKUP(BA11,'DATABASE F&amp;B'!$C$3:$F$216,2,0)</f>
        <v>0</v>
      </c>
      <c r="BC11" s="18"/>
      <c r="BD11" s="19">
        <f>VLOOKUP(BA11,'DATABASE F&amp;B'!$C$3:$F$216,4,0)</f>
        <v>0</v>
      </c>
      <c r="BE11" s="19">
        <f t="shared" si="37"/>
        <v>0</v>
      </c>
      <c r="BF11" s="16"/>
      <c r="BG11" s="17">
        <f>VLOOKUP(BF11,'DATABASE F&amp;B'!$C$3:$F$216,2,0)</f>
        <v>0</v>
      </c>
      <c r="BH11" s="18"/>
      <c r="BI11" s="19">
        <f>VLOOKUP(BF11,'DATABASE F&amp;B'!$C$3:$F$216,4,0)</f>
        <v>0</v>
      </c>
      <c r="BJ11" s="19">
        <f t="shared" si="38"/>
        <v>0</v>
      </c>
      <c r="BK11" s="16"/>
      <c r="BL11" s="17">
        <f>VLOOKUP(BK11,'DATABASE F&amp;B'!$C$3:$F$210,2,0)</f>
        <v>0</v>
      </c>
      <c r="BM11" s="18"/>
      <c r="BN11" s="19">
        <f>VLOOKUP(BK11,'DATABASE F&amp;B'!$C$3:$F$210,4,0)</f>
        <v>0</v>
      </c>
      <c r="BO11" s="19">
        <f t="shared" si="39"/>
        <v>0</v>
      </c>
      <c r="BP11" s="16"/>
      <c r="BQ11" s="17">
        <f>VLOOKUP(BP11,'DATABASE F&amp;B'!$C$3:$F$210,2,0)</f>
        <v>0</v>
      </c>
      <c r="BR11" s="18"/>
      <c r="BS11" s="19">
        <f>VLOOKUP(BP11,'DATABASE F&amp;B'!$C$3:$F$210,4,0)</f>
        <v>0</v>
      </c>
      <c r="BT11" s="19">
        <f t="shared" si="40"/>
        <v>0</v>
      </c>
      <c r="BU11" s="16"/>
      <c r="BV11" s="17">
        <f>VLOOKUP(BU11,'DATABASE F&amp;B'!$C$3:$F$210,2,0)</f>
        <v>0</v>
      </c>
      <c r="BW11" s="18"/>
      <c r="BX11" s="19">
        <f>VLOOKUP(BU11,'DATABASE F&amp;B'!$C$3:$F$210,4,0)</f>
        <v>0</v>
      </c>
      <c r="BY11" s="19">
        <f t="shared" si="41"/>
        <v>0</v>
      </c>
      <c r="BZ11" s="16"/>
      <c r="CA11" s="17">
        <f>VLOOKUP(BZ11,'DATABASE F&amp;B'!$C$3:$F$210,2,0)</f>
        <v>0</v>
      </c>
      <c r="CB11" s="18"/>
      <c r="CC11" s="19">
        <f>VLOOKUP(BZ11,'DATABASE F&amp;B'!$C$3:$F$210,4,0)</f>
        <v>0</v>
      </c>
      <c r="CD11" s="19">
        <f t="shared" si="42"/>
        <v>0</v>
      </c>
    </row>
    <row r="12" spans="1:82" ht="13.5" x14ac:dyDescent="0.25">
      <c r="A12" s="32" t="str">
        <f t="shared" ref="A12:A34" si="45">CONCATENATE(F12,"-",E12,"-20",G12)</f>
        <v>05-'02-2026</v>
      </c>
      <c r="B12" s="22">
        <f t="shared" si="43"/>
        <v>8</v>
      </c>
      <c r="C12" s="22">
        <f t="shared" si="44"/>
        <v>8</v>
      </c>
      <c r="D12" s="34">
        <v>46144</v>
      </c>
      <c r="E12" s="35" t="s">
        <v>56</v>
      </c>
      <c r="F12" s="35" t="s">
        <v>202</v>
      </c>
      <c r="G12" s="52" t="s">
        <v>81</v>
      </c>
      <c r="H12" s="36" t="str">
        <f t="shared" si="23"/>
        <v>RJ-'020526-8</v>
      </c>
      <c r="I12" s="36" t="str">
        <f t="shared" ref="I12:I34" si="46">CONCATENATE(E12,"-",F12,"-20",G12)</f>
        <v>'02-05-2026</v>
      </c>
      <c r="J12" s="37" t="str">
        <f>VLOOKUP(D12,Laporan!$C$4:$D$34,2,0)</f>
        <v>Sabtu</v>
      </c>
      <c r="K12" s="48"/>
      <c r="L12" s="13" t="s">
        <v>33</v>
      </c>
      <c r="M12" s="19">
        <f>SUMIF('DATABASE Room'!$B$3:$B$7,L12,'DATABASE Room'!$D$3:$D$7)</f>
        <v>0</v>
      </c>
      <c r="N12" s="13">
        <v>1</v>
      </c>
      <c r="O12" s="21">
        <f t="shared" ref="O12:O34" si="47">N12*M12</f>
        <v>0</v>
      </c>
      <c r="P12" s="38"/>
      <c r="Q12" s="19">
        <f t="shared" ref="Q12:Q34" si="48">P12*M12</f>
        <v>0</v>
      </c>
      <c r="R12" s="21">
        <f t="shared" ref="R12:R34" si="49">O12+Q12</f>
        <v>0</v>
      </c>
      <c r="S12" s="19">
        <f t="shared" ref="S12:S34" si="50">SUMIF($W$4:$CD$4,$S$4,W12:CD12)</f>
        <v>5</v>
      </c>
      <c r="T12" s="19">
        <f t="shared" ref="T12:T34" si="51">SUMIF($W$4:$CD$4,$T$4,W12:CD12)</f>
        <v>200000</v>
      </c>
      <c r="U12" s="21">
        <f t="shared" ref="U12:U34" si="52">R12+T12</f>
        <v>200000</v>
      </c>
      <c r="V12" s="39"/>
      <c r="W12" s="16">
        <v>44</v>
      </c>
      <c r="X12" s="17" t="str">
        <f>VLOOKUP(W12,'DATABASE F&amp;B'!$C$3:$F$216,2,0)</f>
        <v>SOJU JINRO PEACH</v>
      </c>
      <c r="Y12" s="18">
        <v>1</v>
      </c>
      <c r="Z12" s="19">
        <f>VLOOKUP(W12,'DATABASE F&amp;B'!$C$3:$F$216,4,0)</f>
        <v>145000</v>
      </c>
      <c r="AA12" s="19">
        <f t="shared" ref="AA12:AA34" si="53">Y12*Z12</f>
        <v>145000</v>
      </c>
      <c r="AB12" s="16">
        <v>99</v>
      </c>
      <c r="AC12" s="17" t="str">
        <f>VLOOKUP(AB12,'DATABASE F&amp;B'!$C$3:$F$216,2,0)</f>
        <v>SAMPOERNA MENTOL</v>
      </c>
      <c r="AD12" s="18">
        <v>1</v>
      </c>
      <c r="AE12" s="19">
        <f>VLOOKUP(AB12,'DATABASE F&amp;B'!$C$3:$F$216,4,0)</f>
        <v>55000</v>
      </c>
      <c r="AF12" s="19">
        <f t="shared" ref="AF12:AF34" si="54">AD12*AE12</f>
        <v>55000</v>
      </c>
      <c r="AG12" s="16"/>
      <c r="AH12" s="17">
        <f>VLOOKUP(AG12,'DATABASE F&amp;B'!$C$3:$F$216,2,0)</f>
        <v>0</v>
      </c>
      <c r="AI12" s="18">
        <v>1</v>
      </c>
      <c r="AJ12" s="19">
        <f>VLOOKUP(AG12,'DATABASE F&amp;B'!$C$3:$F$216,4,0)</f>
        <v>0</v>
      </c>
      <c r="AK12" s="19">
        <f t="shared" ref="AK12:AK34" si="55">AI12*AJ12</f>
        <v>0</v>
      </c>
      <c r="AL12" s="16"/>
      <c r="AM12" s="17">
        <f>VLOOKUP(AL12,'DATABASE F&amp;B'!$C$3:$F$216,2,0)</f>
        <v>0</v>
      </c>
      <c r="AN12" s="18">
        <v>1</v>
      </c>
      <c r="AO12" s="19">
        <f>VLOOKUP(AL12,'DATABASE F&amp;B'!$C$3:$F$216,4,0)</f>
        <v>0</v>
      </c>
      <c r="AP12" s="19">
        <f t="shared" ref="AP12:AP34" si="56">AN12*AO12</f>
        <v>0</v>
      </c>
      <c r="AQ12" s="16"/>
      <c r="AR12" s="17">
        <f>VLOOKUP(AQ12,'DATABASE F&amp;B'!$C$3:$F$216,2,0)</f>
        <v>0</v>
      </c>
      <c r="AS12" s="18">
        <v>1</v>
      </c>
      <c r="AT12" s="19">
        <f>VLOOKUP(AQ12,'DATABASE F&amp;B'!$C$3:$F$216,4,0)</f>
        <v>0</v>
      </c>
      <c r="AU12" s="19">
        <f t="shared" ref="AU12:AU34" si="57">AS12*AT12</f>
        <v>0</v>
      </c>
      <c r="AV12" s="16"/>
      <c r="AW12" s="17">
        <f>VLOOKUP(AV12,'DATABASE F&amp;B'!$C$3:$F$216,2,0)</f>
        <v>0</v>
      </c>
      <c r="AX12" s="18"/>
      <c r="AY12" s="19">
        <f>VLOOKUP(AV12,'DATABASE F&amp;B'!$C$3:$F$216,4,0)</f>
        <v>0</v>
      </c>
      <c r="AZ12" s="19">
        <f t="shared" ref="AZ12:AZ34" si="58">AX12*AY12</f>
        <v>0</v>
      </c>
      <c r="BA12" s="16"/>
      <c r="BB12" s="17">
        <f>VLOOKUP(BA12,'DATABASE F&amp;B'!$C$3:$F$216,2,0)</f>
        <v>0</v>
      </c>
      <c r="BC12" s="18"/>
      <c r="BD12" s="19">
        <f>VLOOKUP(BA12,'DATABASE F&amp;B'!$C$3:$F$216,4,0)</f>
        <v>0</v>
      </c>
      <c r="BE12" s="19">
        <f t="shared" ref="BE12:BE34" si="59">BC12*BD12</f>
        <v>0</v>
      </c>
      <c r="BF12" s="16"/>
      <c r="BG12" s="17">
        <f>VLOOKUP(BF12,'DATABASE F&amp;B'!$C$3:$F$216,2,0)</f>
        <v>0</v>
      </c>
      <c r="BH12" s="18"/>
      <c r="BI12" s="19">
        <f>VLOOKUP(BF12,'DATABASE F&amp;B'!$C$3:$F$216,4,0)</f>
        <v>0</v>
      </c>
      <c r="BJ12" s="19">
        <f t="shared" ref="BJ12:BJ34" si="60">BH12*BI12</f>
        <v>0</v>
      </c>
      <c r="BK12" s="16"/>
      <c r="BL12" s="17">
        <f>VLOOKUP(BK12,'DATABASE F&amp;B'!$C$3:$F$210,2,0)</f>
        <v>0</v>
      </c>
      <c r="BM12" s="18"/>
      <c r="BN12" s="19">
        <f>VLOOKUP(BK12,'DATABASE F&amp;B'!$C$3:$F$210,4,0)</f>
        <v>0</v>
      </c>
      <c r="BO12" s="19">
        <f t="shared" ref="BO12:BO34" si="61">BM12*BN12</f>
        <v>0</v>
      </c>
      <c r="BP12" s="16"/>
      <c r="BQ12" s="17">
        <f>VLOOKUP(BP12,'DATABASE F&amp;B'!$C$3:$F$210,2,0)</f>
        <v>0</v>
      </c>
      <c r="BR12" s="18"/>
      <c r="BS12" s="19">
        <f>VLOOKUP(BP12,'DATABASE F&amp;B'!$C$3:$F$210,4,0)</f>
        <v>0</v>
      </c>
      <c r="BT12" s="19">
        <f t="shared" ref="BT12:BT34" si="62">BR12*BS12</f>
        <v>0</v>
      </c>
      <c r="BU12" s="16"/>
      <c r="BV12" s="17">
        <f>VLOOKUP(BU12,'DATABASE F&amp;B'!$C$3:$F$210,2,0)</f>
        <v>0</v>
      </c>
      <c r="BW12" s="18"/>
      <c r="BX12" s="19">
        <f>VLOOKUP(BU12,'DATABASE F&amp;B'!$C$3:$F$210,4,0)</f>
        <v>0</v>
      </c>
      <c r="BY12" s="19">
        <f t="shared" ref="BY12:BY34" si="63">BW12*BX12</f>
        <v>0</v>
      </c>
      <c r="BZ12" s="16"/>
      <c r="CA12" s="17">
        <f>VLOOKUP(BZ12,'DATABASE F&amp;B'!$C$3:$F$210,2,0)</f>
        <v>0</v>
      </c>
      <c r="CB12" s="18"/>
      <c r="CC12" s="19">
        <f>VLOOKUP(BZ12,'DATABASE F&amp;B'!$C$3:$F$210,4,0)</f>
        <v>0</v>
      </c>
      <c r="CD12" s="19">
        <f t="shared" ref="CD12:CD34" si="64">CB12*CC12</f>
        <v>0</v>
      </c>
    </row>
    <row r="13" spans="1:82" ht="13.5" x14ac:dyDescent="0.25">
      <c r="A13" s="32" t="str">
        <f t="shared" si="45"/>
        <v>05-'02-2026</v>
      </c>
      <c r="B13" s="22">
        <f t="shared" si="43"/>
        <v>9</v>
      </c>
      <c r="C13" s="22">
        <f t="shared" si="44"/>
        <v>9</v>
      </c>
      <c r="D13" s="34">
        <v>46144</v>
      </c>
      <c r="E13" s="35" t="s">
        <v>56</v>
      </c>
      <c r="F13" s="35" t="s">
        <v>202</v>
      </c>
      <c r="G13" s="52" t="s">
        <v>81</v>
      </c>
      <c r="H13" s="36" t="str">
        <f t="shared" si="23"/>
        <v>RJ-'020526-9</v>
      </c>
      <c r="I13" s="36" t="str">
        <f t="shared" si="46"/>
        <v>'02-05-2026</v>
      </c>
      <c r="J13" s="37" t="str">
        <f>VLOOKUP(D13,Laporan!$C$4:$D$34,2,0)</f>
        <v>Sabtu</v>
      </c>
      <c r="K13" s="48"/>
      <c r="L13" s="13" t="s">
        <v>33</v>
      </c>
      <c r="M13" s="19">
        <f>SUMIF('DATABASE Room'!$B$3:$B$7,L13,'DATABASE Room'!$D$3:$D$7)</f>
        <v>0</v>
      </c>
      <c r="N13" s="13">
        <v>1</v>
      </c>
      <c r="O13" s="21">
        <f t="shared" si="47"/>
        <v>0</v>
      </c>
      <c r="P13" s="38"/>
      <c r="Q13" s="19">
        <f t="shared" si="48"/>
        <v>0</v>
      </c>
      <c r="R13" s="21">
        <f t="shared" si="49"/>
        <v>0</v>
      </c>
      <c r="S13" s="19">
        <f t="shared" si="50"/>
        <v>5</v>
      </c>
      <c r="T13" s="19">
        <f t="shared" si="51"/>
        <v>825000</v>
      </c>
      <c r="U13" s="21">
        <f t="shared" si="52"/>
        <v>825000</v>
      </c>
      <c r="V13" s="39"/>
      <c r="W13" s="16">
        <v>119</v>
      </c>
      <c r="X13" s="17" t="str">
        <f>VLOOKUP(W13,'DATABASE F&amp;B'!$C$3:$F$216,2,0)</f>
        <v>JACK DANIELS NO 7</v>
      </c>
      <c r="Y13" s="18">
        <v>1</v>
      </c>
      <c r="Z13" s="19">
        <f>VLOOKUP(W13,'DATABASE F&amp;B'!$C$3:$F$216,4,0)</f>
        <v>825000</v>
      </c>
      <c r="AA13" s="19">
        <f t="shared" si="53"/>
        <v>825000</v>
      </c>
      <c r="AB13" s="16"/>
      <c r="AC13" s="17">
        <f>VLOOKUP(AB13,'DATABASE F&amp;B'!$C$3:$F$216,2,0)</f>
        <v>0</v>
      </c>
      <c r="AD13" s="18">
        <v>1</v>
      </c>
      <c r="AE13" s="19">
        <f>VLOOKUP(AB13,'DATABASE F&amp;B'!$C$3:$F$216,4,0)</f>
        <v>0</v>
      </c>
      <c r="AF13" s="19">
        <f t="shared" si="54"/>
        <v>0</v>
      </c>
      <c r="AG13" s="16"/>
      <c r="AH13" s="17">
        <f>VLOOKUP(AG13,'DATABASE F&amp;B'!$C$3:$F$216,2,0)</f>
        <v>0</v>
      </c>
      <c r="AI13" s="18">
        <v>1</v>
      </c>
      <c r="AJ13" s="19">
        <f>VLOOKUP(AG13,'DATABASE F&amp;B'!$C$3:$F$216,4,0)</f>
        <v>0</v>
      </c>
      <c r="AK13" s="19">
        <f t="shared" si="55"/>
        <v>0</v>
      </c>
      <c r="AL13" s="16"/>
      <c r="AM13" s="17">
        <f>VLOOKUP(AL13,'DATABASE F&amp;B'!$C$3:$F$216,2,0)</f>
        <v>0</v>
      </c>
      <c r="AN13" s="18">
        <v>1</v>
      </c>
      <c r="AO13" s="19">
        <f>VLOOKUP(AL13,'DATABASE F&amp;B'!$C$3:$F$216,4,0)</f>
        <v>0</v>
      </c>
      <c r="AP13" s="19">
        <f t="shared" si="56"/>
        <v>0</v>
      </c>
      <c r="AQ13" s="16"/>
      <c r="AR13" s="17">
        <f>VLOOKUP(AQ13,'DATABASE F&amp;B'!$C$3:$F$216,2,0)</f>
        <v>0</v>
      </c>
      <c r="AS13" s="18">
        <v>1</v>
      </c>
      <c r="AT13" s="19">
        <f>VLOOKUP(AQ13,'DATABASE F&amp;B'!$C$3:$F$216,4,0)</f>
        <v>0</v>
      </c>
      <c r="AU13" s="19">
        <f t="shared" si="57"/>
        <v>0</v>
      </c>
      <c r="AV13" s="16"/>
      <c r="AW13" s="17">
        <f>VLOOKUP(AV13,'DATABASE F&amp;B'!$C$3:$F$216,2,0)</f>
        <v>0</v>
      </c>
      <c r="AX13" s="18"/>
      <c r="AY13" s="19">
        <f>VLOOKUP(AV13,'DATABASE F&amp;B'!$C$3:$F$216,4,0)</f>
        <v>0</v>
      </c>
      <c r="AZ13" s="19">
        <f t="shared" si="58"/>
        <v>0</v>
      </c>
      <c r="BA13" s="16"/>
      <c r="BB13" s="17">
        <f>VLOOKUP(BA13,'DATABASE F&amp;B'!$C$3:$F$216,2,0)</f>
        <v>0</v>
      </c>
      <c r="BC13" s="18"/>
      <c r="BD13" s="19">
        <f>VLOOKUP(BA13,'DATABASE F&amp;B'!$C$3:$F$216,4,0)</f>
        <v>0</v>
      </c>
      <c r="BE13" s="19">
        <f t="shared" si="59"/>
        <v>0</v>
      </c>
      <c r="BF13" s="16"/>
      <c r="BG13" s="17">
        <f>VLOOKUP(BF13,'DATABASE F&amp;B'!$C$3:$F$216,2,0)</f>
        <v>0</v>
      </c>
      <c r="BH13" s="18"/>
      <c r="BI13" s="19">
        <f>VLOOKUP(BF13,'DATABASE F&amp;B'!$C$3:$F$216,4,0)</f>
        <v>0</v>
      </c>
      <c r="BJ13" s="19">
        <f t="shared" si="60"/>
        <v>0</v>
      </c>
      <c r="BK13" s="16"/>
      <c r="BL13" s="17">
        <f>VLOOKUP(BK13,'DATABASE F&amp;B'!$C$3:$F$210,2,0)</f>
        <v>0</v>
      </c>
      <c r="BM13" s="18"/>
      <c r="BN13" s="19">
        <f>VLOOKUP(BK13,'DATABASE F&amp;B'!$C$3:$F$210,4,0)</f>
        <v>0</v>
      </c>
      <c r="BO13" s="19">
        <f t="shared" si="61"/>
        <v>0</v>
      </c>
      <c r="BP13" s="16"/>
      <c r="BQ13" s="17">
        <f>VLOOKUP(BP13,'DATABASE F&amp;B'!$C$3:$F$210,2,0)</f>
        <v>0</v>
      </c>
      <c r="BR13" s="18"/>
      <c r="BS13" s="19">
        <f>VLOOKUP(BP13,'DATABASE F&amp;B'!$C$3:$F$210,4,0)</f>
        <v>0</v>
      </c>
      <c r="BT13" s="19">
        <f t="shared" si="62"/>
        <v>0</v>
      </c>
      <c r="BU13" s="16"/>
      <c r="BV13" s="17">
        <f>VLOOKUP(BU13,'DATABASE F&amp;B'!$C$3:$F$210,2,0)</f>
        <v>0</v>
      </c>
      <c r="BW13" s="18"/>
      <c r="BX13" s="19">
        <f>VLOOKUP(BU13,'DATABASE F&amp;B'!$C$3:$F$210,4,0)</f>
        <v>0</v>
      </c>
      <c r="BY13" s="19">
        <f t="shared" si="63"/>
        <v>0</v>
      </c>
      <c r="BZ13" s="16"/>
      <c r="CA13" s="17">
        <f>VLOOKUP(BZ13,'DATABASE F&amp;B'!$C$3:$F$210,2,0)</f>
        <v>0</v>
      </c>
      <c r="CB13" s="18"/>
      <c r="CC13" s="19">
        <f>VLOOKUP(BZ13,'DATABASE F&amp;B'!$C$3:$F$210,4,0)</f>
        <v>0</v>
      </c>
      <c r="CD13" s="19">
        <f t="shared" si="64"/>
        <v>0</v>
      </c>
    </row>
    <row r="14" spans="1:82" ht="13.5" x14ac:dyDescent="0.25">
      <c r="A14" s="32" t="str">
        <f t="shared" si="45"/>
        <v>05-'02-2026</v>
      </c>
      <c r="B14" s="22">
        <f t="shared" si="43"/>
        <v>10</v>
      </c>
      <c r="C14" s="22">
        <f t="shared" si="44"/>
        <v>10</v>
      </c>
      <c r="D14" s="34">
        <v>46144</v>
      </c>
      <c r="E14" s="35" t="s">
        <v>56</v>
      </c>
      <c r="F14" s="35" t="s">
        <v>202</v>
      </c>
      <c r="G14" s="52" t="s">
        <v>81</v>
      </c>
      <c r="H14" s="36" t="str">
        <f t="shared" si="23"/>
        <v>RJ-'020526-10</v>
      </c>
      <c r="I14" s="36" t="str">
        <f t="shared" si="46"/>
        <v>'02-05-2026</v>
      </c>
      <c r="J14" s="37" t="str">
        <f>VLOOKUP(D14,Laporan!$C$4:$D$34,2,0)</f>
        <v>Sabtu</v>
      </c>
      <c r="K14" s="48"/>
      <c r="L14" s="13" t="s">
        <v>33</v>
      </c>
      <c r="M14" s="19">
        <f>SUMIF('DATABASE Room'!$B$3:$B$7,L14,'DATABASE Room'!$D$3:$D$7)</f>
        <v>0</v>
      </c>
      <c r="N14" s="13">
        <v>1</v>
      </c>
      <c r="O14" s="21">
        <f t="shared" si="47"/>
        <v>0</v>
      </c>
      <c r="P14" s="38"/>
      <c r="Q14" s="19">
        <f t="shared" si="48"/>
        <v>0</v>
      </c>
      <c r="R14" s="21">
        <f t="shared" si="49"/>
        <v>0</v>
      </c>
      <c r="S14" s="19">
        <f t="shared" si="50"/>
        <v>5</v>
      </c>
      <c r="T14" s="19">
        <f t="shared" si="51"/>
        <v>32000</v>
      </c>
      <c r="U14" s="21">
        <f t="shared" si="52"/>
        <v>32000</v>
      </c>
      <c r="V14" s="39"/>
      <c r="W14" s="16">
        <v>22</v>
      </c>
      <c r="X14" s="17" t="str">
        <f>VLOOKUP(W14,'DATABASE F&amp;B'!$C$3:$F$216,2,0)</f>
        <v>PERI PERI CHICKEN RICE</v>
      </c>
      <c r="Y14" s="18">
        <v>1</v>
      </c>
      <c r="Z14" s="19">
        <f>VLOOKUP(W14,'DATABASE F&amp;B'!$C$3:$F$216,4,0)</f>
        <v>32000</v>
      </c>
      <c r="AA14" s="19">
        <f t="shared" si="53"/>
        <v>32000</v>
      </c>
      <c r="AB14" s="16"/>
      <c r="AC14" s="17">
        <f>VLOOKUP(AB14,'DATABASE F&amp;B'!$C$3:$F$216,2,0)</f>
        <v>0</v>
      </c>
      <c r="AD14" s="18">
        <v>1</v>
      </c>
      <c r="AE14" s="19">
        <f>VLOOKUP(AB14,'DATABASE F&amp;B'!$C$3:$F$216,4,0)</f>
        <v>0</v>
      </c>
      <c r="AF14" s="19">
        <f t="shared" si="54"/>
        <v>0</v>
      </c>
      <c r="AG14" s="16"/>
      <c r="AH14" s="17">
        <f>VLOOKUP(AG14,'DATABASE F&amp;B'!$C$3:$F$216,2,0)</f>
        <v>0</v>
      </c>
      <c r="AI14" s="18">
        <v>1</v>
      </c>
      <c r="AJ14" s="19">
        <f>VLOOKUP(AG14,'DATABASE F&amp;B'!$C$3:$F$216,4,0)</f>
        <v>0</v>
      </c>
      <c r="AK14" s="19">
        <f t="shared" si="55"/>
        <v>0</v>
      </c>
      <c r="AL14" s="16"/>
      <c r="AM14" s="17">
        <f>VLOOKUP(AL14,'DATABASE F&amp;B'!$C$3:$F$216,2,0)</f>
        <v>0</v>
      </c>
      <c r="AN14" s="18">
        <v>1</v>
      </c>
      <c r="AO14" s="19">
        <f>VLOOKUP(AL14,'DATABASE F&amp;B'!$C$3:$F$216,4,0)</f>
        <v>0</v>
      </c>
      <c r="AP14" s="19">
        <f t="shared" si="56"/>
        <v>0</v>
      </c>
      <c r="AQ14" s="16"/>
      <c r="AR14" s="17">
        <f>VLOOKUP(AQ14,'DATABASE F&amp;B'!$C$3:$F$216,2,0)</f>
        <v>0</v>
      </c>
      <c r="AS14" s="18">
        <v>1</v>
      </c>
      <c r="AT14" s="19">
        <f>VLOOKUP(AQ14,'DATABASE F&amp;B'!$C$3:$F$216,4,0)</f>
        <v>0</v>
      </c>
      <c r="AU14" s="19">
        <f t="shared" si="57"/>
        <v>0</v>
      </c>
      <c r="AV14" s="16"/>
      <c r="AW14" s="17">
        <f>VLOOKUP(AV14,'DATABASE F&amp;B'!$C$3:$F$216,2,0)</f>
        <v>0</v>
      </c>
      <c r="AX14" s="18"/>
      <c r="AY14" s="19">
        <f>VLOOKUP(AV14,'DATABASE F&amp;B'!$C$3:$F$216,4,0)</f>
        <v>0</v>
      </c>
      <c r="AZ14" s="19">
        <f t="shared" si="58"/>
        <v>0</v>
      </c>
      <c r="BA14" s="16"/>
      <c r="BB14" s="17">
        <f>VLOOKUP(BA14,'DATABASE F&amp;B'!$C$3:$F$216,2,0)</f>
        <v>0</v>
      </c>
      <c r="BC14" s="18"/>
      <c r="BD14" s="19">
        <f>VLOOKUP(BA14,'DATABASE F&amp;B'!$C$3:$F$216,4,0)</f>
        <v>0</v>
      </c>
      <c r="BE14" s="19">
        <f t="shared" si="59"/>
        <v>0</v>
      </c>
      <c r="BF14" s="16"/>
      <c r="BG14" s="17">
        <f>VLOOKUP(BF14,'DATABASE F&amp;B'!$C$3:$F$216,2,0)</f>
        <v>0</v>
      </c>
      <c r="BH14" s="18"/>
      <c r="BI14" s="19">
        <f>VLOOKUP(BF14,'DATABASE F&amp;B'!$C$3:$F$216,4,0)</f>
        <v>0</v>
      </c>
      <c r="BJ14" s="19">
        <f t="shared" si="60"/>
        <v>0</v>
      </c>
      <c r="BK14" s="16"/>
      <c r="BL14" s="17">
        <f>VLOOKUP(BK14,'DATABASE F&amp;B'!$C$3:$F$210,2,0)</f>
        <v>0</v>
      </c>
      <c r="BM14" s="18"/>
      <c r="BN14" s="19">
        <f>VLOOKUP(BK14,'DATABASE F&amp;B'!$C$3:$F$210,4,0)</f>
        <v>0</v>
      </c>
      <c r="BO14" s="19">
        <f t="shared" si="61"/>
        <v>0</v>
      </c>
      <c r="BP14" s="16"/>
      <c r="BQ14" s="17">
        <f>VLOOKUP(BP14,'DATABASE F&amp;B'!$C$3:$F$210,2,0)</f>
        <v>0</v>
      </c>
      <c r="BR14" s="18"/>
      <c r="BS14" s="19">
        <f>VLOOKUP(BP14,'DATABASE F&amp;B'!$C$3:$F$210,4,0)</f>
        <v>0</v>
      </c>
      <c r="BT14" s="19">
        <f t="shared" si="62"/>
        <v>0</v>
      </c>
      <c r="BU14" s="16"/>
      <c r="BV14" s="17">
        <f>VLOOKUP(BU14,'DATABASE F&amp;B'!$C$3:$F$210,2,0)</f>
        <v>0</v>
      </c>
      <c r="BW14" s="18"/>
      <c r="BX14" s="19">
        <f>VLOOKUP(BU14,'DATABASE F&amp;B'!$C$3:$F$210,4,0)</f>
        <v>0</v>
      </c>
      <c r="BY14" s="19">
        <f t="shared" si="63"/>
        <v>0</v>
      </c>
      <c r="BZ14" s="16"/>
      <c r="CA14" s="17">
        <f>VLOOKUP(BZ14,'DATABASE F&amp;B'!$C$3:$F$210,2,0)</f>
        <v>0</v>
      </c>
      <c r="CB14" s="18"/>
      <c r="CC14" s="19">
        <f>VLOOKUP(BZ14,'DATABASE F&amp;B'!$C$3:$F$210,4,0)</f>
        <v>0</v>
      </c>
      <c r="CD14" s="19">
        <f t="shared" si="64"/>
        <v>0</v>
      </c>
    </row>
    <row r="15" spans="1:82" ht="13.5" x14ac:dyDescent="0.25">
      <c r="A15" s="32" t="str">
        <f t="shared" si="45"/>
        <v>05-'02-2026</v>
      </c>
      <c r="B15" s="22">
        <f t="shared" si="43"/>
        <v>11</v>
      </c>
      <c r="C15" s="22">
        <f t="shared" si="44"/>
        <v>11</v>
      </c>
      <c r="D15" s="34">
        <v>46144</v>
      </c>
      <c r="E15" s="35" t="s">
        <v>56</v>
      </c>
      <c r="F15" s="35" t="s">
        <v>202</v>
      </c>
      <c r="G15" s="52" t="s">
        <v>81</v>
      </c>
      <c r="H15" s="36" t="str">
        <f t="shared" si="23"/>
        <v>RJ-'020526-11</v>
      </c>
      <c r="I15" s="36" t="str">
        <f t="shared" si="46"/>
        <v>'02-05-2026</v>
      </c>
      <c r="J15" s="37" t="str">
        <f>VLOOKUP(D15,Laporan!$C$4:$D$34,2,0)</f>
        <v>Sabtu</v>
      </c>
      <c r="K15" s="48"/>
      <c r="L15" s="13" t="s">
        <v>33</v>
      </c>
      <c r="M15" s="19">
        <f>SUMIF('DATABASE Room'!$B$3:$B$7,L15,'DATABASE Room'!$D$3:$D$7)</f>
        <v>0</v>
      </c>
      <c r="N15" s="13">
        <v>1</v>
      </c>
      <c r="O15" s="21">
        <f t="shared" si="47"/>
        <v>0</v>
      </c>
      <c r="P15" s="38"/>
      <c r="Q15" s="19">
        <f t="shared" si="48"/>
        <v>0</v>
      </c>
      <c r="R15" s="21">
        <f t="shared" si="49"/>
        <v>0</v>
      </c>
      <c r="S15" s="19">
        <f t="shared" si="50"/>
        <v>5</v>
      </c>
      <c r="T15" s="19">
        <f t="shared" si="51"/>
        <v>32000</v>
      </c>
      <c r="U15" s="21">
        <f t="shared" si="52"/>
        <v>32000</v>
      </c>
      <c r="V15" s="39"/>
      <c r="W15" s="16">
        <v>23</v>
      </c>
      <c r="X15" s="17" t="str">
        <f>VLOOKUP(W15,'DATABASE F&amp;B'!$C$3:$F$216,2,0)</f>
        <v>NASI GORENG TUNA SAMBAL IJO</v>
      </c>
      <c r="Y15" s="18">
        <v>1</v>
      </c>
      <c r="Z15" s="19">
        <f>VLOOKUP(W15,'DATABASE F&amp;B'!$C$3:$F$216,4,0)</f>
        <v>32000</v>
      </c>
      <c r="AA15" s="19">
        <f t="shared" si="53"/>
        <v>32000</v>
      </c>
      <c r="AB15" s="16"/>
      <c r="AC15" s="17">
        <f>VLOOKUP(AB15,'DATABASE F&amp;B'!$C$3:$F$216,2,0)</f>
        <v>0</v>
      </c>
      <c r="AD15" s="18">
        <v>1</v>
      </c>
      <c r="AE15" s="19">
        <f>VLOOKUP(AB15,'DATABASE F&amp;B'!$C$3:$F$216,4,0)</f>
        <v>0</v>
      </c>
      <c r="AF15" s="19">
        <f t="shared" si="54"/>
        <v>0</v>
      </c>
      <c r="AG15" s="16"/>
      <c r="AH15" s="17">
        <f>VLOOKUP(AG15,'DATABASE F&amp;B'!$C$3:$F$216,2,0)</f>
        <v>0</v>
      </c>
      <c r="AI15" s="18">
        <v>1</v>
      </c>
      <c r="AJ15" s="19">
        <f>VLOOKUP(AG15,'DATABASE F&amp;B'!$C$3:$F$216,4,0)</f>
        <v>0</v>
      </c>
      <c r="AK15" s="19">
        <f t="shared" si="55"/>
        <v>0</v>
      </c>
      <c r="AL15" s="16"/>
      <c r="AM15" s="17">
        <f>VLOOKUP(AL15,'DATABASE F&amp;B'!$C$3:$F$216,2,0)</f>
        <v>0</v>
      </c>
      <c r="AN15" s="18">
        <v>1</v>
      </c>
      <c r="AO15" s="19">
        <f>VLOOKUP(AL15,'DATABASE F&amp;B'!$C$3:$F$216,4,0)</f>
        <v>0</v>
      </c>
      <c r="AP15" s="19">
        <f t="shared" si="56"/>
        <v>0</v>
      </c>
      <c r="AQ15" s="16"/>
      <c r="AR15" s="17">
        <f>VLOOKUP(AQ15,'DATABASE F&amp;B'!$C$3:$F$216,2,0)</f>
        <v>0</v>
      </c>
      <c r="AS15" s="18">
        <v>1</v>
      </c>
      <c r="AT15" s="19">
        <f>VLOOKUP(AQ15,'DATABASE F&amp;B'!$C$3:$F$216,4,0)</f>
        <v>0</v>
      </c>
      <c r="AU15" s="19">
        <f t="shared" si="57"/>
        <v>0</v>
      </c>
      <c r="AV15" s="16"/>
      <c r="AW15" s="17">
        <f>VLOOKUP(AV15,'DATABASE F&amp;B'!$C$3:$F$216,2,0)</f>
        <v>0</v>
      </c>
      <c r="AX15" s="18"/>
      <c r="AY15" s="19">
        <f>VLOOKUP(AV15,'DATABASE F&amp;B'!$C$3:$F$216,4,0)</f>
        <v>0</v>
      </c>
      <c r="AZ15" s="19">
        <f t="shared" si="58"/>
        <v>0</v>
      </c>
      <c r="BA15" s="16"/>
      <c r="BB15" s="17">
        <f>VLOOKUP(BA15,'DATABASE F&amp;B'!$C$3:$F$216,2,0)</f>
        <v>0</v>
      </c>
      <c r="BC15" s="18"/>
      <c r="BD15" s="19">
        <f>VLOOKUP(BA15,'DATABASE F&amp;B'!$C$3:$F$216,4,0)</f>
        <v>0</v>
      </c>
      <c r="BE15" s="19">
        <f t="shared" si="59"/>
        <v>0</v>
      </c>
      <c r="BF15" s="16"/>
      <c r="BG15" s="17">
        <f>VLOOKUP(BF15,'DATABASE F&amp;B'!$C$3:$F$216,2,0)</f>
        <v>0</v>
      </c>
      <c r="BH15" s="18"/>
      <c r="BI15" s="19">
        <f>VLOOKUP(BF15,'DATABASE F&amp;B'!$C$3:$F$216,4,0)</f>
        <v>0</v>
      </c>
      <c r="BJ15" s="19">
        <f t="shared" si="60"/>
        <v>0</v>
      </c>
      <c r="BK15" s="16"/>
      <c r="BL15" s="17">
        <f>VLOOKUP(BK15,'DATABASE F&amp;B'!$C$3:$F$210,2,0)</f>
        <v>0</v>
      </c>
      <c r="BM15" s="18"/>
      <c r="BN15" s="19">
        <f>VLOOKUP(BK15,'DATABASE F&amp;B'!$C$3:$F$210,4,0)</f>
        <v>0</v>
      </c>
      <c r="BO15" s="19">
        <f t="shared" si="61"/>
        <v>0</v>
      </c>
      <c r="BP15" s="16"/>
      <c r="BQ15" s="17">
        <f>VLOOKUP(BP15,'DATABASE F&amp;B'!$C$3:$F$210,2,0)</f>
        <v>0</v>
      </c>
      <c r="BR15" s="18"/>
      <c r="BS15" s="19">
        <f>VLOOKUP(BP15,'DATABASE F&amp;B'!$C$3:$F$210,4,0)</f>
        <v>0</v>
      </c>
      <c r="BT15" s="19">
        <f t="shared" si="62"/>
        <v>0</v>
      </c>
      <c r="BU15" s="16"/>
      <c r="BV15" s="17">
        <f>VLOOKUP(BU15,'DATABASE F&amp;B'!$C$3:$F$210,2,0)</f>
        <v>0</v>
      </c>
      <c r="BW15" s="18"/>
      <c r="BX15" s="19">
        <f>VLOOKUP(BU15,'DATABASE F&amp;B'!$C$3:$F$210,4,0)</f>
        <v>0</v>
      </c>
      <c r="BY15" s="19">
        <f t="shared" si="63"/>
        <v>0</v>
      </c>
      <c r="BZ15" s="16"/>
      <c r="CA15" s="17">
        <f>VLOOKUP(BZ15,'DATABASE F&amp;B'!$C$3:$F$210,2,0)</f>
        <v>0</v>
      </c>
      <c r="CB15" s="18"/>
      <c r="CC15" s="19">
        <f>VLOOKUP(BZ15,'DATABASE F&amp;B'!$C$3:$F$210,4,0)</f>
        <v>0</v>
      </c>
      <c r="CD15" s="19">
        <f t="shared" si="64"/>
        <v>0</v>
      </c>
    </row>
    <row r="16" spans="1:82" ht="13.5" x14ac:dyDescent="0.25">
      <c r="A16" s="32" t="str">
        <f t="shared" si="45"/>
        <v>05-'02-2026</v>
      </c>
      <c r="B16" s="22">
        <f t="shared" si="43"/>
        <v>12</v>
      </c>
      <c r="C16" s="22">
        <f t="shared" si="44"/>
        <v>12</v>
      </c>
      <c r="D16" s="34">
        <v>46144</v>
      </c>
      <c r="E16" s="35" t="s">
        <v>56</v>
      </c>
      <c r="F16" s="35" t="s">
        <v>202</v>
      </c>
      <c r="G16" s="52" t="s">
        <v>81</v>
      </c>
      <c r="H16" s="36" t="str">
        <f t="shared" si="23"/>
        <v>RJ-'020526-12</v>
      </c>
      <c r="I16" s="36" t="str">
        <f t="shared" si="46"/>
        <v>'02-05-2026</v>
      </c>
      <c r="J16" s="37" t="str">
        <f>VLOOKUP(D16,Laporan!$C$4:$D$34,2,0)</f>
        <v>Sabtu</v>
      </c>
      <c r="K16" s="48"/>
      <c r="L16" s="13" t="s">
        <v>33</v>
      </c>
      <c r="M16" s="19">
        <f>SUMIF('DATABASE Room'!$B$3:$B$7,L16,'DATABASE Room'!$D$3:$D$7)</f>
        <v>0</v>
      </c>
      <c r="N16" s="13">
        <v>1</v>
      </c>
      <c r="O16" s="21">
        <f t="shared" si="47"/>
        <v>0</v>
      </c>
      <c r="P16" s="38"/>
      <c r="Q16" s="19">
        <f t="shared" si="48"/>
        <v>0</v>
      </c>
      <c r="R16" s="21">
        <f t="shared" si="49"/>
        <v>0</v>
      </c>
      <c r="S16" s="19">
        <f t="shared" si="50"/>
        <v>5</v>
      </c>
      <c r="T16" s="19">
        <f t="shared" si="51"/>
        <v>57000</v>
      </c>
      <c r="U16" s="21">
        <f t="shared" si="52"/>
        <v>57000</v>
      </c>
      <c r="V16" s="39"/>
      <c r="W16" s="16">
        <v>24</v>
      </c>
      <c r="X16" s="17" t="str">
        <f>VLOOKUP(W16,'DATABASE F&amp;B'!$C$3:$F$216,2,0)</f>
        <v>KATSU OMURICE</v>
      </c>
      <c r="Y16" s="18">
        <v>1</v>
      </c>
      <c r="Z16" s="19">
        <f>VLOOKUP(W16,'DATABASE F&amp;B'!$C$3:$F$216,4,0)</f>
        <v>35000</v>
      </c>
      <c r="AA16" s="19">
        <f t="shared" si="53"/>
        <v>35000</v>
      </c>
      <c r="AB16" s="16">
        <v>8</v>
      </c>
      <c r="AC16" s="17" t="str">
        <f>VLOOKUP(AB16,'DATABASE F&amp;B'!$C$3:$F$216,2,0)</f>
        <v>MACARONI PEDES</v>
      </c>
      <c r="AD16" s="18">
        <v>1</v>
      </c>
      <c r="AE16" s="19">
        <f>VLOOKUP(AB16,'DATABASE F&amp;B'!$C$3:$F$216,4,0)</f>
        <v>22000</v>
      </c>
      <c r="AF16" s="19">
        <f t="shared" si="54"/>
        <v>22000</v>
      </c>
      <c r="AG16" s="16"/>
      <c r="AH16" s="17">
        <f>VLOOKUP(AG16,'DATABASE F&amp;B'!$C$3:$F$216,2,0)</f>
        <v>0</v>
      </c>
      <c r="AI16" s="18">
        <v>1</v>
      </c>
      <c r="AJ16" s="19">
        <f>VLOOKUP(AG16,'DATABASE F&amp;B'!$C$3:$F$216,4,0)</f>
        <v>0</v>
      </c>
      <c r="AK16" s="19">
        <f t="shared" si="55"/>
        <v>0</v>
      </c>
      <c r="AL16" s="16"/>
      <c r="AM16" s="17">
        <f>VLOOKUP(AL16,'DATABASE F&amp;B'!$C$3:$F$216,2,0)</f>
        <v>0</v>
      </c>
      <c r="AN16" s="18">
        <v>1</v>
      </c>
      <c r="AO16" s="19">
        <f>VLOOKUP(AL16,'DATABASE F&amp;B'!$C$3:$F$216,4,0)</f>
        <v>0</v>
      </c>
      <c r="AP16" s="19">
        <f t="shared" si="56"/>
        <v>0</v>
      </c>
      <c r="AQ16" s="16"/>
      <c r="AR16" s="17">
        <f>VLOOKUP(AQ16,'DATABASE F&amp;B'!$C$3:$F$216,2,0)</f>
        <v>0</v>
      </c>
      <c r="AS16" s="18">
        <v>1</v>
      </c>
      <c r="AT16" s="19">
        <f>VLOOKUP(AQ16,'DATABASE F&amp;B'!$C$3:$F$216,4,0)</f>
        <v>0</v>
      </c>
      <c r="AU16" s="19">
        <f t="shared" si="57"/>
        <v>0</v>
      </c>
      <c r="AV16" s="16"/>
      <c r="AW16" s="17">
        <f>VLOOKUP(AV16,'DATABASE F&amp;B'!$C$3:$F$216,2,0)</f>
        <v>0</v>
      </c>
      <c r="AX16" s="18"/>
      <c r="AY16" s="19">
        <f>VLOOKUP(AV16,'DATABASE F&amp;B'!$C$3:$F$216,4,0)</f>
        <v>0</v>
      </c>
      <c r="AZ16" s="19">
        <f t="shared" si="58"/>
        <v>0</v>
      </c>
      <c r="BA16" s="16"/>
      <c r="BB16" s="17">
        <f>VLOOKUP(BA16,'DATABASE F&amp;B'!$C$3:$F$216,2,0)</f>
        <v>0</v>
      </c>
      <c r="BC16" s="18"/>
      <c r="BD16" s="19">
        <f>VLOOKUP(BA16,'DATABASE F&amp;B'!$C$3:$F$216,4,0)</f>
        <v>0</v>
      </c>
      <c r="BE16" s="19">
        <f t="shared" si="59"/>
        <v>0</v>
      </c>
      <c r="BF16" s="16"/>
      <c r="BG16" s="17">
        <f>VLOOKUP(BF16,'DATABASE F&amp;B'!$C$3:$F$216,2,0)</f>
        <v>0</v>
      </c>
      <c r="BH16" s="18"/>
      <c r="BI16" s="19">
        <f>VLOOKUP(BF16,'DATABASE F&amp;B'!$C$3:$F$216,4,0)</f>
        <v>0</v>
      </c>
      <c r="BJ16" s="19">
        <f t="shared" si="60"/>
        <v>0</v>
      </c>
      <c r="BK16" s="16"/>
      <c r="BL16" s="17">
        <f>VLOOKUP(BK16,'DATABASE F&amp;B'!$C$3:$F$210,2,0)</f>
        <v>0</v>
      </c>
      <c r="BM16" s="18"/>
      <c r="BN16" s="19">
        <f>VLOOKUP(BK16,'DATABASE F&amp;B'!$C$3:$F$210,4,0)</f>
        <v>0</v>
      </c>
      <c r="BO16" s="19">
        <f t="shared" si="61"/>
        <v>0</v>
      </c>
      <c r="BP16" s="16"/>
      <c r="BQ16" s="17">
        <f>VLOOKUP(BP16,'DATABASE F&amp;B'!$C$3:$F$210,2,0)</f>
        <v>0</v>
      </c>
      <c r="BR16" s="18"/>
      <c r="BS16" s="19">
        <f>VLOOKUP(BP16,'DATABASE F&amp;B'!$C$3:$F$210,4,0)</f>
        <v>0</v>
      </c>
      <c r="BT16" s="19">
        <f t="shared" si="62"/>
        <v>0</v>
      </c>
      <c r="BU16" s="16"/>
      <c r="BV16" s="17">
        <f>VLOOKUP(BU16,'DATABASE F&amp;B'!$C$3:$F$210,2,0)</f>
        <v>0</v>
      </c>
      <c r="BW16" s="18"/>
      <c r="BX16" s="19">
        <f>VLOOKUP(BU16,'DATABASE F&amp;B'!$C$3:$F$210,4,0)</f>
        <v>0</v>
      </c>
      <c r="BY16" s="19">
        <f t="shared" si="63"/>
        <v>0</v>
      </c>
      <c r="BZ16" s="16"/>
      <c r="CA16" s="17">
        <f>VLOOKUP(BZ16,'DATABASE F&amp;B'!$C$3:$F$210,2,0)</f>
        <v>0</v>
      </c>
      <c r="CB16" s="18"/>
      <c r="CC16" s="19">
        <f>VLOOKUP(BZ16,'DATABASE F&amp;B'!$C$3:$F$210,4,0)</f>
        <v>0</v>
      </c>
      <c r="CD16" s="19">
        <f t="shared" si="64"/>
        <v>0</v>
      </c>
    </row>
    <row r="17" spans="1:82" ht="13.5" x14ac:dyDescent="0.25">
      <c r="A17" s="32" t="str">
        <f t="shared" si="45"/>
        <v>05-'02-2026</v>
      </c>
      <c r="B17" s="22">
        <f t="shared" si="43"/>
        <v>13</v>
      </c>
      <c r="C17" s="22">
        <f t="shared" si="44"/>
        <v>13</v>
      </c>
      <c r="D17" s="34">
        <v>46144</v>
      </c>
      <c r="E17" s="35" t="s">
        <v>56</v>
      </c>
      <c r="F17" s="35" t="s">
        <v>202</v>
      </c>
      <c r="G17" s="52" t="s">
        <v>81</v>
      </c>
      <c r="H17" s="36" t="str">
        <f t="shared" si="23"/>
        <v>RJ-'020526-13</v>
      </c>
      <c r="I17" s="36" t="str">
        <f t="shared" si="46"/>
        <v>'02-05-2026</v>
      </c>
      <c r="J17" s="37" t="str">
        <f>VLOOKUP(D17,Laporan!$C$4:$D$34,2,0)</f>
        <v>Sabtu</v>
      </c>
      <c r="K17" s="48"/>
      <c r="L17" s="13" t="s">
        <v>33</v>
      </c>
      <c r="M17" s="19">
        <f>SUMIF('DATABASE Room'!$B$3:$B$7,L17,'DATABASE Room'!$D$3:$D$7)</f>
        <v>0</v>
      </c>
      <c r="N17" s="13">
        <v>1</v>
      </c>
      <c r="O17" s="21">
        <f t="shared" si="47"/>
        <v>0</v>
      </c>
      <c r="P17" s="38"/>
      <c r="Q17" s="19">
        <f t="shared" si="48"/>
        <v>0</v>
      </c>
      <c r="R17" s="21">
        <f t="shared" si="49"/>
        <v>0</v>
      </c>
      <c r="S17" s="19">
        <f t="shared" si="50"/>
        <v>5</v>
      </c>
      <c r="T17" s="19">
        <f t="shared" si="51"/>
        <v>8000</v>
      </c>
      <c r="U17" s="21">
        <f t="shared" si="52"/>
        <v>8000</v>
      </c>
      <c r="V17" s="39"/>
      <c r="W17" s="16">
        <v>45</v>
      </c>
      <c r="X17" s="17" t="str">
        <f>VLOOKUP(W17,'DATABASE F&amp;B'!$C$3:$F$216,2,0)</f>
        <v>LE MINERAL 330ML</v>
      </c>
      <c r="Y17" s="18">
        <v>1</v>
      </c>
      <c r="Z17" s="19">
        <f>VLOOKUP(W17,'DATABASE F&amp;B'!$C$3:$F$216,4,0)</f>
        <v>8000</v>
      </c>
      <c r="AA17" s="19">
        <f t="shared" si="53"/>
        <v>8000</v>
      </c>
      <c r="AB17" s="16"/>
      <c r="AC17" s="17">
        <f>VLOOKUP(AB17,'DATABASE F&amp;B'!$C$3:$F$216,2,0)</f>
        <v>0</v>
      </c>
      <c r="AD17" s="18">
        <v>1</v>
      </c>
      <c r="AE17" s="19">
        <f>VLOOKUP(AB17,'DATABASE F&amp;B'!$C$3:$F$216,4,0)</f>
        <v>0</v>
      </c>
      <c r="AF17" s="19">
        <f t="shared" si="54"/>
        <v>0</v>
      </c>
      <c r="AG17" s="16"/>
      <c r="AH17" s="17">
        <f>VLOOKUP(AG17,'DATABASE F&amp;B'!$C$3:$F$216,2,0)</f>
        <v>0</v>
      </c>
      <c r="AI17" s="18">
        <v>1</v>
      </c>
      <c r="AJ17" s="19">
        <f>VLOOKUP(AG17,'DATABASE F&amp;B'!$C$3:$F$216,4,0)</f>
        <v>0</v>
      </c>
      <c r="AK17" s="19">
        <f t="shared" si="55"/>
        <v>0</v>
      </c>
      <c r="AL17" s="16"/>
      <c r="AM17" s="17">
        <f>VLOOKUP(AL17,'DATABASE F&amp;B'!$C$3:$F$216,2,0)</f>
        <v>0</v>
      </c>
      <c r="AN17" s="18">
        <v>1</v>
      </c>
      <c r="AO17" s="19">
        <f>VLOOKUP(AL17,'DATABASE F&amp;B'!$C$3:$F$216,4,0)</f>
        <v>0</v>
      </c>
      <c r="AP17" s="19">
        <f t="shared" si="56"/>
        <v>0</v>
      </c>
      <c r="AQ17" s="16"/>
      <c r="AR17" s="17">
        <f>VLOOKUP(AQ17,'DATABASE F&amp;B'!$C$3:$F$216,2,0)</f>
        <v>0</v>
      </c>
      <c r="AS17" s="18">
        <v>1</v>
      </c>
      <c r="AT17" s="19">
        <f>VLOOKUP(AQ17,'DATABASE F&amp;B'!$C$3:$F$216,4,0)</f>
        <v>0</v>
      </c>
      <c r="AU17" s="19">
        <f t="shared" si="57"/>
        <v>0</v>
      </c>
      <c r="AV17" s="16"/>
      <c r="AW17" s="17">
        <f>VLOOKUP(AV17,'DATABASE F&amp;B'!$C$3:$F$216,2,0)</f>
        <v>0</v>
      </c>
      <c r="AX17" s="18"/>
      <c r="AY17" s="19">
        <f>VLOOKUP(AV17,'DATABASE F&amp;B'!$C$3:$F$216,4,0)</f>
        <v>0</v>
      </c>
      <c r="AZ17" s="19">
        <f t="shared" si="58"/>
        <v>0</v>
      </c>
      <c r="BA17" s="16"/>
      <c r="BB17" s="17">
        <f>VLOOKUP(BA17,'DATABASE F&amp;B'!$C$3:$F$216,2,0)</f>
        <v>0</v>
      </c>
      <c r="BC17" s="18"/>
      <c r="BD17" s="19">
        <f>VLOOKUP(BA17,'DATABASE F&amp;B'!$C$3:$F$216,4,0)</f>
        <v>0</v>
      </c>
      <c r="BE17" s="19">
        <f t="shared" si="59"/>
        <v>0</v>
      </c>
      <c r="BF17" s="16"/>
      <c r="BG17" s="17">
        <f>VLOOKUP(BF17,'DATABASE F&amp;B'!$C$3:$F$216,2,0)</f>
        <v>0</v>
      </c>
      <c r="BH17" s="18"/>
      <c r="BI17" s="19">
        <f>VLOOKUP(BF17,'DATABASE F&amp;B'!$C$3:$F$216,4,0)</f>
        <v>0</v>
      </c>
      <c r="BJ17" s="19">
        <f t="shared" si="60"/>
        <v>0</v>
      </c>
      <c r="BK17" s="16"/>
      <c r="BL17" s="17">
        <f>VLOOKUP(BK17,'DATABASE F&amp;B'!$C$3:$F$210,2,0)</f>
        <v>0</v>
      </c>
      <c r="BM17" s="18"/>
      <c r="BN17" s="19">
        <f>VLOOKUP(BK17,'DATABASE F&amp;B'!$C$3:$F$210,4,0)</f>
        <v>0</v>
      </c>
      <c r="BO17" s="19">
        <f t="shared" si="61"/>
        <v>0</v>
      </c>
      <c r="BP17" s="16"/>
      <c r="BQ17" s="17">
        <f>VLOOKUP(BP17,'DATABASE F&amp;B'!$C$3:$F$210,2,0)</f>
        <v>0</v>
      </c>
      <c r="BR17" s="18"/>
      <c r="BS17" s="19">
        <f>VLOOKUP(BP17,'DATABASE F&amp;B'!$C$3:$F$210,4,0)</f>
        <v>0</v>
      </c>
      <c r="BT17" s="19">
        <f t="shared" si="62"/>
        <v>0</v>
      </c>
      <c r="BU17" s="16"/>
      <c r="BV17" s="17">
        <f>VLOOKUP(BU17,'DATABASE F&amp;B'!$C$3:$F$210,2,0)</f>
        <v>0</v>
      </c>
      <c r="BW17" s="18"/>
      <c r="BX17" s="19">
        <f>VLOOKUP(BU17,'DATABASE F&amp;B'!$C$3:$F$210,4,0)</f>
        <v>0</v>
      </c>
      <c r="BY17" s="19">
        <f t="shared" si="63"/>
        <v>0</v>
      </c>
      <c r="BZ17" s="16"/>
      <c r="CA17" s="17">
        <f>VLOOKUP(BZ17,'DATABASE F&amp;B'!$C$3:$F$210,2,0)</f>
        <v>0</v>
      </c>
      <c r="CB17" s="18"/>
      <c r="CC17" s="19">
        <f>VLOOKUP(BZ17,'DATABASE F&amp;B'!$C$3:$F$210,4,0)</f>
        <v>0</v>
      </c>
      <c r="CD17" s="19">
        <f t="shared" si="64"/>
        <v>0</v>
      </c>
    </row>
    <row r="18" spans="1:82" ht="13.5" x14ac:dyDescent="0.25">
      <c r="A18" s="32" t="str">
        <f t="shared" si="45"/>
        <v>05-'03-2026</v>
      </c>
      <c r="B18" s="22">
        <f t="shared" si="43"/>
        <v>14</v>
      </c>
      <c r="C18" s="22">
        <f t="shared" si="44"/>
        <v>14</v>
      </c>
      <c r="D18" s="34">
        <v>46145</v>
      </c>
      <c r="E18" s="35" t="s">
        <v>77</v>
      </c>
      <c r="F18" s="35" t="s">
        <v>202</v>
      </c>
      <c r="G18" s="52" t="s">
        <v>81</v>
      </c>
      <c r="H18" s="36" t="str">
        <f t="shared" si="23"/>
        <v>RJ-'030526-14</v>
      </c>
      <c r="I18" s="36" t="str">
        <f t="shared" si="46"/>
        <v>'03-05-2026</v>
      </c>
      <c r="J18" s="37" t="str">
        <f>VLOOKUP(D18,Laporan!$C$4:$D$34,2,0)</f>
        <v>Minggu</v>
      </c>
      <c r="K18" s="48"/>
      <c r="L18" s="13" t="s">
        <v>33</v>
      </c>
      <c r="M18" s="19">
        <f>SUMIF('DATABASE Room'!$B$3:$B$7,L18,'DATABASE Room'!$D$3:$D$7)</f>
        <v>0</v>
      </c>
      <c r="N18" s="13">
        <v>1</v>
      </c>
      <c r="O18" s="21">
        <f t="shared" si="47"/>
        <v>0</v>
      </c>
      <c r="P18" s="38"/>
      <c r="Q18" s="19">
        <f t="shared" si="48"/>
        <v>0</v>
      </c>
      <c r="R18" s="21">
        <f t="shared" si="49"/>
        <v>0</v>
      </c>
      <c r="S18" s="19">
        <f t="shared" si="50"/>
        <v>5</v>
      </c>
      <c r="T18" s="19">
        <f t="shared" si="51"/>
        <v>15000</v>
      </c>
      <c r="U18" s="21">
        <f t="shared" si="52"/>
        <v>15000</v>
      </c>
      <c r="V18" s="39"/>
      <c r="W18" s="16">
        <v>46</v>
      </c>
      <c r="X18" s="17" t="str">
        <f>VLOOKUP(W18,'DATABASE F&amp;B'!$C$3:$F$216,2,0)</f>
        <v>TEH PUCUK HARUM 350ML</v>
      </c>
      <c r="Y18" s="18">
        <v>1</v>
      </c>
      <c r="Z18" s="19">
        <f>VLOOKUP(W18,'DATABASE F&amp;B'!$C$3:$F$216,4,0)</f>
        <v>15000</v>
      </c>
      <c r="AA18" s="19">
        <f t="shared" si="53"/>
        <v>15000</v>
      </c>
      <c r="AB18" s="16"/>
      <c r="AC18" s="17">
        <f>VLOOKUP(AB18,'DATABASE F&amp;B'!$C$3:$F$216,2,0)</f>
        <v>0</v>
      </c>
      <c r="AD18" s="18">
        <v>1</v>
      </c>
      <c r="AE18" s="19">
        <f>VLOOKUP(AB18,'DATABASE F&amp;B'!$C$3:$F$216,4,0)</f>
        <v>0</v>
      </c>
      <c r="AF18" s="19">
        <f t="shared" si="54"/>
        <v>0</v>
      </c>
      <c r="AG18" s="16"/>
      <c r="AH18" s="17">
        <f>VLOOKUP(AG18,'DATABASE F&amp;B'!$C$3:$F$216,2,0)</f>
        <v>0</v>
      </c>
      <c r="AI18" s="18">
        <v>1</v>
      </c>
      <c r="AJ18" s="19">
        <f>VLOOKUP(AG18,'DATABASE F&amp;B'!$C$3:$F$216,4,0)</f>
        <v>0</v>
      </c>
      <c r="AK18" s="19">
        <f t="shared" si="55"/>
        <v>0</v>
      </c>
      <c r="AL18" s="16"/>
      <c r="AM18" s="17">
        <f>VLOOKUP(AL18,'DATABASE F&amp;B'!$C$3:$F$216,2,0)</f>
        <v>0</v>
      </c>
      <c r="AN18" s="18">
        <v>1</v>
      </c>
      <c r="AO18" s="19">
        <f>VLOOKUP(AL18,'DATABASE F&amp;B'!$C$3:$F$216,4,0)</f>
        <v>0</v>
      </c>
      <c r="AP18" s="19">
        <f t="shared" si="56"/>
        <v>0</v>
      </c>
      <c r="AQ18" s="16"/>
      <c r="AR18" s="17">
        <f>VLOOKUP(AQ18,'DATABASE F&amp;B'!$C$3:$F$216,2,0)</f>
        <v>0</v>
      </c>
      <c r="AS18" s="18">
        <v>1</v>
      </c>
      <c r="AT18" s="19">
        <f>VLOOKUP(AQ18,'DATABASE F&amp;B'!$C$3:$F$216,4,0)</f>
        <v>0</v>
      </c>
      <c r="AU18" s="19">
        <f t="shared" si="57"/>
        <v>0</v>
      </c>
      <c r="AV18" s="16"/>
      <c r="AW18" s="17">
        <f>VLOOKUP(AV18,'DATABASE F&amp;B'!$C$3:$F$216,2,0)</f>
        <v>0</v>
      </c>
      <c r="AX18" s="18"/>
      <c r="AY18" s="19">
        <f>VLOOKUP(AV18,'DATABASE F&amp;B'!$C$3:$F$216,4,0)</f>
        <v>0</v>
      </c>
      <c r="AZ18" s="19">
        <f t="shared" si="58"/>
        <v>0</v>
      </c>
      <c r="BA18" s="16"/>
      <c r="BB18" s="17">
        <f>VLOOKUP(BA18,'DATABASE F&amp;B'!$C$3:$F$216,2,0)</f>
        <v>0</v>
      </c>
      <c r="BC18" s="18"/>
      <c r="BD18" s="19">
        <f>VLOOKUP(BA18,'DATABASE F&amp;B'!$C$3:$F$216,4,0)</f>
        <v>0</v>
      </c>
      <c r="BE18" s="19">
        <f t="shared" si="59"/>
        <v>0</v>
      </c>
      <c r="BF18" s="16"/>
      <c r="BG18" s="17">
        <f>VLOOKUP(BF18,'DATABASE F&amp;B'!$C$3:$F$216,2,0)</f>
        <v>0</v>
      </c>
      <c r="BH18" s="18"/>
      <c r="BI18" s="19">
        <f>VLOOKUP(BF18,'DATABASE F&amp;B'!$C$3:$F$216,4,0)</f>
        <v>0</v>
      </c>
      <c r="BJ18" s="19">
        <f t="shared" si="60"/>
        <v>0</v>
      </c>
      <c r="BK18" s="16"/>
      <c r="BL18" s="17">
        <f>VLOOKUP(BK18,'DATABASE F&amp;B'!$C$3:$F$210,2,0)</f>
        <v>0</v>
      </c>
      <c r="BM18" s="18"/>
      <c r="BN18" s="19">
        <f>VLOOKUP(BK18,'DATABASE F&amp;B'!$C$3:$F$210,4,0)</f>
        <v>0</v>
      </c>
      <c r="BO18" s="19">
        <f t="shared" si="61"/>
        <v>0</v>
      </c>
      <c r="BP18" s="16"/>
      <c r="BQ18" s="17">
        <f>VLOOKUP(BP18,'DATABASE F&amp;B'!$C$3:$F$210,2,0)</f>
        <v>0</v>
      </c>
      <c r="BR18" s="18"/>
      <c r="BS18" s="19">
        <f>VLOOKUP(BP18,'DATABASE F&amp;B'!$C$3:$F$210,4,0)</f>
        <v>0</v>
      </c>
      <c r="BT18" s="19">
        <f t="shared" si="62"/>
        <v>0</v>
      </c>
      <c r="BU18" s="16"/>
      <c r="BV18" s="17">
        <f>VLOOKUP(BU18,'DATABASE F&amp;B'!$C$3:$F$210,2,0)</f>
        <v>0</v>
      </c>
      <c r="BW18" s="18"/>
      <c r="BX18" s="19">
        <f>VLOOKUP(BU18,'DATABASE F&amp;B'!$C$3:$F$210,4,0)</f>
        <v>0</v>
      </c>
      <c r="BY18" s="19">
        <f t="shared" si="63"/>
        <v>0</v>
      </c>
      <c r="BZ18" s="16"/>
      <c r="CA18" s="17">
        <f>VLOOKUP(BZ18,'DATABASE F&amp;B'!$C$3:$F$210,2,0)</f>
        <v>0</v>
      </c>
      <c r="CB18" s="18"/>
      <c r="CC18" s="19">
        <f>VLOOKUP(BZ18,'DATABASE F&amp;B'!$C$3:$F$210,4,0)</f>
        <v>0</v>
      </c>
      <c r="CD18" s="19">
        <f t="shared" si="64"/>
        <v>0</v>
      </c>
    </row>
    <row r="19" spans="1:82" ht="13.5" x14ac:dyDescent="0.25">
      <c r="A19" s="32" t="str">
        <f t="shared" si="45"/>
        <v>05-'03-2026</v>
      </c>
      <c r="B19" s="22">
        <f t="shared" si="43"/>
        <v>15</v>
      </c>
      <c r="C19" s="22">
        <f t="shared" si="44"/>
        <v>15</v>
      </c>
      <c r="D19" s="34">
        <v>46145</v>
      </c>
      <c r="E19" s="35" t="s">
        <v>77</v>
      </c>
      <c r="F19" s="35" t="s">
        <v>202</v>
      </c>
      <c r="G19" s="52" t="s">
        <v>81</v>
      </c>
      <c r="H19" s="36" t="str">
        <f t="shared" si="23"/>
        <v>RJ-'030526-15</v>
      </c>
      <c r="I19" s="36" t="str">
        <f t="shared" si="46"/>
        <v>'03-05-2026</v>
      </c>
      <c r="J19" s="37" t="str">
        <f>VLOOKUP(D19,Laporan!$C$4:$D$34,2,0)</f>
        <v>Minggu</v>
      </c>
      <c r="K19" s="48"/>
      <c r="L19" s="13" t="s">
        <v>33</v>
      </c>
      <c r="M19" s="19">
        <f>SUMIF('DATABASE Room'!$B$3:$B$7,L19,'DATABASE Room'!$D$3:$D$7)</f>
        <v>0</v>
      </c>
      <c r="N19" s="13">
        <v>1</v>
      </c>
      <c r="O19" s="21">
        <f t="shared" si="47"/>
        <v>0</v>
      </c>
      <c r="P19" s="38"/>
      <c r="Q19" s="19">
        <f t="shared" si="48"/>
        <v>0</v>
      </c>
      <c r="R19" s="21">
        <f t="shared" si="49"/>
        <v>0</v>
      </c>
      <c r="S19" s="19">
        <f t="shared" si="50"/>
        <v>5</v>
      </c>
      <c r="T19" s="19">
        <f t="shared" si="51"/>
        <v>41000</v>
      </c>
      <c r="U19" s="21">
        <f t="shared" si="52"/>
        <v>41000</v>
      </c>
      <c r="V19" s="39"/>
      <c r="W19" s="16">
        <v>27</v>
      </c>
      <c r="X19" s="17" t="str">
        <f>VLOOKUP(W19,'DATABASE F&amp;B'!$C$3:$F$216,2,0)</f>
        <v>KWETIEW SIRAM SAPI JAHE</v>
      </c>
      <c r="Y19" s="18">
        <v>1</v>
      </c>
      <c r="Z19" s="19">
        <f>VLOOKUP(W19,'DATABASE F&amp;B'!$C$3:$F$216,4,0)</f>
        <v>41000</v>
      </c>
      <c r="AA19" s="19">
        <f t="shared" si="53"/>
        <v>41000</v>
      </c>
      <c r="AB19" s="16"/>
      <c r="AC19" s="17">
        <f>VLOOKUP(AB19,'DATABASE F&amp;B'!$C$3:$F$216,2,0)</f>
        <v>0</v>
      </c>
      <c r="AD19" s="18">
        <v>1</v>
      </c>
      <c r="AE19" s="19">
        <f>VLOOKUP(AB19,'DATABASE F&amp;B'!$C$3:$F$216,4,0)</f>
        <v>0</v>
      </c>
      <c r="AF19" s="19">
        <f t="shared" si="54"/>
        <v>0</v>
      </c>
      <c r="AG19" s="16"/>
      <c r="AH19" s="17">
        <f>VLOOKUP(AG19,'DATABASE F&amp;B'!$C$3:$F$216,2,0)</f>
        <v>0</v>
      </c>
      <c r="AI19" s="18">
        <v>1</v>
      </c>
      <c r="AJ19" s="19">
        <f>VLOOKUP(AG19,'DATABASE F&amp;B'!$C$3:$F$216,4,0)</f>
        <v>0</v>
      </c>
      <c r="AK19" s="19">
        <f t="shared" si="55"/>
        <v>0</v>
      </c>
      <c r="AL19" s="16"/>
      <c r="AM19" s="17">
        <f>VLOOKUP(AL19,'DATABASE F&amp;B'!$C$3:$F$216,2,0)</f>
        <v>0</v>
      </c>
      <c r="AN19" s="18">
        <v>1</v>
      </c>
      <c r="AO19" s="19">
        <f>VLOOKUP(AL19,'DATABASE F&amp;B'!$C$3:$F$216,4,0)</f>
        <v>0</v>
      </c>
      <c r="AP19" s="19">
        <f t="shared" si="56"/>
        <v>0</v>
      </c>
      <c r="AQ19" s="16"/>
      <c r="AR19" s="17">
        <f>VLOOKUP(AQ19,'DATABASE F&amp;B'!$C$3:$F$216,2,0)</f>
        <v>0</v>
      </c>
      <c r="AS19" s="18">
        <v>1</v>
      </c>
      <c r="AT19" s="19">
        <f>VLOOKUP(AQ19,'DATABASE F&amp;B'!$C$3:$F$216,4,0)</f>
        <v>0</v>
      </c>
      <c r="AU19" s="19">
        <f t="shared" si="57"/>
        <v>0</v>
      </c>
      <c r="AV19" s="16"/>
      <c r="AW19" s="17">
        <f>VLOOKUP(AV19,'DATABASE F&amp;B'!$C$3:$F$216,2,0)</f>
        <v>0</v>
      </c>
      <c r="AX19" s="18"/>
      <c r="AY19" s="19">
        <f>VLOOKUP(AV19,'DATABASE F&amp;B'!$C$3:$F$216,4,0)</f>
        <v>0</v>
      </c>
      <c r="AZ19" s="19">
        <f t="shared" si="58"/>
        <v>0</v>
      </c>
      <c r="BA19" s="16"/>
      <c r="BB19" s="17">
        <f>VLOOKUP(BA19,'DATABASE F&amp;B'!$C$3:$F$216,2,0)</f>
        <v>0</v>
      </c>
      <c r="BC19" s="18"/>
      <c r="BD19" s="19">
        <f>VLOOKUP(BA19,'DATABASE F&amp;B'!$C$3:$F$216,4,0)</f>
        <v>0</v>
      </c>
      <c r="BE19" s="19">
        <f t="shared" si="59"/>
        <v>0</v>
      </c>
      <c r="BF19" s="16"/>
      <c r="BG19" s="17">
        <f>VLOOKUP(BF19,'DATABASE F&amp;B'!$C$3:$F$216,2,0)</f>
        <v>0</v>
      </c>
      <c r="BH19" s="18"/>
      <c r="BI19" s="19">
        <f>VLOOKUP(BF19,'DATABASE F&amp;B'!$C$3:$F$216,4,0)</f>
        <v>0</v>
      </c>
      <c r="BJ19" s="19">
        <f t="shared" si="60"/>
        <v>0</v>
      </c>
      <c r="BK19" s="16"/>
      <c r="BL19" s="17">
        <f>VLOOKUP(BK19,'DATABASE F&amp;B'!$C$3:$F$210,2,0)</f>
        <v>0</v>
      </c>
      <c r="BM19" s="18"/>
      <c r="BN19" s="19">
        <f>VLOOKUP(BK19,'DATABASE F&amp;B'!$C$3:$F$210,4,0)</f>
        <v>0</v>
      </c>
      <c r="BO19" s="19">
        <f t="shared" si="61"/>
        <v>0</v>
      </c>
      <c r="BP19" s="16"/>
      <c r="BQ19" s="17">
        <f>VLOOKUP(BP19,'DATABASE F&amp;B'!$C$3:$F$210,2,0)</f>
        <v>0</v>
      </c>
      <c r="BR19" s="18"/>
      <c r="BS19" s="19">
        <f>VLOOKUP(BP19,'DATABASE F&amp;B'!$C$3:$F$210,4,0)</f>
        <v>0</v>
      </c>
      <c r="BT19" s="19">
        <f t="shared" si="62"/>
        <v>0</v>
      </c>
      <c r="BU19" s="16"/>
      <c r="BV19" s="17">
        <f>VLOOKUP(BU19,'DATABASE F&amp;B'!$C$3:$F$210,2,0)</f>
        <v>0</v>
      </c>
      <c r="BW19" s="18"/>
      <c r="BX19" s="19">
        <f>VLOOKUP(BU19,'DATABASE F&amp;B'!$C$3:$F$210,4,0)</f>
        <v>0</v>
      </c>
      <c r="BY19" s="19">
        <f t="shared" si="63"/>
        <v>0</v>
      </c>
      <c r="BZ19" s="16"/>
      <c r="CA19" s="17">
        <f>VLOOKUP(BZ19,'DATABASE F&amp;B'!$C$3:$F$210,2,0)</f>
        <v>0</v>
      </c>
      <c r="CB19" s="18"/>
      <c r="CC19" s="19">
        <f>VLOOKUP(BZ19,'DATABASE F&amp;B'!$C$3:$F$210,4,0)</f>
        <v>0</v>
      </c>
      <c r="CD19" s="19">
        <f t="shared" si="64"/>
        <v>0</v>
      </c>
    </row>
    <row r="20" spans="1:82" ht="13.5" x14ac:dyDescent="0.25">
      <c r="A20" s="32" t="str">
        <f t="shared" si="45"/>
        <v>05-'03-2026</v>
      </c>
      <c r="B20" s="22">
        <f t="shared" si="43"/>
        <v>16</v>
      </c>
      <c r="C20" s="22">
        <f t="shared" si="44"/>
        <v>16</v>
      </c>
      <c r="D20" s="34">
        <v>46145</v>
      </c>
      <c r="E20" s="35" t="s">
        <v>77</v>
      </c>
      <c r="F20" s="35" t="s">
        <v>202</v>
      </c>
      <c r="G20" s="52" t="s">
        <v>81</v>
      </c>
      <c r="H20" s="36" t="str">
        <f t="shared" si="23"/>
        <v>RJ-'030526-16</v>
      </c>
      <c r="I20" s="36" t="str">
        <f t="shared" si="46"/>
        <v>'03-05-2026</v>
      </c>
      <c r="J20" s="37" t="str">
        <f>VLOOKUP(D20,Laporan!$C$4:$D$34,2,0)</f>
        <v>Minggu</v>
      </c>
      <c r="K20" s="48"/>
      <c r="L20" s="13" t="s">
        <v>33</v>
      </c>
      <c r="M20" s="19">
        <f>SUMIF('DATABASE Room'!$B$3:$B$7,L20,'DATABASE Room'!$D$3:$D$7)</f>
        <v>0</v>
      </c>
      <c r="N20" s="13">
        <v>1</v>
      </c>
      <c r="O20" s="21">
        <f t="shared" si="47"/>
        <v>0</v>
      </c>
      <c r="P20" s="38"/>
      <c r="Q20" s="19">
        <f t="shared" si="48"/>
        <v>0</v>
      </c>
      <c r="R20" s="21">
        <f t="shared" si="49"/>
        <v>0</v>
      </c>
      <c r="S20" s="19">
        <f t="shared" si="50"/>
        <v>5</v>
      </c>
      <c r="T20" s="19">
        <f t="shared" si="51"/>
        <v>96000</v>
      </c>
      <c r="U20" s="21">
        <f t="shared" si="52"/>
        <v>96000</v>
      </c>
      <c r="V20" s="39"/>
      <c r="W20" s="16">
        <v>28</v>
      </c>
      <c r="X20" s="17" t="str">
        <f>VLOOKUP(W20,'DATABASE F&amp;B'!$C$3:$F$216,2,0)</f>
        <v>CHICKEN BULDAK</v>
      </c>
      <c r="Y20" s="18">
        <v>1</v>
      </c>
      <c r="Z20" s="19">
        <f>VLOOKUP(W20,'DATABASE F&amp;B'!$C$3:$F$216,4,0)</f>
        <v>36000</v>
      </c>
      <c r="AA20" s="19">
        <f t="shared" si="53"/>
        <v>36000</v>
      </c>
      <c r="AB20" s="16">
        <v>75</v>
      </c>
      <c r="AC20" s="17" t="str">
        <f>VLOOKUP(AB20,'DATABASE F&amp;B'!$C$3:$F$216,2,0)</f>
        <v>BEER KURA KURA EASY ALE</v>
      </c>
      <c r="AD20" s="18">
        <v>1</v>
      </c>
      <c r="AE20" s="19">
        <f>VLOOKUP(AB20,'DATABASE F&amp;B'!$C$3:$F$216,4,0)</f>
        <v>60000</v>
      </c>
      <c r="AF20" s="19">
        <f t="shared" si="54"/>
        <v>60000</v>
      </c>
      <c r="AG20" s="16"/>
      <c r="AH20" s="17">
        <f>VLOOKUP(AG20,'DATABASE F&amp;B'!$C$3:$F$216,2,0)</f>
        <v>0</v>
      </c>
      <c r="AI20" s="18">
        <v>1</v>
      </c>
      <c r="AJ20" s="19">
        <f>VLOOKUP(AG20,'DATABASE F&amp;B'!$C$3:$F$216,4,0)</f>
        <v>0</v>
      </c>
      <c r="AK20" s="19">
        <f t="shared" si="55"/>
        <v>0</v>
      </c>
      <c r="AL20" s="16"/>
      <c r="AM20" s="17">
        <f>VLOOKUP(AL20,'DATABASE F&amp;B'!$C$3:$F$216,2,0)</f>
        <v>0</v>
      </c>
      <c r="AN20" s="18">
        <v>1</v>
      </c>
      <c r="AO20" s="19">
        <f>VLOOKUP(AL20,'DATABASE F&amp;B'!$C$3:$F$216,4,0)</f>
        <v>0</v>
      </c>
      <c r="AP20" s="19">
        <f t="shared" si="56"/>
        <v>0</v>
      </c>
      <c r="AQ20" s="16"/>
      <c r="AR20" s="17">
        <f>VLOOKUP(AQ20,'DATABASE F&amp;B'!$C$3:$F$216,2,0)</f>
        <v>0</v>
      </c>
      <c r="AS20" s="18">
        <v>1</v>
      </c>
      <c r="AT20" s="19">
        <f>VLOOKUP(AQ20,'DATABASE F&amp;B'!$C$3:$F$216,4,0)</f>
        <v>0</v>
      </c>
      <c r="AU20" s="19">
        <f t="shared" si="57"/>
        <v>0</v>
      </c>
      <c r="AV20" s="16"/>
      <c r="AW20" s="17">
        <f>VLOOKUP(AV20,'DATABASE F&amp;B'!$C$3:$F$216,2,0)</f>
        <v>0</v>
      </c>
      <c r="AX20" s="18"/>
      <c r="AY20" s="19">
        <f>VLOOKUP(AV20,'DATABASE F&amp;B'!$C$3:$F$216,4,0)</f>
        <v>0</v>
      </c>
      <c r="AZ20" s="19">
        <f t="shared" si="58"/>
        <v>0</v>
      </c>
      <c r="BA20" s="16"/>
      <c r="BB20" s="17">
        <f>VLOOKUP(BA20,'DATABASE F&amp;B'!$C$3:$F$216,2,0)</f>
        <v>0</v>
      </c>
      <c r="BC20" s="18"/>
      <c r="BD20" s="19">
        <f>VLOOKUP(BA20,'DATABASE F&amp;B'!$C$3:$F$216,4,0)</f>
        <v>0</v>
      </c>
      <c r="BE20" s="19">
        <f t="shared" si="59"/>
        <v>0</v>
      </c>
      <c r="BF20" s="16"/>
      <c r="BG20" s="17">
        <f>VLOOKUP(BF20,'DATABASE F&amp;B'!$C$3:$F$216,2,0)</f>
        <v>0</v>
      </c>
      <c r="BH20" s="18"/>
      <c r="BI20" s="19">
        <f>VLOOKUP(BF20,'DATABASE F&amp;B'!$C$3:$F$216,4,0)</f>
        <v>0</v>
      </c>
      <c r="BJ20" s="19">
        <f t="shared" si="60"/>
        <v>0</v>
      </c>
      <c r="BK20" s="16"/>
      <c r="BL20" s="17">
        <f>VLOOKUP(BK20,'DATABASE F&amp;B'!$C$3:$F$210,2,0)</f>
        <v>0</v>
      </c>
      <c r="BM20" s="18"/>
      <c r="BN20" s="19">
        <f>VLOOKUP(BK20,'DATABASE F&amp;B'!$C$3:$F$210,4,0)</f>
        <v>0</v>
      </c>
      <c r="BO20" s="19">
        <f t="shared" si="61"/>
        <v>0</v>
      </c>
      <c r="BP20" s="16"/>
      <c r="BQ20" s="17">
        <f>VLOOKUP(BP20,'DATABASE F&amp;B'!$C$3:$F$210,2,0)</f>
        <v>0</v>
      </c>
      <c r="BR20" s="18"/>
      <c r="BS20" s="19">
        <f>VLOOKUP(BP20,'DATABASE F&amp;B'!$C$3:$F$210,4,0)</f>
        <v>0</v>
      </c>
      <c r="BT20" s="19">
        <f t="shared" si="62"/>
        <v>0</v>
      </c>
      <c r="BU20" s="16"/>
      <c r="BV20" s="17">
        <f>VLOOKUP(BU20,'DATABASE F&amp;B'!$C$3:$F$210,2,0)</f>
        <v>0</v>
      </c>
      <c r="BW20" s="18"/>
      <c r="BX20" s="19">
        <f>VLOOKUP(BU20,'DATABASE F&amp;B'!$C$3:$F$210,4,0)</f>
        <v>0</v>
      </c>
      <c r="BY20" s="19">
        <f t="shared" si="63"/>
        <v>0</v>
      </c>
      <c r="BZ20" s="16"/>
      <c r="CA20" s="17">
        <f>VLOOKUP(BZ20,'DATABASE F&amp;B'!$C$3:$F$210,2,0)</f>
        <v>0</v>
      </c>
      <c r="CB20" s="18"/>
      <c r="CC20" s="19">
        <f>VLOOKUP(BZ20,'DATABASE F&amp;B'!$C$3:$F$210,4,0)</f>
        <v>0</v>
      </c>
      <c r="CD20" s="19">
        <f t="shared" si="64"/>
        <v>0</v>
      </c>
    </row>
    <row r="21" spans="1:82" ht="13.5" x14ac:dyDescent="0.25">
      <c r="A21" s="32" t="str">
        <f t="shared" si="45"/>
        <v>05-'03-2026</v>
      </c>
      <c r="B21" s="22">
        <f t="shared" si="43"/>
        <v>17</v>
      </c>
      <c r="C21" s="22">
        <f t="shared" si="44"/>
        <v>17</v>
      </c>
      <c r="D21" s="34">
        <v>46145</v>
      </c>
      <c r="E21" s="35" t="s">
        <v>77</v>
      </c>
      <c r="F21" s="35" t="s">
        <v>202</v>
      </c>
      <c r="G21" s="52" t="s">
        <v>81</v>
      </c>
      <c r="H21" s="36" t="str">
        <f t="shared" si="23"/>
        <v>RJ-'030526-17</v>
      </c>
      <c r="I21" s="36" t="str">
        <f t="shared" si="46"/>
        <v>'03-05-2026</v>
      </c>
      <c r="J21" s="37" t="str">
        <f>VLOOKUP(D21,Laporan!$C$4:$D$34,2,0)</f>
        <v>Minggu</v>
      </c>
      <c r="K21" s="48"/>
      <c r="L21" s="13" t="s">
        <v>33</v>
      </c>
      <c r="M21" s="19">
        <f>SUMIF('DATABASE Room'!$B$3:$B$7,L21,'DATABASE Room'!$D$3:$D$7)</f>
        <v>0</v>
      </c>
      <c r="N21" s="13">
        <v>1</v>
      </c>
      <c r="O21" s="21">
        <f t="shared" si="47"/>
        <v>0</v>
      </c>
      <c r="P21" s="38"/>
      <c r="Q21" s="19">
        <f t="shared" si="48"/>
        <v>0</v>
      </c>
      <c r="R21" s="21">
        <f t="shared" si="49"/>
        <v>0</v>
      </c>
      <c r="S21" s="19">
        <f t="shared" si="50"/>
        <v>5</v>
      </c>
      <c r="T21" s="19">
        <f t="shared" si="51"/>
        <v>10000</v>
      </c>
      <c r="U21" s="21">
        <f t="shared" si="52"/>
        <v>10000</v>
      </c>
      <c r="V21" s="39"/>
      <c r="W21" s="16">
        <v>29</v>
      </c>
      <c r="X21" s="17" t="str">
        <f>VLOOKUP(W21,'DATABASE F&amp;B'!$C$3:$F$216,2,0)</f>
        <v>STEAM RICE</v>
      </c>
      <c r="Y21" s="18">
        <v>1</v>
      </c>
      <c r="Z21" s="19">
        <f>VLOOKUP(W21,'DATABASE F&amp;B'!$C$3:$F$216,4,0)</f>
        <v>10000</v>
      </c>
      <c r="AA21" s="19">
        <f t="shared" si="53"/>
        <v>10000</v>
      </c>
      <c r="AB21" s="16"/>
      <c r="AC21" s="17">
        <f>VLOOKUP(AB21,'DATABASE F&amp;B'!$C$3:$F$216,2,0)</f>
        <v>0</v>
      </c>
      <c r="AD21" s="18">
        <v>1</v>
      </c>
      <c r="AE21" s="19">
        <f>VLOOKUP(AB21,'DATABASE F&amp;B'!$C$3:$F$216,4,0)</f>
        <v>0</v>
      </c>
      <c r="AF21" s="19">
        <f t="shared" si="54"/>
        <v>0</v>
      </c>
      <c r="AG21" s="16"/>
      <c r="AH21" s="17">
        <f>VLOOKUP(AG21,'DATABASE F&amp;B'!$C$3:$F$216,2,0)</f>
        <v>0</v>
      </c>
      <c r="AI21" s="18">
        <v>1</v>
      </c>
      <c r="AJ21" s="19">
        <f>VLOOKUP(AG21,'DATABASE F&amp;B'!$C$3:$F$216,4,0)</f>
        <v>0</v>
      </c>
      <c r="AK21" s="19">
        <f t="shared" si="55"/>
        <v>0</v>
      </c>
      <c r="AL21" s="16"/>
      <c r="AM21" s="17">
        <f>VLOOKUP(AL21,'DATABASE F&amp;B'!$C$3:$F$216,2,0)</f>
        <v>0</v>
      </c>
      <c r="AN21" s="18">
        <v>1</v>
      </c>
      <c r="AO21" s="19">
        <f>VLOOKUP(AL21,'DATABASE F&amp;B'!$C$3:$F$216,4,0)</f>
        <v>0</v>
      </c>
      <c r="AP21" s="19">
        <f t="shared" si="56"/>
        <v>0</v>
      </c>
      <c r="AQ21" s="16"/>
      <c r="AR21" s="17">
        <f>VLOOKUP(AQ21,'DATABASE F&amp;B'!$C$3:$F$216,2,0)</f>
        <v>0</v>
      </c>
      <c r="AS21" s="18">
        <v>1</v>
      </c>
      <c r="AT21" s="19">
        <f>VLOOKUP(AQ21,'DATABASE F&amp;B'!$C$3:$F$216,4,0)</f>
        <v>0</v>
      </c>
      <c r="AU21" s="19">
        <f t="shared" si="57"/>
        <v>0</v>
      </c>
      <c r="AV21" s="16"/>
      <c r="AW21" s="17">
        <f>VLOOKUP(AV21,'DATABASE F&amp;B'!$C$3:$F$216,2,0)</f>
        <v>0</v>
      </c>
      <c r="AX21" s="18"/>
      <c r="AY21" s="19">
        <f>VLOOKUP(AV21,'DATABASE F&amp;B'!$C$3:$F$216,4,0)</f>
        <v>0</v>
      </c>
      <c r="AZ21" s="19">
        <f t="shared" si="58"/>
        <v>0</v>
      </c>
      <c r="BA21" s="16"/>
      <c r="BB21" s="17">
        <f>VLOOKUP(BA21,'DATABASE F&amp;B'!$C$3:$F$216,2,0)</f>
        <v>0</v>
      </c>
      <c r="BC21" s="18"/>
      <c r="BD21" s="19">
        <f>VLOOKUP(BA21,'DATABASE F&amp;B'!$C$3:$F$216,4,0)</f>
        <v>0</v>
      </c>
      <c r="BE21" s="19">
        <f t="shared" si="59"/>
        <v>0</v>
      </c>
      <c r="BF21" s="16"/>
      <c r="BG21" s="17">
        <f>VLOOKUP(BF21,'DATABASE F&amp;B'!$C$3:$F$216,2,0)</f>
        <v>0</v>
      </c>
      <c r="BH21" s="18"/>
      <c r="BI21" s="19">
        <f>VLOOKUP(BF21,'DATABASE F&amp;B'!$C$3:$F$216,4,0)</f>
        <v>0</v>
      </c>
      <c r="BJ21" s="19">
        <f t="shared" si="60"/>
        <v>0</v>
      </c>
      <c r="BK21" s="16"/>
      <c r="BL21" s="17">
        <f>VLOOKUP(BK21,'DATABASE F&amp;B'!$C$3:$F$210,2,0)</f>
        <v>0</v>
      </c>
      <c r="BM21" s="18"/>
      <c r="BN21" s="19">
        <f>VLOOKUP(BK21,'DATABASE F&amp;B'!$C$3:$F$210,4,0)</f>
        <v>0</v>
      </c>
      <c r="BO21" s="19">
        <f t="shared" si="61"/>
        <v>0</v>
      </c>
      <c r="BP21" s="16"/>
      <c r="BQ21" s="17">
        <f>VLOOKUP(BP21,'DATABASE F&amp;B'!$C$3:$F$210,2,0)</f>
        <v>0</v>
      </c>
      <c r="BR21" s="18"/>
      <c r="BS21" s="19">
        <f>VLOOKUP(BP21,'DATABASE F&amp;B'!$C$3:$F$210,4,0)</f>
        <v>0</v>
      </c>
      <c r="BT21" s="19">
        <f t="shared" si="62"/>
        <v>0</v>
      </c>
      <c r="BU21" s="16"/>
      <c r="BV21" s="17">
        <f>VLOOKUP(BU21,'DATABASE F&amp;B'!$C$3:$F$210,2,0)</f>
        <v>0</v>
      </c>
      <c r="BW21" s="18"/>
      <c r="BX21" s="19">
        <f>VLOOKUP(BU21,'DATABASE F&amp;B'!$C$3:$F$210,4,0)</f>
        <v>0</v>
      </c>
      <c r="BY21" s="19">
        <f t="shared" si="63"/>
        <v>0</v>
      </c>
      <c r="BZ21" s="16"/>
      <c r="CA21" s="17">
        <f>VLOOKUP(BZ21,'DATABASE F&amp;B'!$C$3:$F$210,2,0)</f>
        <v>0</v>
      </c>
      <c r="CB21" s="18"/>
      <c r="CC21" s="19">
        <f>VLOOKUP(BZ21,'DATABASE F&amp;B'!$C$3:$F$210,4,0)</f>
        <v>0</v>
      </c>
      <c r="CD21" s="19">
        <f t="shared" si="64"/>
        <v>0</v>
      </c>
    </row>
    <row r="22" spans="1:82" ht="13.5" x14ac:dyDescent="0.25">
      <c r="A22" s="32" t="str">
        <f t="shared" si="45"/>
        <v>05-'03-2026</v>
      </c>
      <c r="B22" s="22">
        <f t="shared" si="43"/>
        <v>18</v>
      </c>
      <c r="C22" s="22">
        <f t="shared" si="44"/>
        <v>18</v>
      </c>
      <c r="D22" s="34">
        <v>46145</v>
      </c>
      <c r="E22" s="35" t="s">
        <v>77</v>
      </c>
      <c r="F22" s="35" t="s">
        <v>202</v>
      </c>
      <c r="G22" s="52" t="s">
        <v>81</v>
      </c>
      <c r="H22" s="36" t="str">
        <f t="shared" si="23"/>
        <v>RJ-'030526-18</v>
      </c>
      <c r="I22" s="36" t="str">
        <f t="shared" si="46"/>
        <v>'03-05-2026</v>
      </c>
      <c r="J22" s="37" t="str">
        <f>VLOOKUP(D22,Laporan!$C$4:$D$34,2,0)</f>
        <v>Minggu</v>
      </c>
      <c r="K22" s="48"/>
      <c r="L22" s="13" t="s">
        <v>33</v>
      </c>
      <c r="M22" s="19">
        <f>SUMIF('DATABASE Room'!$B$3:$B$7,L22,'DATABASE Room'!$D$3:$D$7)</f>
        <v>0</v>
      </c>
      <c r="N22" s="13">
        <v>1</v>
      </c>
      <c r="O22" s="21">
        <f t="shared" si="47"/>
        <v>0</v>
      </c>
      <c r="P22" s="38"/>
      <c r="Q22" s="19">
        <f t="shared" si="48"/>
        <v>0</v>
      </c>
      <c r="R22" s="21">
        <f t="shared" si="49"/>
        <v>0</v>
      </c>
      <c r="S22" s="19">
        <f t="shared" si="50"/>
        <v>5</v>
      </c>
      <c r="T22" s="19">
        <f t="shared" si="51"/>
        <v>23000</v>
      </c>
      <c r="U22" s="21">
        <f t="shared" si="52"/>
        <v>23000</v>
      </c>
      <c r="V22" s="39"/>
      <c r="W22" s="16">
        <v>30</v>
      </c>
      <c r="X22" s="17" t="str">
        <f>VLOOKUP(W22,'DATABASE F&amp;B'!$C$3:$F$216,2,0)</f>
        <v>MENDOAN</v>
      </c>
      <c r="Y22" s="18">
        <v>1</v>
      </c>
      <c r="Z22" s="19">
        <f>VLOOKUP(W22,'DATABASE F&amp;B'!$C$3:$F$216,4,0)</f>
        <v>23000</v>
      </c>
      <c r="AA22" s="19">
        <f t="shared" si="53"/>
        <v>23000</v>
      </c>
      <c r="AB22" s="16"/>
      <c r="AC22" s="17">
        <f>VLOOKUP(AB22,'DATABASE F&amp;B'!$C$3:$F$216,2,0)</f>
        <v>0</v>
      </c>
      <c r="AD22" s="18">
        <v>1</v>
      </c>
      <c r="AE22" s="19">
        <f>VLOOKUP(AB22,'DATABASE F&amp;B'!$C$3:$F$216,4,0)</f>
        <v>0</v>
      </c>
      <c r="AF22" s="19">
        <f t="shared" si="54"/>
        <v>0</v>
      </c>
      <c r="AG22" s="16"/>
      <c r="AH22" s="17">
        <f>VLOOKUP(AG22,'DATABASE F&amp;B'!$C$3:$F$216,2,0)</f>
        <v>0</v>
      </c>
      <c r="AI22" s="18">
        <v>1</v>
      </c>
      <c r="AJ22" s="19">
        <f>VLOOKUP(AG22,'DATABASE F&amp;B'!$C$3:$F$216,4,0)</f>
        <v>0</v>
      </c>
      <c r="AK22" s="19">
        <f t="shared" si="55"/>
        <v>0</v>
      </c>
      <c r="AL22" s="16"/>
      <c r="AM22" s="17">
        <f>VLOOKUP(AL22,'DATABASE F&amp;B'!$C$3:$F$216,2,0)</f>
        <v>0</v>
      </c>
      <c r="AN22" s="18">
        <v>1</v>
      </c>
      <c r="AO22" s="19">
        <f>VLOOKUP(AL22,'DATABASE F&amp;B'!$C$3:$F$216,4,0)</f>
        <v>0</v>
      </c>
      <c r="AP22" s="19">
        <f t="shared" si="56"/>
        <v>0</v>
      </c>
      <c r="AQ22" s="16"/>
      <c r="AR22" s="17">
        <f>VLOOKUP(AQ22,'DATABASE F&amp;B'!$C$3:$F$216,2,0)</f>
        <v>0</v>
      </c>
      <c r="AS22" s="18">
        <v>1</v>
      </c>
      <c r="AT22" s="19">
        <f>VLOOKUP(AQ22,'DATABASE F&amp;B'!$C$3:$F$216,4,0)</f>
        <v>0</v>
      </c>
      <c r="AU22" s="19">
        <f t="shared" si="57"/>
        <v>0</v>
      </c>
      <c r="AV22" s="16"/>
      <c r="AW22" s="17">
        <f>VLOOKUP(AV22,'DATABASE F&amp;B'!$C$3:$F$216,2,0)</f>
        <v>0</v>
      </c>
      <c r="AX22" s="18"/>
      <c r="AY22" s="19">
        <f>VLOOKUP(AV22,'DATABASE F&amp;B'!$C$3:$F$216,4,0)</f>
        <v>0</v>
      </c>
      <c r="AZ22" s="19">
        <f t="shared" si="58"/>
        <v>0</v>
      </c>
      <c r="BA22" s="16"/>
      <c r="BB22" s="17">
        <f>VLOOKUP(BA22,'DATABASE F&amp;B'!$C$3:$F$216,2,0)</f>
        <v>0</v>
      </c>
      <c r="BC22" s="18"/>
      <c r="BD22" s="19">
        <f>VLOOKUP(BA22,'DATABASE F&amp;B'!$C$3:$F$216,4,0)</f>
        <v>0</v>
      </c>
      <c r="BE22" s="19">
        <f t="shared" si="59"/>
        <v>0</v>
      </c>
      <c r="BF22" s="16"/>
      <c r="BG22" s="17">
        <f>VLOOKUP(BF22,'DATABASE F&amp;B'!$C$3:$F$216,2,0)</f>
        <v>0</v>
      </c>
      <c r="BH22" s="18"/>
      <c r="BI22" s="19">
        <f>VLOOKUP(BF22,'DATABASE F&amp;B'!$C$3:$F$216,4,0)</f>
        <v>0</v>
      </c>
      <c r="BJ22" s="19">
        <f t="shared" si="60"/>
        <v>0</v>
      </c>
      <c r="BK22" s="16"/>
      <c r="BL22" s="17">
        <f>VLOOKUP(BK22,'DATABASE F&amp;B'!$C$3:$F$210,2,0)</f>
        <v>0</v>
      </c>
      <c r="BM22" s="18"/>
      <c r="BN22" s="19">
        <f>VLOOKUP(BK22,'DATABASE F&amp;B'!$C$3:$F$210,4,0)</f>
        <v>0</v>
      </c>
      <c r="BO22" s="19">
        <f t="shared" si="61"/>
        <v>0</v>
      </c>
      <c r="BP22" s="16"/>
      <c r="BQ22" s="17">
        <f>VLOOKUP(BP22,'DATABASE F&amp;B'!$C$3:$F$210,2,0)</f>
        <v>0</v>
      </c>
      <c r="BR22" s="18"/>
      <c r="BS22" s="19">
        <f>VLOOKUP(BP22,'DATABASE F&amp;B'!$C$3:$F$210,4,0)</f>
        <v>0</v>
      </c>
      <c r="BT22" s="19">
        <f t="shared" si="62"/>
        <v>0</v>
      </c>
      <c r="BU22" s="16"/>
      <c r="BV22" s="17">
        <f>VLOOKUP(BU22,'DATABASE F&amp;B'!$C$3:$F$210,2,0)</f>
        <v>0</v>
      </c>
      <c r="BW22" s="18"/>
      <c r="BX22" s="19">
        <f>VLOOKUP(BU22,'DATABASE F&amp;B'!$C$3:$F$210,4,0)</f>
        <v>0</v>
      </c>
      <c r="BY22" s="19">
        <f t="shared" si="63"/>
        <v>0</v>
      </c>
      <c r="BZ22" s="16"/>
      <c r="CA22" s="17">
        <f>VLOOKUP(BZ22,'DATABASE F&amp;B'!$C$3:$F$210,2,0)</f>
        <v>0</v>
      </c>
      <c r="CB22" s="18"/>
      <c r="CC22" s="19">
        <f>VLOOKUP(BZ22,'DATABASE F&amp;B'!$C$3:$F$210,4,0)</f>
        <v>0</v>
      </c>
      <c r="CD22" s="19">
        <f t="shared" si="64"/>
        <v>0</v>
      </c>
    </row>
    <row r="23" spans="1:82" ht="13.5" x14ac:dyDescent="0.25">
      <c r="A23" s="32" t="str">
        <f t="shared" si="45"/>
        <v>05-'04-2026</v>
      </c>
      <c r="B23" s="22">
        <f t="shared" si="43"/>
        <v>19</v>
      </c>
      <c r="C23" s="22">
        <f t="shared" si="44"/>
        <v>19</v>
      </c>
      <c r="D23" s="34">
        <v>46146</v>
      </c>
      <c r="E23" s="35" t="s">
        <v>57</v>
      </c>
      <c r="F23" s="35" t="s">
        <v>202</v>
      </c>
      <c r="G23" s="52" t="s">
        <v>81</v>
      </c>
      <c r="H23" s="36" t="str">
        <f t="shared" si="23"/>
        <v>RJ-'040526-19</v>
      </c>
      <c r="I23" s="36" t="str">
        <f t="shared" si="46"/>
        <v>'04-05-2026</v>
      </c>
      <c r="J23" s="37" t="str">
        <f>VLOOKUP(D23,Laporan!$C$4:$D$34,2,0)</f>
        <v>Senin</v>
      </c>
      <c r="K23" s="48"/>
      <c r="L23" s="13" t="s">
        <v>33</v>
      </c>
      <c r="M23" s="19">
        <f>SUMIF('DATABASE Room'!$B$3:$B$7,L23,'DATABASE Room'!$D$3:$D$7)</f>
        <v>0</v>
      </c>
      <c r="N23" s="13">
        <v>1</v>
      </c>
      <c r="O23" s="21">
        <f t="shared" si="47"/>
        <v>0</v>
      </c>
      <c r="P23" s="38"/>
      <c r="Q23" s="19">
        <f t="shared" si="48"/>
        <v>0</v>
      </c>
      <c r="R23" s="21">
        <f t="shared" si="49"/>
        <v>0</v>
      </c>
      <c r="S23" s="19">
        <f t="shared" si="50"/>
        <v>5</v>
      </c>
      <c r="T23" s="19">
        <f t="shared" si="51"/>
        <v>38000</v>
      </c>
      <c r="U23" s="21">
        <f t="shared" si="52"/>
        <v>38000</v>
      </c>
      <c r="V23" s="39"/>
      <c r="W23" s="16">
        <v>31</v>
      </c>
      <c r="X23" s="17" t="str">
        <f>VLOOKUP(W23,'DATABASE F&amp;B'!$C$3:$F$216,2,0)</f>
        <v>NASI GORENG DAGING ASAP</v>
      </c>
      <c r="Y23" s="18">
        <v>1</v>
      </c>
      <c r="Z23" s="19">
        <f>VLOOKUP(W23,'DATABASE F&amp;B'!$C$3:$F$216,4,0)</f>
        <v>38000</v>
      </c>
      <c r="AA23" s="19">
        <f t="shared" si="53"/>
        <v>38000</v>
      </c>
      <c r="AB23" s="16"/>
      <c r="AC23" s="17">
        <f>VLOOKUP(AB23,'DATABASE F&amp;B'!$C$3:$F$216,2,0)</f>
        <v>0</v>
      </c>
      <c r="AD23" s="18">
        <v>1</v>
      </c>
      <c r="AE23" s="19">
        <f>VLOOKUP(AB23,'DATABASE F&amp;B'!$C$3:$F$216,4,0)</f>
        <v>0</v>
      </c>
      <c r="AF23" s="19">
        <f t="shared" si="54"/>
        <v>0</v>
      </c>
      <c r="AG23" s="16"/>
      <c r="AH23" s="17">
        <f>VLOOKUP(AG23,'DATABASE F&amp;B'!$C$3:$F$216,2,0)</f>
        <v>0</v>
      </c>
      <c r="AI23" s="18">
        <v>1</v>
      </c>
      <c r="AJ23" s="19">
        <f>VLOOKUP(AG23,'DATABASE F&amp;B'!$C$3:$F$216,4,0)</f>
        <v>0</v>
      </c>
      <c r="AK23" s="19">
        <f t="shared" si="55"/>
        <v>0</v>
      </c>
      <c r="AL23" s="16"/>
      <c r="AM23" s="17">
        <f>VLOOKUP(AL23,'DATABASE F&amp;B'!$C$3:$F$216,2,0)</f>
        <v>0</v>
      </c>
      <c r="AN23" s="18">
        <v>1</v>
      </c>
      <c r="AO23" s="19">
        <f>VLOOKUP(AL23,'DATABASE F&amp;B'!$C$3:$F$216,4,0)</f>
        <v>0</v>
      </c>
      <c r="AP23" s="19">
        <f t="shared" si="56"/>
        <v>0</v>
      </c>
      <c r="AQ23" s="16"/>
      <c r="AR23" s="17">
        <f>VLOOKUP(AQ23,'DATABASE F&amp;B'!$C$3:$F$216,2,0)</f>
        <v>0</v>
      </c>
      <c r="AS23" s="18">
        <v>1</v>
      </c>
      <c r="AT23" s="19">
        <f>VLOOKUP(AQ23,'DATABASE F&amp;B'!$C$3:$F$216,4,0)</f>
        <v>0</v>
      </c>
      <c r="AU23" s="19">
        <f t="shared" si="57"/>
        <v>0</v>
      </c>
      <c r="AV23" s="16"/>
      <c r="AW23" s="17">
        <f>VLOOKUP(AV23,'DATABASE F&amp;B'!$C$3:$F$216,2,0)</f>
        <v>0</v>
      </c>
      <c r="AX23" s="18"/>
      <c r="AY23" s="19">
        <f>VLOOKUP(AV23,'DATABASE F&amp;B'!$C$3:$F$216,4,0)</f>
        <v>0</v>
      </c>
      <c r="AZ23" s="19">
        <f t="shared" si="58"/>
        <v>0</v>
      </c>
      <c r="BA23" s="16"/>
      <c r="BB23" s="17">
        <f>VLOOKUP(BA23,'DATABASE F&amp;B'!$C$3:$F$216,2,0)</f>
        <v>0</v>
      </c>
      <c r="BC23" s="18"/>
      <c r="BD23" s="19">
        <f>VLOOKUP(BA23,'DATABASE F&amp;B'!$C$3:$F$216,4,0)</f>
        <v>0</v>
      </c>
      <c r="BE23" s="19">
        <f t="shared" si="59"/>
        <v>0</v>
      </c>
      <c r="BF23" s="16"/>
      <c r="BG23" s="17">
        <f>VLOOKUP(BF23,'DATABASE F&amp;B'!$C$3:$F$216,2,0)</f>
        <v>0</v>
      </c>
      <c r="BH23" s="18"/>
      <c r="BI23" s="19">
        <f>VLOOKUP(BF23,'DATABASE F&amp;B'!$C$3:$F$216,4,0)</f>
        <v>0</v>
      </c>
      <c r="BJ23" s="19">
        <f t="shared" si="60"/>
        <v>0</v>
      </c>
      <c r="BK23" s="16"/>
      <c r="BL23" s="17">
        <f>VLOOKUP(BK23,'DATABASE F&amp;B'!$C$3:$F$210,2,0)</f>
        <v>0</v>
      </c>
      <c r="BM23" s="18"/>
      <c r="BN23" s="19">
        <f>VLOOKUP(BK23,'DATABASE F&amp;B'!$C$3:$F$210,4,0)</f>
        <v>0</v>
      </c>
      <c r="BO23" s="19">
        <f t="shared" si="61"/>
        <v>0</v>
      </c>
      <c r="BP23" s="16"/>
      <c r="BQ23" s="17">
        <f>VLOOKUP(BP23,'DATABASE F&amp;B'!$C$3:$F$210,2,0)</f>
        <v>0</v>
      </c>
      <c r="BR23" s="18"/>
      <c r="BS23" s="19">
        <f>VLOOKUP(BP23,'DATABASE F&amp;B'!$C$3:$F$210,4,0)</f>
        <v>0</v>
      </c>
      <c r="BT23" s="19">
        <f t="shared" si="62"/>
        <v>0</v>
      </c>
      <c r="BU23" s="16"/>
      <c r="BV23" s="17">
        <f>VLOOKUP(BU23,'DATABASE F&amp;B'!$C$3:$F$210,2,0)</f>
        <v>0</v>
      </c>
      <c r="BW23" s="18"/>
      <c r="BX23" s="19">
        <f>VLOOKUP(BU23,'DATABASE F&amp;B'!$C$3:$F$210,4,0)</f>
        <v>0</v>
      </c>
      <c r="BY23" s="19">
        <f t="shared" si="63"/>
        <v>0</v>
      </c>
      <c r="BZ23" s="16"/>
      <c r="CA23" s="17">
        <f>VLOOKUP(BZ23,'DATABASE F&amp;B'!$C$3:$F$210,2,0)</f>
        <v>0</v>
      </c>
      <c r="CB23" s="18"/>
      <c r="CC23" s="19">
        <f>VLOOKUP(BZ23,'DATABASE F&amp;B'!$C$3:$F$210,4,0)</f>
        <v>0</v>
      </c>
      <c r="CD23" s="19">
        <f t="shared" si="64"/>
        <v>0</v>
      </c>
    </row>
    <row r="24" spans="1:82" ht="13.5" x14ac:dyDescent="0.25">
      <c r="A24" s="32" t="str">
        <f t="shared" si="45"/>
        <v>05-'04-2026</v>
      </c>
      <c r="B24" s="22">
        <f t="shared" si="43"/>
        <v>20</v>
      </c>
      <c r="C24" s="22">
        <f t="shared" si="44"/>
        <v>20</v>
      </c>
      <c r="D24" s="34">
        <v>46146</v>
      </c>
      <c r="E24" s="35" t="s">
        <v>57</v>
      </c>
      <c r="F24" s="35" t="s">
        <v>202</v>
      </c>
      <c r="G24" s="52" t="s">
        <v>81</v>
      </c>
      <c r="H24" s="36" t="str">
        <f t="shared" si="23"/>
        <v>RJ-'040526-20</v>
      </c>
      <c r="I24" s="36" t="str">
        <f t="shared" si="46"/>
        <v>'04-05-2026</v>
      </c>
      <c r="J24" s="37" t="str">
        <f>VLOOKUP(D24,Laporan!$C$4:$D$34,2,0)</f>
        <v>Senin</v>
      </c>
      <c r="K24" s="48"/>
      <c r="L24" s="13" t="s">
        <v>33</v>
      </c>
      <c r="M24" s="19">
        <f>SUMIF('DATABASE Room'!$B$3:$B$7,L24,'DATABASE Room'!$D$3:$D$7)</f>
        <v>0</v>
      </c>
      <c r="N24" s="13">
        <v>1</v>
      </c>
      <c r="O24" s="21">
        <f t="shared" si="47"/>
        <v>0</v>
      </c>
      <c r="P24" s="38"/>
      <c r="Q24" s="19">
        <f t="shared" si="48"/>
        <v>0</v>
      </c>
      <c r="R24" s="21">
        <f t="shared" si="49"/>
        <v>0</v>
      </c>
      <c r="S24" s="19">
        <f t="shared" si="50"/>
        <v>5</v>
      </c>
      <c r="T24" s="19">
        <f t="shared" si="51"/>
        <v>565000</v>
      </c>
      <c r="U24" s="21">
        <f t="shared" si="52"/>
        <v>565000</v>
      </c>
      <c r="V24" s="39"/>
      <c r="W24" s="16">
        <v>47</v>
      </c>
      <c r="X24" s="17" t="str">
        <f>VLOOKUP(W24,'DATABASE F&amp;B'!$C$3:$F$216,2,0)</f>
        <v>PULPY ORANGE 300ML</v>
      </c>
      <c r="Y24" s="18">
        <v>1</v>
      </c>
      <c r="Z24" s="19">
        <f>VLOOKUP(W24,'DATABASE F&amp;B'!$C$3:$F$216,4,0)</f>
        <v>15000</v>
      </c>
      <c r="AA24" s="19">
        <f t="shared" si="53"/>
        <v>15000</v>
      </c>
      <c r="AB24" s="16">
        <v>110</v>
      </c>
      <c r="AC24" s="17" t="str">
        <f>VLOOKUP(AB24,'DATABASE F&amp;B'!$C$3:$F$216,2,0)</f>
        <v>JAGERMEISTER 700ML</v>
      </c>
      <c r="AD24" s="18">
        <v>1</v>
      </c>
      <c r="AE24" s="19">
        <f>VLOOKUP(AB24,'DATABASE F&amp;B'!$C$3:$F$216,4,0)</f>
        <v>550000</v>
      </c>
      <c r="AF24" s="19">
        <f t="shared" si="54"/>
        <v>550000</v>
      </c>
      <c r="AG24" s="16"/>
      <c r="AH24" s="17">
        <f>VLOOKUP(AG24,'DATABASE F&amp;B'!$C$3:$F$216,2,0)</f>
        <v>0</v>
      </c>
      <c r="AI24" s="18">
        <v>1</v>
      </c>
      <c r="AJ24" s="19">
        <f>VLOOKUP(AG24,'DATABASE F&amp;B'!$C$3:$F$216,4,0)</f>
        <v>0</v>
      </c>
      <c r="AK24" s="19">
        <f t="shared" si="55"/>
        <v>0</v>
      </c>
      <c r="AL24" s="16"/>
      <c r="AM24" s="17">
        <f>VLOOKUP(AL24,'DATABASE F&amp;B'!$C$3:$F$216,2,0)</f>
        <v>0</v>
      </c>
      <c r="AN24" s="18">
        <v>1</v>
      </c>
      <c r="AO24" s="19">
        <f>VLOOKUP(AL24,'DATABASE F&amp;B'!$C$3:$F$216,4,0)</f>
        <v>0</v>
      </c>
      <c r="AP24" s="19">
        <f t="shared" si="56"/>
        <v>0</v>
      </c>
      <c r="AQ24" s="16"/>
      <c r="AR24" s="17">
        <f>VLOOKUP(AQ24,'DATABASE F&amp;B'!$C$3:$F$216,2,0)</f>
        <v>0</v>
      </c>
      <c r="AS24" s="18">
        <v>1</v>
      </c>
      <c r="AT24" s="19">
        <f>VLOOKUP(AQ24,'DATABASE F&amp;B'!$C$3:$F$216,4,0)</f>
        <v>0</v>
      </c>
      <c r="AU24" s="19">
        <f t="shared" si="57"/>
        <v>0</v>
      </c>
      <c r="AV24" s="16"/>
      <c r="AW24" s="17">
        <f>VLOOKUP(AV24,'DATABASE F&amp;B'!$C$3:$F$216,2,0)</f>
        <v>0</v>
      </c>
      <c r="AX24" s="18"/>
      <c r="AY24" s="19">
        <f>VLOOKUP(AV24,'DATABASE F&amp;B'!$C$3:$F$216,4,0)</f>
        <v>0</v>
      </c>
      <c r="AZ24" s="19">
        <f t="shared" si="58"/>
        <v>0</v>
      </c>
      <c r="BA24" s="16"/>
      <c r="BB24" s="17">
        <f>VLOOKUP(BA24,'DATABASE F&amp;B'!$C$3:$F$216,2,0)</f>
        <v>0</v>
      </c>
      <c r="BC24" s="18"/>
      <c r="BD24" s="19">
        <f>VLOOKUP(BA24,'DATABASE F&amp;B'!$C$3:$F$216,4,0)</f>
        <v>0</v>
      </c>
      <c r="BE24" s="19">
        <f t="shared" si="59"/>
        <v>0</v>
      </c>
      <c r="BF24" s="16"/>
      <c r="BG24" s="17">
        <f>VLOOKUP(BF24,'DATABASE F&amp;B'!$C$3:$F$216,2,0)</f>
        <v>0</v>
      </c>
      <c r="BH24" s="18"/>
      <c r="BI24" s="19">
        <f>VLOOKUP(BF24,'DATABASE F&amp;B'!$C$3:$F$216,4,0)</f>
        <v>0</v>
      </c>
      <c r="BJ24" s="19">
        <f t="shared" si="60"/>
        <v>0</v>
      </c>
      <c r="BK24" s="16"/>
      <c r="BL24" s="17">
        <f>VLOOKUP(BK24,'DATABASE F&amp;B'!$C$3:$F$210,2,0)</f>
        <v>0</v>
      </c>
      <c r="BM24" s="18"/>
      <c r="BN24" s="19">
        <f>VLOOKUP(BK24,'DATABASE F&amp;B'!$C$3:$F$210,4,0)</f>
        <v>0</v>
      </c>
      <c r="BO24" s="19">
        <f t="shared" si="61"/>
        <v>0</v>
      </c>
      <c r="BP24" s="16"/>
      <c r="BQ24" s="17">
        <f>VLOOKUP(BP24,'DATABASE F&amp;B'!$C$3:$F$210,2,0)</f>
        <v>0</v>
      </c>
      <c r="BR24" s="18"/>
      <c r="BS24" s="19">
        <f>VLOOKUP(BP24,'DATABASE F&amp;B'!$C$3:$F$210,4,0)</f>
        <v>0</v>
      </c>
      <c r="BT24" s="19">
        <f t="shared" si="62"/>
        <v>0</v>
      </c>
      <c r="BU24" s="16"/>
      <c r="BV24" s="17">
        <f>VLOOKUP(BU24,'DATABASE F&amp;B'!$C$3:$F$210,2,0)</f>
        <v>0</v>
      </c>
      <c r="BW24" s="18"/>
      <c r="BX24" s="19">
        <f>VLOOKUP(BU24,'DATABASE F&amp;B'!$C$3:$F$210,4,0)</f>
        <v>0</v>
      </c>
      <c r="BY24" s="19">
        <f t="shared" si="63"/>
        <v>0</v>
      </c>
      <c r="BZ24" s="16"/>
      <c r="CA24" s="17">
        <f>VLOOKUP(BZ24,'DATABASE F&amp;B'!$C$3:$F$210,2,0)</f>
        <v>0</v>
      </c>
      <c r="CB24" s="18"/>
      <c r="CC24" s="19">
        <f>VLOOKUP(BZ24,'DATABASE F&amp;B'!$C$3:$F$210,4,0)</f>
        <v>0</v>
      </c>
      <c r="CD24" s="19">
        <f t="shared" si="64"/>
        <v>0</v>
      </c>
    </row>
    <row r="25" spans="1:82" ht="13.5" x14ac:dyDescent="0.25">
      <c r="A25" s="32" t="str">
        <f t="shared" si="45"/>
        <v>05-'04-2026</v>
      </c>
      <c r="B25" s="22">
        <f t="shared" si="43"/>
        <v>21</v>
      </c>
      <c r="C25" s="22">
        <f t="shared" si="44"/>
        <v>21</v>
      </c>
      <c r="D25" s="34">
        <v>46146</v>
      </c>
      <c r="E25" s="35" t="s">
        <v>57</v>
      </c>
      <c r="F25" s="35" t="s">
        <v>202</v>
      </c>
      <c r="G25" s="52" t="s">
        <v>81</v>
      </c>
      <c r="H25" s="36" t="str">
        <f t="shared" si="23"/>
        <v>RJ-'040526-21</v>
      </c>
      <c r="I25" s="36" t="str">
        <f t="shared" si="46"/>
        <v>'04-05-2026</v>
      </c>
      <c r="J25" s="37" t="str">
        <f>VLOOKUP(D25,Laporan!$C$4:$D$34,2,0)</f>
        <v>Senin</v>
      </c>
      <c r="K25" s="48"/>
      <c r="L25" s="13" t="s">
        <v>33</v>
      </c>
      <c r="M25" s="19">
        <f>SUMIF('DATABASE Room'!$B$3:$B$7,L25,'DATABASE Room'!$D$3:$D$7)</f>
        <v>0</v>
      </c>
      <c r="N25" s="13">
        <v>1</v>
      </c>
      <c r="O25" s="21">
        <f t="shared" si="47"/>
        <v>0</v>
      </c>
      <c r="P25" s="38"/>
      <c r="Q25" s="19">
        <f t="shared" si="48"/>
        <v>0</v>
      </c>
      <c r="R25" s="21">
        <f t="shared" si="49"/>
        <v>0</v>
      </c>
      <c r="S25" s="19">
        <f t="shared" si="50"/>
        <v>5</v>
      </c>
      <c r="T25" s="19">
        <f t="shared" si="51"/>
        <v>8000</v>
      </c>
      <c r="U25" s="21">
        <f t="shared" si="52"/>
        <v>8000</v>
      </c>
      <c r="V25" s="39"/>
      <c r="W25" s="16">
        <v>45</v>
      </c>
      <c r="X25" s="17" t="str">
        <f>VLOOKUP(W25,'DATABASE F&amp;B'!$C$3:$F$216,2,0)</f>
        <v>LE MINERAL 330ML</v>
      </c>
      <c r="Y25" s="18">
        <v>1</v>
      </c>
      <c r="Z25" s="19">
        <f>VLOOKUP(W25,'DATABASE F&amp;B'!$C$3:$F$216,4,0)</f>
        <v>8000</v>
      </c>
      <c r="AA25" s="19">
        <f t="shared" si="53"/>
        <v>8000</v>
      </c>
      <c r="AB25" s="16"/>
      <c r="AC25" s="17">
        <f>VLOOKUP(AB25,'DATABASE F&amp;B'!$C$3:$F$216,2,0)</f>
        <v>0</v>
      </c>
      <c r="AD25" s="18">
        <v>1</v>
      </c>
      <c r="AE25" s="19">
        <f>VLOOKUP(AB25,'DATABASE F&amp;B'!$C$3:$F$216,4,0)</f>
        <v>0</v>
      </c>
      <c r="AF25" s="19">
        <f t="shared" si="54"/>
        <v>0</v>
      </c>
      <c r="AG25" s="16"/>
      <c r="AH25" s="17">
        <f>VLOOKUP(AG25,'DATABASE F&amp;B'!$C$3:$F$216,2,0)</f>
        <v>0</v>
      </c>
      <c r="AI25" s="18">
        <v>1</v>
      </c>
      <c r="AJ25" s="19">
        <f>VLOOKUP(AG25,'DATABASE F&amp;B'!$C$3:$F$216,4,0)</f>
        <v>0</v>
      </c>
      <c r="AK25" s="19">
        <f t="shared" si="55"/>
        <v>0</v>
      </c>
      <c r="AL25" s="16"/>
      <c r="AM25" s="17">
        <f>VLOOKUP(AL25,'DATABASE F&amp;B'!$C$3:$F$216,2,0)</f>
        <v>0</v>
      </c>
      <c r="AN25" s="18">
        <v>1</v>
      </c>
      <c r="AO25" s="19">
        <f>VLOOKUP(AL25,'DATABASE F&amp;B'!$C$3:$F$216,4,0)</f>
        <v>0</v>
      </c>
      <c r="AP25" s="19">
        <f t="shared" si="56"/>
        <v>0</v>
      </c>
      <c r="AQ25" s="16"/>
      <c r="AR25" s="17">
        <f>VLOOKUP(AQ25,'DATABASE F&amp;B'!$C$3:$F$216,2,0)</f>
        <v>0</v>
      </c>
      <c r="AS25" s="18">
        <v>1</v>
      </c>
      <c r="AT25" s="19">
        <f>VLOOKUP(AQ25,'DATABASE F&amp;B'!$C$3:$F$216,4,0)</f>
        <v>0</v>
      </c>
      <c r="AU25" s="19">
        <f t="shared" si="57"/>
        <v>0</v>
      </c>
      <c r="AV25" s="16"/>
      <c r="AW25" s="17">
        <f>VLOOKUP(AV25,'DATABASE F&amp;B'!$C$3:$F$216,2,0)</f>
        <v>0</v>
      </c>
      <c r="AX25" s="18"/>
      <c r="AY25" s="19">
        <f>VLOOKUP(AV25,'DATABASE F&amp;B'!$C$3:$F$216,4,0)</f>
        <v>0</v>
      </c>
      <c r="AZ25" s="19">
        <f t="shared" si="58"/>
        <v>0</v>
      </c>
      <c r="BA25" s="16"/>
      <c r="BB25" s="17">
        <f>VLOOKUP(BA25,'DATABASE F&amp;B'!$C$3:$F$216,2,0)</f>
        <v>0</v>
      </c>
      <c r="BC25" s="18"/>
      <c r="BD25" s="19">
        <f>VLOOKUP(BA25,'DATABASE F&amp;B'!$C$3:$F$216,4,0)</f>
        <v>0</v>
      </c>
      <c r="BE25" s="19">
        <f t="shared" si="59"/>
        <v>0</v>
      </c>
      <c r="BF25" s="16"/>
      <c r="BG25" s="17">
        <f>VLOOKUP(BF25,'DATABASE F&amp;B'!$C$3:$F$216,2,0)</f>
        <v>0</v>
      </c>
      <c r="BH25" s="18"/>
      <c r="BI25" s="19">
        <f>VLOOKUP(BF25,'DATABASE F&amp;B'!$C$3:$F$216,4,0)</f>
        <v>0</v>
      </c>
      <c r="BJ25" s="19">
        <f t="shared" si="60"/>
        <v>0</v>
      </c>
      <c r="BK25" s="16"/>
      <c r="BL25" s="17">
        <f>VLOOKUP(BK25,'DATABASE F&amp;B'!$C$3:$F$210,2,0)</f>
        <v>0</v>
      </c>
      <c r="BM25" s="18"/>
      <c r="BN25" s="19">
        <f>VLOOKUP(BK25,'DATABASE F&amp;B'!$C$3:$F$210,4,0)</f>
        <v>0</v>
      </c>
      <c r="BO25" s="19">
        <f t="shared" si="61"/>
        <v>0</v>
      </c>
      <c r="BP25" s="16"/>
      <c r="BQ25" s="17">
        <f>VLOOKUP(BP25,'DATABASE F&amp;B'!$C$3:$F$210,2,0)</f>
        <v>0</v>
      </c>
      <c r="BR25" s="18"/>
      <c r="BS25" s="19">
        <f>VLOOKUP(BP25,'DATABASE F&amp;B'!$C$3:$F$210,4,0)</f>
        <v>0</v>
      </c>
      <c r="BT25" s="19">
        <f t="shared" si="62"/>
        <v>0</v>
      </c>
      <c r="BU25" s="16"/>
      <c r="BV25" s="17">
        <f>VLOOKUP(BU25,'DATABASE F&amp;B'!$C$3:$F$210,2,0)</f>
        <v>0</v>
      </c>
      <c r="BW25" s="18"/>
      <c r="BX25" s="19">
        <f>VLOOKUP(BU25,'DATABASE F&amp;B'!$C$3:$F$210,4,0)</f>
        <v>0</v>
      </c>
      <c r="BY25" s="19">
        <f t="shared" si="63"/>
        <v>0</v>
      </c>
      <c r="BZ25" s="16"/>
      <c r="CA25" s="17">
        <f>VLOOKUP(BZ25,'DATABASE F&amp;B'!$C$3:$F$210,2,0)</f>
        <v>0</v>
      </c>
      <c r="CB25" s="18"/>
      <c r="CC25" s="19">
        <f>VLOOKUP(BZ25,'DATABASE F&amp;B'!$C$3:$F$210,4,0)</f>
        <v>0</v>
      </c>
      <c r="CD25" s="19">
        <f t="shared" si="64"/>
        <v>0</v>
      </c>
    </row>
    <row r="26" spans="1:82" ht="13.5" x14ac:dyDescent="0.25">
      <c r="A26" s="32" t="str">
        <f t="shared" si="45"/>
        <v>05-'04-2026</v>
      </c>
      <c r="B26" s="22">
        <f t="shared" si="43"/>
        <v>22</v>
      </c>
      <c r="C26" s="22">
        <f t="shared" si="44"/>
        <v>22</v>
      </c>
      <c r="D26" s="34">
        <v>46146</v>
      </c>
      <c r="E26" s="35" t="s">
        <v>57</v>
      </c>
      <c r="F26" s="35" t="s">
        <v>202</v>
      </c>
      <c r="G26" s="52" t="s">
        <v>81</v>
      </c>
      <c r="H26" s="36" t="str">
        <f t="shared" si="23"/>
        <v>RJ-'040526-22</v>
      </c>
      <c r="I26" s="36" t="str">
        <f t="shared" si="46"/>
        <v>'04-05-2026</v>
      </c>
      <c r="J26" s="37" t="str">
        <f>VLOOKUP(D26,Laporan!$C$4:$D$34,2,0)</f>
        <v>Senin</v>
      </c>
      <c r="K26" s="48"/>
      <c r="L26" s="13" t="s">
        <v>33</v>
      </c>
      <c r="M26" s="19">
        <f>SUMIF('DATABASE Room'!$B$3:$B$7,L26,'DATABASE Room'!$D$3:$D$7)</f>
        <v>0</v>
      </c>
      <c r="N26" s="13">
        <v>1</v>
      </c>
      <c r="O26" s="21">
        <f t="shared" si="47"/>
        <v>0</v>
      </c>
      <c r="P26" s="38"/>
      <c r="Q26" s="19">
        <f t="shared" si="48"/>
        <v>0</v>
      </c>
      <c r="R26" s="21">
        <f t="shared" si="49"/>
        <v>0</v>
      </c>
      <c r="S26" s="19">
        <f t="shared" si="50"/>
        <v>5</v>
      </c>
      <c r="T26" s="19">
        <f t="shared" si="51"/>
        <v>15000</v>
      </c>
      <c r="U26" s="21">
        <f t="shared" si="52"/>
        <v>15000</v>
      </c>
      <c r="V26" s="39"/>
      <c r="W26" s="16">
        <v>46</v>
      </c>
      <c r="X26" s="17" t="str">
        <f>VLOOKUP(W26,'DATABASE F&amp;B'!$C$3:$F$216,2,0)</f>
        <v>TEH PUCUK HARUM 350ML</v>
      </c>
      <c r="Y26" s="18">
        <v>1</v>
      </c>
      <c r="Z26" s="19">
        <f>VLOOKUP(W26,'DATABASE F&amp;B'!$C$3:$F$216,4,0)</f>
        <v>15000</v>
      </c>
      <c r="AA26" s="19">
        <f t="shared" si="53"/>
        <v>15000</v>
      </c>
      <c r="AB26" s="16"/>
      <c r="AC26" s="17">
        <f>VLOOKUP(AB26,'DATABASE F&amp;B'!$C$3:$F$216,2,0)</f>
        <v>0</v>
      </c>
      <c r="AD26" s="18">
        <v>1</v>
      </c>
      <c r="AE26" s="19">
        <f>VLOOKUP(AB26,'DATABASE F&amp;B'!$C$3:$F$216,4,0)</f>
        <v>0</v>
      </c>
      <c r="AF26" s="19">
        <f t="shared" si="54"/>
        <v>0</v>
      </c>
      <c r="AG26" s="16"/>
      <c r="AH26" s="17">
        <f>VLOOKUP(AG26,'DATABASE F&amp;B'!$C$3:$F$216,2,0)</f>
        <v>0</v>
      </c>
      <c r="AI26" s="18">
        <v>1</v>
      </c>
      <c r="AJ26" s="19">
        <f>VLOOKUP(AG26,'DATABASE F&amp;B'!$C$3:$F$216,4,0)</f>
        <v>0</v>
      </c>
      <c r="AK26" s="19">
        <f t="shared" si="55"/>
        <v>0</v>
      </c>
      <c r="AL26" s="16"/>
      <c r="AM26" s="17">
        <f>VLOOKUP(AL26,'DATABASE F&amp;B'!$C$3:$F$216,2,0)</f>
        <v>0</v>
      </c>
      <c r="AN26" s="18">
        <v>1</v>
      </c>
      <c r="AO26" s="19">
        <f>VLOOKUP(AL26,'DATABASE F&amp;B'!$C$3:$F$216,4,0)</f>
        <v>0</v>
      </c>
      <c r="AP26" s="19">
        <f t="shared" si="56"/>
        <v>0</v>
      </c>
      <c r="AQ26" s="16"/>
      <c r="AR26" s="17">
        <f>VLOOKUP(AQ26,'DATABASE F&amp;B'!$C$3:$F$216,2,0)</f>
        <v>0</v>
      </c>
      <c r="AS26" s="18">
        <v>1</v>
      </c>
      <c r="AT26" s="19">
        <f>VLOOKUP(AQ26,'DATABASE F&amp;B'!$C$3:$F$216,4,0)</f>
        <v>0</v>
      </c>
      <c r="AU26" s="19">
        <f t="shared" si="57"/>
        <v>0</v>
      </c>
      <c r="AV26" s="16"/>
      <c r="AW26" s="17">
        <f>VLOOKUP(AV26,'DATABASE F&amp;B'!$C$3:$F$216,2,0)</f>
        <v>0</v>
      </c>
      <c r="AX26" s="18"/>
      <c r="AY26" s="19">
        <f>VLOOKUP(AV26,'DATABASE F&amp;B'!$C$3:$F$216,4,0)</f>
        <v>0</v>
      </c>
      <c r="AZ26" s="19">
        <f t="shared" si="58"/>
        <v>0</v>
      </c>
      <c r="BA26" s="16"/>
      <c r="BB26" s="17">
        <f>VLOOKUP(BA26,'DATABASE F&amp;B'!$C$3:$F$216,2,0)</f>
        <v>0</v>
      </c>
      <c r="BC26" s="18"/>
      <c r="BD26" s="19">
        <f>VLOOKUP(BA26,'DATABASE F&amp;B'!$C$3:$F$216,4,0)</f>
        <v>0</v>
      </c>
      <c r="BE26" s="19">
        <f t="shared" si="59"/>
        <v>0</v>
      </c>
      <c r="BF26" s="16"/>
      <c r="BG26" s="17">
        <f>VLOOKUP(BF26,'DATABASE F&amp;B'!$C$3:$F$216,2,0)</f>
        <v>0</v>
      </c>
      <c r="BH26" s="18"/>
      <c r="BI26" s="19">
        <f>VLOOKUP(BF26,'DATABASE F&amp;B'!$C$3:$F$216,4,0)</f>
        <v>0</v>
      </c>
      <c r="BJ26" s="19">
        <f t="shared" si="60"/>
        <v>0</v>
      </c>
      <c r="BK26" s="16"/>
      <c r="BL26" s="17">
        <f>VLOOKUP(BK26,'DATABASE F&amp;B'!$C$3:$F$210,2,0)</f>
        <v>0</v>
      </c>
      <c r="BM26" s="18"/>
      <c r="BN26" s="19">
        <f>VLOOKUP(BK26,'DATABASE F&amp;B'!$C$3:$F$210,4,0)</f>
        <v>0</v>
      </c>
      <c r="BO26" s="19">
        <f t="shared" si="61"/>
        <v>0</v>
      </c>
      <c r="BP26" s="16"/>
      <c r="BQ26" s="17">
        <f>VLOOKUP(BP26,'DATABASE F&amp;B'!$C$3:$F$210,2,0)</f>
        <v>0</v>
      </c>
      <c r="BR26" s="18"/>
      <c r="BS26" s="19">
        <f>VLOOKUP(BP26,'DATABASE F&amp;B'!$C$3:$F$210,4,0)</f>
        <v>0</v>
      </c>
      <c r="BT26" s="19">
        <f t="shared" si="62"/>
        <v>0</v>
      </c>
      <c r="BU26" s="16"/>
      <c r="BV26" s="17">
        <f>VLOOKUP(BU26,'DATABASE F&amp;B'!$C$3:$F$210,2,0)</f>
        <v>0</v>
      </c>
      <c r="BW26" s="18"/>
      <c r="BX26" s="19">
        <f>VLOOKUP(BU26,'DATABASE F&amp;B'!$C$3:$F$210,4,0)</f>
        <v>0</v>
      </c>
      <c r="BY26" s="19">
        <f t="shared" si="63"/>
        <v>0</v>
      </c>
      <c r="BZ26" s="16"/>
      <c r="CA26" s="17">
        <f>VLOOKUP(BZ26,'DATABASE F&amp;B'!$C$3:$F$210,2,0)</f>
        <v>0</v>
      </c>
      <c r="CB26" s="18"/>
      <c r="CC26" s="19">
        <f>VLOOKUP(BZ26,'DATABASE F&amp;B'!$C$3:$F$210,4,0)</f>
        <v>0</v>
      </c>
      <c r="CD26" s="19">
        <f t="shared" si="64"/>
        <v>0</v>
      </c>
    </row>
    <row r="27" spans="1:82" ht="13.5" x14ac:dyDescent="0.25">
      <c r="A27" s="32" t="str">
        <f t="shared" si="45"/>
        <v>05-'04-2026</v>
      </c>
      <c r="B27" s="22">
        <f t="shared" si="43"/>
        <v>23</v>
      </c>
      <c r="C27" s="22">
        <f t="shared" si="44"/>
        <v>23</v>
      </c>
      <c r="D27" s="34">
        <v>46146</v>
      </c>
      <c r="E27" s="35" t="s">
        <v>57</v>
      </c>
      <c r="F27" s="35" t="s">
        <v>202</v>
      </c>
      <c r="G27" s="52" t="s">
        <v>81</v>
      </c>
      <c r="H27" s="36" t="str">
        <f t="shared" si="23"/>
        <v>RJ-'040526-23</v>
      </c>
      <c r="I27" s="36" t="str">
        <f t="shared" si="46"/>
        <v>'04-05-2026</v>
      </c>
      <c r="J27" s="37" t="str">
        <f>VLOOKUP(D27,Laporan!$C$4:$D$34,2,0)</f>
        <v>Senin</v>
      </c>
      <c r="K27" s="48"/>
      <c r="L27" s="13" t="s">
        <v>33</v>
      </c>
      <c r="M27" s="19">
        <f>SUMIF('DATABASE Room'!$B$3:$B$7,L27,'DATABASE Room'!$D$3:$D$7)</f>
        <v>0</v>
      </c>
      <c r="N27" s="13">
        <v>1</v>
      </c>
      <c r="O27" s="21">
        <f t="shared" si="47"/>
        <v>0</v>
      </c>
      <c r="P27" s="38"/>
      <c r="Q27" s="19">
        <f t="shared" si="48"/>
        <v>0</v>
      </c>
      <c r="R27" s="21">
        <f t="shared" si="49"/>
        <v>0</v>
      </c>
      <c r="S27" s="19">
        <f t="shared" si="50"/>
        <v>5</v>
      </c>
      <c r="T27" s="19">
        <f t="shared" si="51"/>
        <v>15000</v>
      </c>
      <c r="U27" s="21">
        <f t="shared" si="52"/>
        <v>15000</v>
      </c>
      <c r="V27" s="39"/>
      <c r="W27" s="16">
        <v>47</v>
      </c>
      <c r="X27" s="17" t="str">
        <f>VLOOKUP(W27,'DATABASE F&amp;B'!$C$3:$F$216,2,0)</f>
        <v>PULPY ORANGE 300ML</v>
      </c>
      <c r="Y27" s="18">
        <v>1</v>
      </c>
      <c r="Z27" s="19">
        <f>VLOOKUP(W27,'DATABASE F&amp;B'!$C$3:$F$216,4,0)</f>
        <v>15000</v>
      </c>
      <c r="AA27" s="19">
        <f t="shared" si="53"/>
        <v>15000</v>
      </c>
      <c r="AB27" s="16"/>
      <c r="AC27" s="17">
        <f>VLOOKUP(AB27,'DATABASE F&amp;B'!$C$3:$F$216,2,0)</f>
        <v>0</v>
      </c>
      <c r="AD27" s="18">
        <v>1</v>
      </c>
      <c r="AE27" s="19">
        <f>VLOOKUP(AB27,'DATABASE F&amp;B'!$C$3:$F$216,4,0)</f>
        <v>0</v>
      </c>
      <c r="AF27" s="19">
        <f t="shared" si="54"/>
        <v>0</v>
      </c>
      <c r="AG27" s="16"/>
      <c r="AH27" s="17">
        <f>VLOOKUP(AG27,'DATABASE F&amp;B'!$C$3:$F$216,2,0)</f>
        <v>0</v>
      </c>
      <c r="AI27" s="18">
        <v>1</v>
      </c>
      <c r="AJ27" s="19">
        <f>VLOOKUP(AG27,'DATABASE F&amp;B'!$C$3:$F$216,4,0)</f>
        <v>0</v>
      </c>
      <c r="AK27" s="19">
        <f t="shared" si="55"/>
        <v>0</v>
      </c>
      <c r="AL27" s="16"/>
      <c r="AM27" s="17">
        <f>VLOOKUP(AL27,'DATABASE F&amp;B'!$C$3:$F$216,2,0)</f>
        <v>0</v>
      </c>
      <c r="AN27" s="18">
        <v>1</v>
      </c>
      <c r="AO27" s="19">
        <f>VLOOKUP(AL27,'DATABASE F&amp;B'!$C$3:$F$216,4,0)</f>
        <v>0</v>
      </c>
      <c r="AP27" s="19">
        <f t="shared" si="56"/>
        <v>0</v>
      </c>
      <c r="AQ27" s="16"/>
      <c r="AR27" s="17">
        <f>VLOOKUP(AQ27,'DATABASE F&amp;B'!$C$3:$F$216,2,0)</f>
        <v>0</v>
      </c>
      <c r="AS27" s="18">
        <v>1</v>
      </c>
      <c r="AT27" s="19">
        <f>VLOOKUP(AQ27,'DATABASE F&amp;B'!$C$3:$F$216,4,0)</f>
        <v>0</v>
      </c>
      <c r="AU27" s="19">
        <f t="shared" si="57"/>
        <v>0</v>
      </c>
      <c r="AV27" s="16"/>
      <c r="AW27" s="17">
        <f>VLOOKUP(AV27,'DATABASE F&amp;B'!$C$3:$F$216,2,0)</f>
        <v>0</v>
      </c>
      <c r="AX27" s="18"/>
      <c r="AY27" s="19">
        <f>VLOOKUP(AV27,'DATABASE F&amp;B'!$C$3:$F$216,4,0)</f>
        <v>0</v>
      </c>
      <c r="AZ27" s="19">
        <f t="shared" si="58"/>
        <v>0</v>
      </c>
      <c r="BA27" s="16"/>
      <c r="BB27" s="17">
        <f>VLOOKUP(BA27,'DATABASE F&amp;B'!$C$3:$F$216,2,0)</f>
        <v>0</v>
      </c>
      <c r="BC27" s="18"/>
      <c r="BD27" s="19">
        <f>VLOOKUP(BA27,'DATABASE F&amp;B'!$C$3:$F$216,4,0)</f>
        <v>0</v>
      </c>
      <c r="BE27" s="19">
        <f t="shared" si="59"/>
        <v>0</v>
      </c>
      <c r="BF27" s="16"/>
      <c r="BG27" s="17">
        <f>VLOOKUP(BF27,'DATABASE F&amp;B'!$C$3:$F$216,2,0)</f>
        <v>0</v>
      </c>
      <c r="BH27" s="18"/>
      <c r="BI27" s="19">
        <f>VLOOKUP(BF27,'DATABASE F&amp;B'!$C$3:$F$216,4,0)</f>
        <v>0</v>
      </c>
      <c r="BJ27" s="19">
        <f t="shared" si="60"/>
        <v>0</v>
      </c>
      <c r="BK27" s="16"/>
      <c r="BL27" s="17">
        <f>VLOOKUP(BK27,'DATABASE F&amp;B'!$C$3:$F$210,2,0)</f>
        <v>0</v>
      </c>
      <c r="BM27" s="18"/>
      <c r="BN27" s="19">
        <f>VLOOKUP(BK27,'DATABASE F&amp;B'!$C$3:$F$210,4,0)</f>
        <v>0</v>
      </c>
      <c r="BO27" s="19">
        <f t="shared" si="61"/>
        <v>0</v>
      </c>
      <c r="BP27" s="16"/>
      <c r="BQ27" s="17">
        <f>VLOOKUP(BP27,'DATABASE F&amp;B'!$C$3:$F$210,2,0)</f>
        <v>0</v>
      </c>
      <c r="BR27" s="18"/>
      <c r="BS27" s="19">
        <f>VLOOKUP(BP27,'DATABASE F&amp;B'!$C$3:$F$210,4,0)</f>
        <v>0</v>
      </c>
      <c r="BT27" s="19">
        <f t="shared" si="62"/>
        <v>0</v>
      </c>
      <c r="BU27" s="16"/>
      <c r="BV27" s="17">
        <f>VLOOKUP(BU27,'DATABASE F&amp;B'!$C$3:$F$210,2,0)</f>
        <v>0</v>
      </c>
      <c r="BW27" s="18"/>
      <c r="BX27" s="19">
        <f>VLOOKUP(BU27,'DATABASE F&amp;B'!$C$3:$F$210,4,0)</f>
        <v>0</v>
      </c>
      <c r="BY27" s="19">
        <f t="shared" si="63"/>
        <v>0</v>
      </c>
      <c r="BZ27" s="16"/>
      <c r="CA27" s="17">
        <f>VLOOKUP(BZ27,'DATABASE F&amp;B'!$C$3:$F$210,2,0)</f>
        <v>0</v>
      </c>
      <c r="CB27" s="18"/>
      <c r="CC27" s="19">
        <f>VLOOKUP(BZ27,'DATABASE F&amp;B'!$C$3:$F$210,4,0)</f>
        <v>0</v>
      </c>
      <c r="CD27" s="19">
        <f t="shared" si="64"/>
        <v>0</v>
      </c>
    </row>
    <row r="28" spans="1:82" ht="13.5" x14ac:dyDescent="0.25">
      <c r="A28" s="32" t="str">
        <f t="shared" si="45"/>
        <v>05-'04-2026</v>
      </c>
      <c r="B28" s="22">
        <f t="shared" si="43"/>
        <v>24</v>
      </c>
      <c r="C28" s="22">
        <f t="shared" si="44"/>
        <v>24</v>
      </c>
      <c r="D28" s="34">
        <v>46146</v>
      </c>
      <c r="E28" s="35" t="s">
        <v>57</v>
      </c>
      <c r="F28" s="35" t="s">
        <v>202</v>
      </c>
      <c r="G28" s="52" t="s">
        <v>81</v>
      </c>
      <c r="H28" s="36" t="str">
        <f t="shared" si="23"/>
        <v>RJ-'040526-24</v>
      </c>
      <c r="I28" s="36" t="str">
        <f t="shared" si="46"/>
        <v>'04-05-2026</v>
      </c>
      <c r="J28" s="37" t="str">
        <f>VLOOKUP(D28,Laporan!$C$4:$D$34,2,0)</f>
        <v>Senin</v>
      </c>
      <c r="K28" s="48"/>
      <c r="L28" s="13" t="s">
        <v>33</v>
      </c>
      <c r="M28" s="19">
        <f>SUMIF('DATABASE Room'!$B$3:$B$7,L28,'DATABASE Room'!$D$3:$D$7)</f>
        <v>0</v>
      </c>
      <c r="N28" s="13">
        <v>1</v>
      </c>
      <c r="O28" s="21">
        <f t="shared" si="47"/>
        <v>0</v>
      </c>
      <c r="P28" s="38"/>
      <c r="Q28" s="19">
        <f t="shared" si="48"/>
        <v>0</v>
      </c>
      <c r="R28" s="21">
        <f t="shared" si="49"/>
        <v>0</v>
      </c>
      <c r="S28" s="19">
        <f t="shared" si="50"/>
        <v>5</v>
      </c>
      <c r="T28" s="19">
        <f t="shared" si="51"/>
        <v>15000</v>
      </c>
      <c r="U28" s="21">
        <f t="shared" si="52"/>
        <v>15000</v>
      </c>
      <c r="V28" s="39"/>
      <c r="W28" s="16">
        <v>48</v>
      </c>
      <c r="X28" s="17" t="str">
        <f>VLOOKUP(W28,'DATABASE F&amp;B'!$C$3:$F$216,2,0)</f>
        <v>TONIC 250ML</v>
      </c>
      <c r="Y28" s="18">
        <v>1</v>
      </c>
      <c r="Z28" s="19">
        <f>VLOOKUP(W28,'DATABASE F&amp;B'!$C$3:$F$216,4,0)</f>
        <v>15000</v>
      </c>
      <c r="AA28" s="19">
        <f t="shared" si="53"/>
        <v>15000</v>
      </c>
      <c r="AB28" s="16"/>
      <c r="AC28" s="17">
        <f>VLOOKUP(AB28,'DATABASE F&amp;B'!$C$3:$F$216,2,0)</f>
        <v>0</v>
      </c>
      <c r="AD28" s="18">
        <v>1</v>
      </c>
      <c r="AE28" s="19">
        <f>VLOOKUP(AB28,'DATABASE F&amp;B'!$C$3:$F$216,4,0)</f>
        <v>0</v>
      </c>
      <c r="AF28" s="19">
        <f t="shared" si="54"/>
        <v>0</v>
      </c>
      <c r="AG28" s="16"/>
      <c r="AH28" s="17">
        <f>VLOOKUP(AG28,'DATABASE F&amp;B'!$C$3:$F$216,2,0)</f>
        <v>0</v>
      </c>
      <c r="AI28" s="18">
        <v>1</v>
      </c>
      <c r="AJ28" s="19">
        <f>VLOOKUP(AG28,'DATABASE F&amp;B'!$C$3:$F$216,4,0)</f>
        <v>0</v>
      </c>
      <c r="AK28" s="19">
        <f t="shared" si="55"/>
        <v>0</v>
      </c>
      <c r="AL28" s="16"/>
      <c r="AM28" s="17">
        <f>VLOOKUP(AL28,'DATABASE F&amp;B'!$C$3:$F$216,2,0)</f>
        <v>0</v>
      </c>
      <c r="AN28" s="18">
        <v>1</v>
      </c>
      <c r="AO28" s="19">
        <f>VLOOKUP(AL28,'DATABASE F&amp;B'!$C$3:$F$216,4,0)</f>
        <v>0</v>
      </c>
      <c r="AP28" s="19">
        <f t="shared" si="56"/>
        <v>0</v>
      </c>
      <c r="AQ28" s="16"/>
      <c r="AR28" s="17">
        <f>VLOOKUP(AQ28,'DATABASE F&amp;B'!$C$3:$F$216,2,0)</f>
        <v>0</v>
      </c>
      <c r="AS28" s="18">
        <v>1</v>
      </c>
      <c r="AT28" s="19">
        <f>VLOOKUP(AQ28,'DATABASE F&amp;B'!$C$3:$F$216,4,0)</f>
        <v>0</v>
      </c>
      <c r="AU28" s="19">
        <f t="shared" si="57"/>
        <v>0</v>
      </c>
      <c r="AV28" s="16"/>
      <c r="AW28" s="17">
        <f>VLOOKUP(AV28,'DATABASE F&amp;B'!$C$3:$F$216,2,0)</f>
        <v>0</v>
      </c>
      <c r="AX28" s="18"/>
      <c r="AY28" s="19">
        <f>VLOOKUP(AV28,'DATABASE F&amp;B'!$C$3:$F$216,4,0)</f>
        <v>0</v>
      </c>
      <c r="AZ28" s="19">
        <f t="shared" si="58"/>
        <v>0</v>
      </c>
      <c r="BA28" s="16"/>
      <c r="BB28" s="17">
        <f>VLOOKUP(BA28,'DATABASE F&amp;B'!$C$3:$F$216,2,0)</f>
        <v>0</v>
      </c>
      <c r="BC28" s="18"/>
      <c r="BD28" s="19">
        <f>VLOOKUP(BA28,'DATABASE F&amp;B'!$C$3:$F$216,4,0)</f>
        <v>0</v>
      </c>
      <c r="BE28" s="19">
        <f t="shared" si="59"/>
        <v>0</v>
      </c>
      <c r="BF28" s="16"/>
      <c r="BG28" s="17">
        <f>VLOOKUP(BF28,'DATABASE F&amp;B'!$C$3:$F$216,2,0)</f>
        <v>0</v>
      </c>
      <c r="BH28" s="18"/>
      <c r="BI28" s="19">
        <f>VLOOKUP(BF28,'DATABASE F&amp;B'!$C$3:$F$216,4,0)</f>
        <v>0</v>
      </c>
      <c r="BJ28" s="19">
        <f t="shared" si="60"/>
        <v>0</v>
      </c>
      <c r="BK28" s="16"/>
      <c r="BL28" s="17">
        <f>VLOOKUP(BK28,'DATABASE F&amp;B'!$C$3:$F$210,2,0)</f>
        <v>0</v>
      </c>
      <c r="BM28" s="18"/>
      <c r="BN28" s="19">
        <f>VLOOKUP(BK28,'DATABASE F&amp;B'!$C$3:$F$210,4,0)</f>
        <v>0</v>
      </c>
      <c r="BO28" s="19">
        <f t="shared" si="61"/>
        <v>0</v>
      </c>
      <c r="BP28" s="16"/>
      <c r="BQ28" s="17">
        <f>VLOOKUP(BP28,'DATABASE F&amp;B'!$C$3:$F$210,2,0)</f>
        <v>0</v>
      </c>
      <c r="BR28" s="18"/>
      <c r="BS28" s="19">
        <f>VLOOKUP(BP28,'DATABASE F&amp;B'!$C$3:$F$210,4,0)</f>
        <v>0</v>
      </c>
      <c r="BT28" s="19">
        <f t="shared" si="62"/>
        <v>0</v>
      </c>
      <c r="BU28" s="16"/>
      <c r="BV28" s="17">
        <f>VLOOKUP(BU28,'DATABASE F&amp;B'!$C$3:$F$210,2,0)</f>
        <v>0</v>
      </c>
      <c r="BW28" s="18"/>
      <c r="BX28" s="19">
        <f>VLOOKUP(BU28,'DATABASE F&amp;B'!$C$3:$F$210,4,0)</f>
        <v>0</v>
      </c>
      <c r="BY28" s="19">
        <f t="shared" si="63"/>
        <v>0</v>
      </c>
      <c r="BZ28" s="16"/>
      <c r="CA28" s="17">
        <f>VLOOKUP(BZ28,'DATABASE F&amp;B'!$C$3:$F$210,2,0)</f>
        <v>0</v>
      </c>
      <c r="CB28" s="18"/>
      <c r="CC28" s="19">
        <f>VLOOKUP(BZ28,'DATABASE F&amp;B'!$C$3:$F$210,4,0)</f>
        <v>0</v>
      </c>
      <c r="CD28" s="19">
        <f t="shared" si="64"/>
        <v>0</v>
      </c>
    </row>
    <row r="29" spans="1:82" ht="13.5" x14ac:dyDescent="0.25">
      <c r="A29" s="32" t="str">
        <f t="shared" si="45"/>
        <v>05-'04-2026</v>
      </c>
      <c r="B29" s="22">
        <f t="shared" si="43"/>
        <v>25</v>
      </c>
      <c r="C29" s="22">
        <f t="shared" si="44"/>
        <v>25</v>
      </c>
      <c r="D29" s="34">
        <v>46146</v>
      </c>
      <c r="E29" s="35" t="s">
        <v>57</v>
      </c>
      <c r="F29" s="35" t="s">
        <v>202</v>
      </c>
      <c r="G29" s="52" t="s">
        <v>81</v>
      </c>
      <c r="H29" s="36" t="str">
        <f t="shared" si="23"/>
        <v>RJ-'040526-25</v>
      </c>
      <c r="I29" s="36" t="str">
        <f t="shared" si="46"/>
        <v>'04-05-2026</v>
      </c>
      <c r="J29" s="37" t="str">
        <f>VLOOKUP(D29,Laporan!$C$4:$D$34,2,0)</f>
        <v>Senin</v>
      </c>
      <c r="K29" s="48"/>
      <c r="L29" s="13" t="s">
        <v>33</v>
      </c>
      <c r="M29" s="19">
        <f>SUMIF('DATABASE Room'!$B$3:$B$7,L29,'DATABASE Room'!$D$3:$D$7)</f>
        <v>0</v>
      </c>
      <c r="N29" s="13">
        <v>1</v>
      </c>
      <c r="O29" s="21">
        <f t="shared" si="47"/>
        <v>0</v>
      </c>
      <c r="P29" s="38"/>
      <c r="Q29" s="19">
        <f t="shared" si="48"/>
        <v>0</v>
      </c>
      <c r="R29" s="21">
        <f t="shared" si="49"/>
        <v>0</v>
      </c>
      <c r="S29" s="19">
        <f t="shared" si="50"/>
        <v>5</v>
      </c>
      <c r="T29" s="19">
        <f t="shared" si="51"/>
        <v>60000</v>
      </c>
      <c r="U29" s="21">
        <f t="shared" si="52"/>
        <v>60000</v>
      </c>
      <c r="V29" s="39"/>
      <c r="W29" s="16">
        <v>49</v>
      </c>
      <c r="X29" s="17" t="str">
        <f>VLOOKUP(W29,'DATABASE F&amp;B'!$C$3:$F$216,2,0)</f>
        <v>SPRITE 250ML</v>
      </c>
      <c r="Y29" s="18">
        <v>1</v>
      </c>
      <c r="Z29" s="19">
        <f>VLOOKUP(W29,'DATABASE F&amp;B'!$C$3:$F$216,4,0)</f>
        <v>15000</v>
      </c>
      <c r="AA29" s="19">
        <f t="shared" si="53"/>
        <v>15000</v>
      </c>
      <c r="AB29" s="16">
        <v>74</v>
      </c>
      <c r="AC29" s="17" t="str">
        <f>VLOOKUP(AB29,'DATABASE F&amp;B'!$C$3:$F$216,2,0)</f>
        <v>SAN MIGUEL NEGRA 330ML</v>
      </c>
      <c r="AD29" s="18">
        <v>1</v>
      </c>
      <c r="AE29" s="19">
        <f>VLOOKUP(AB29,'DATABASE F&amp;B'!$C$3:$F$216,4,0)</f>
        <v>45000</v>
      </c>
      <c r="AF29" s="19">
        <f t="shared" si="54"/>
        <v>45000</v>
      </c>
      <c r="AG29" s="16"/>
      <c r="AH29" s="17">
        <f>VLOOKUP(AG29,'DATABASE F&amp;B'!$C$3:$F$216,2,0)</f>
        <v>0</v>
      </c>
      <c r="AI29" s="18">
        <v>1</v>
      </c>
      <c r="AJ29" s="19">
        <f>VLOOKUP(AG29,'DATABASE F&amp;B'!$C$3:$F$216,4,0)</f>
        <v>0</v>
      </c>
      <c r="AK29" s="19">
        <f t="shared" si="55"/>
        <v>0</v>
      </c>
      <c r="AL29" s="16"/>
      <c r="AM29" s="17">
        <f>VLOOKUP(AL29,'DATABASE F&amp;B'!$C$3:$F$216,2,0)</f>
        <v>0</v>
      </c>
      <c r="AN29" s="18">
        <v>1</v>
      </c>
      <c r="AO29" s="19">
        <f>VLOOKUP(AL29,'DATABASE F&amp;B'!$C$3:$F$216,4,0)</f>
        <v>0</v>
      </c>
      <c r="AP29" s="19">
        <f t="shared" si="56"/>
        <v>0</v>
      </c>
      <c r="AQ29" s="16"/>
      <c r="AR29" s="17">
        <f>VLOOKUP(AQ29,'DATABASE F&amp;B'!$C$3:$F$216,2,0)</f>
        <v>0</v>
      </c>
      <c r="AS29" s="18">
        <v>1</v>
      </c>
      <c r="AT29" s="19">
        <f>VLOOKUP(AQ29,'DATABASE F&amp;B'!$C$3:$F$216,4,0)</f>
        <v>0</v>
      </c>
      <c r="AU29" s="19">
        <f t="shared" si="57"/>
        <v>0</v>
      </c>
      <c r="AV29" s="16"/>
      <c r="AW29" s="17">
        <f>VLOOKUP(AV29,'DATABASE F&amp;B'!$C$3:$F$216,2,0)</f>
        <v>0</v>
      </c>
      <c r="AX29" s="18"/>
      <c r="AY29" s="19">
        <f>VLOOKUP(AV29,'DATABASE F&amp;B'!$C$3:$F$216,4,0)</f>
        <v>0</v>
      </c>
      <c r="AZ29" s="19">
        <f t="shared" si="58"/>
        <v>0</v>
      </c>
      <c r="BA29" s="16"/>
      <c r="BB29" s="17">
        <f>VLOOKUP(BA29,'DATABASE F&amp;B'!$C$3:$F$216,2,0)</f>
        <v>0</v>
      </c>
      <c r="BC29" s="18"/>
      <c r="BD29" s="19">
        <f>VLOOKUP(BA29,'DATABASE F&amp;B'!$C$3:$F$216,4,0)</f>
        <v>0</v>
      </c>
      <c r="BE29" s="19">
        <f t="shared" si="59"/>
        <v>0</v>
      </c>
      <c r="BF29" s="16"/>
      <c r="BG29" s="17">
        <f>VLOOKUP(BF29,'DATABASE F&amp;B'!$C$3:$F$216,2,0)</f>
        <v>0</v>
      </c>
      <c r="BH29" s="18"/>
      <c r="BI29" s="19">
        <f>VLOOKUP(BF29,'DATABASE F&amp;B'!$C$3:$F$216,4,0)</f>
        <v>0</v>
      </c>
      <c r="BJ29" s="19">
        <f t="shared" si="60"/>
        <v>0</v>
      </c>
      <c r="BK29" s="16"/>
      <c r="BL29" s="17">
        <f>VLOOKUP(BK29,'DATABASE F&amp;B'!$C$3:$F$210,2,0)</f>
        <v>0</v>
      </c>
      <c r="BM29" s="18"/>
      <c r="BN29" s="19">
        <f>VLOOKUP(BK29,'DATABASE F&amp;B'!$C$3:$F$210,4,0)</f>
        <v>0</v>
      </c>
      <c r="BO29" s="19">
        <f t="shared" si="61"/>
        <v>0</v>
      </c>
      <c r="BP29" s="16"/>
      <c r="BQ29" s="17">
        <f>VLOOKUP(BP29,'DATABASE F&amp;B'!$C$3:$F$210,2,0)</f>
        <v>0</v>
      </c>
      <c r="BR29" s="18"/>
      <c r="BS29" s="19">
        <f>VLOOKUP(BP29,'DATABASE F&amp;B'!$C$3:$F$210,4,0)</f>
        <v>0</v>
      </c>
      <c r="BT29" s="19">
        <f t="shared" si="62"/>
        <v>0</v>
      </c>
      <c r="BU29" s="16"/>
      <c r="BV29" s="17">
        <f>VLOOKUP(BU29,'DATABASE F&amp;B'!$C$3:$F$210,2,0)</f>
        <v>0</v>
      </c>
      <c r="BW29" s="18"/>
      <c r="BX29" s="19">
        <f>VLOOKUP(BU29,'DATABASE F&amp;B'!$C$3:$F$210,4,0)</f>
        <v>0</v>
      </c>
      <c r="BY29" s="19">
        <f t="shared" si="63"/>
        <v>0</v>
      </c>
      <c r="BZ29" s="16"/>
      <c r="CA29" s="17">
        <f>VLOOKUP(BZ29,'DATABASE F&amp;B'!$C$3:$F$210,2,0)</f>
        <v>0</v>
      </c>
      <c r="CB29" s="18"/>
      <c r="CC29" s="19">
        <f>VLOOKUP(BZ29,'DATABASE F&amp;B'!$C$3:$F$210,4,0)</f>
        <v>0</v>
      </c>
      <c r="CD29" s="19">
        <f t="shared" si="64"/>
        <v>0</v>
      </c>
    </row>
    <row r="30" spans="1:82" ht="13.5" x14ac:dyDescent="0.25">
      <c r="A30" s="32" t="str">
        <f t="shared" si="45"/>
        <v>05-'05-2026</v>
      </c>
      <c r="B30" s="22">
        <f t="shared" si="43"/>
        <v>26</v>
      </c>
      <c r="C30" s="22">
        <f t="shared" si="44"/>
        <v>26</v>
      </c>
      <c r="D30" s="34">
        <v>46147</v>
      </c>
      <c r="E30" s="35" t="s">
        <v>65</v>
      </c>
      <c r="F30" s="35" t="s">
        <v>202</v>
      </c>
      <c r="G30" s="52" t="s">
        <v>81</v>
      </c>
      <c r="H30" s="36" t="str">
        <f t="shared" si="23"/>
        <v>RJ-'050526-26</v>
      </c>
      <c r="I30" s="36" t="str">
        <f t="shared" si="46"/>
        <v>'05-05-2026</v>
      </c>
      <c r="J30" s="37" t="str">
        <f>VLOOKUP(D30,Laporan!$C$4:$D$34,2,0)</f>
        <v>Selasa</v>
      </c>
      <c r="K30" s="48"/>
      <c r="L30" s="13" t="s">
        <v>33</v>
      </c>
      <c r="M30" s="19">
        <f>SUMIF('DATABASE Room'!$B$3:$B$7,L30,'DATABASE Room'!$D$3:$D$7)</f>
        <v>0</v>
      </c>
      <c r="N30" s="13">
        <v>1</v>
      </c>
      <c r="O30" s="21">
        <f t="shared" si="47"/>
        <v>0</v>
      </c>
      <c r="P30" s="38"/>
      <c r="Q30" s="19">
        <f t="shared" si="48"/>
        <v>0</v>
      </c>
      <c r="R30" s="21">
        <f t="shared" si="49"/>
        <v>0</v>
      </c>
      <c r="S30" s="19">
        <f t="shared" si="50"/>
        <v>5</v>
      </c>
      <c r="T30" s="19">
        <f t="shared" si="51"/>
        <v>15000</v>
      </c>
      <c r="U30" s="21">
        <f t="shared" si="52"/>
        <v>15000</v>
      </c>
      <c r="V30" s="39"/>
      <c r="W30" s="16">
        <v>50</v>
      </c>
      <c r="X30" s="17" t="str">
        <f>VLOOKUP(W30,'DATABASE F&amp;B'!$C$3:$F$216,2,0)</f>
        <v>COKE 250ML</v>
      </c>
      <c r="Y30" s="18">
        <v>1</v>
      </c>
      <c r="Z30" s="19">
        <f>VLOOKUP(W30,'DATABASE F&amp;B'!$C$3:$F$216,4,0)</f>
        <v>15000</v>
      </c>
      <c r="AA30" s="19">
        <f t="shared" si="53"/>
        <v>15000</v>
      </c>
      <c r="AB30" s="16"/>
      <c r="AC30" s="17">
        <f>VLOOKUP(AB30,'DATABASE F&amp;B'!$C$3:$F$216,2,0)</f>
        <v>0</v>
      </c>
      <c r="AD30" s="18">
        <v>1</v>
      </c>
      <c r="AE30" s="19">
        <f>VLOOKUP(AB30,'DATABASE F&amp;B'!$C$3:$F$216,4,0)</f>
        <v>0</v>
      </c>
      <c r="AF30" s="19">
        <f t="shared" si="54"/>
        <v>0</v>
      </c>
      <c r="AG30" s="16"/>
      <c r="AH30" s="17">
        <f>VLOOKUP(AG30,'DATABASE F&amp;B'!$C$3:$F$216,2,0)</f>
        <v>0</v>
      </c>
      <c r="AI30" s="18">
        <v>1</v>
      </c>
      <c r="AJ30" s="19">
        <f>VLOOKUP(AG30,'DATABASE F&amp;B'!$C$3:$F$216,4,0)</f>
        <v>0</v>
      </c>
      <c r="AK30" s="19">
        <f t="shared" si="55"/>
        <v>0</v>
      </c>
      <c r="AL30" s="16"/>
      <c r="AM30" s="17">
        <f>VLOOKUP(AL30,'DATABASE F&amp;B'!$C$3:$F$216,2,0)</f>
        <v>0</v>
      </c>
      <c r="AN30" s="18">
        <v>1</v>
      </c>
      <c r="AO30" s="19">
        <f>VLOOKUP(AL30,'DATABASE F&amp;B'!$C$3:$F$216,4,0)</f>
        <v>0</v>
      </c>
      <c r="AP30" s="19">
        <f t="shared" si="56"/>
        <v>0</v>
      </c>
      <c r="AQ30" s="16"/>
      <c r="AR30" s="17">
        <f>VLOOKUP(AQ30,'DATABASE F&amp;B'!$C$3:$F$216,2,0)</f>
        <v>0</v>
      </c>
      <c r="AS30" s="18">
        <v>1</v>
      </c>
      <c r="AT30" s="19">
        <f>VLOOKUP(AQ30,'DATABASE F&amp;B'!$C$3:$F$216,4,0)</f>
        <v>0</v>
      </c>
      <c r="AU30" s="19">
        <f t="shared" si="57"/>
        <v>0</v>
      </c>
      <c r="AV30" s="16"/>
      <c r="AW30" s="17">
        <f>VLOOKUP(AV30,'DATABASE F&amp;B'!$C$3:$F$216,2,0)</f>
        <v>0</v>
      </c>
      <c r="AX30" s="18"/>
      <c r="AY30" s="19">
        <f>VLOOKUP(AV30,'DATABASE F&amp;B'!$C$3:$F$216,4,0)</f>
        <v>0</v>
      </c>
      <c r="AZ30" s="19">
        <f t="shared" si="58"/>
        <v>0</v>
      </c>
      <c r="BA30" s="16"/>
      <c r="BB30" s="17">
        <f>VLOOKUP(BA30,'DATABASE F&amp;B'!$C$3:$F$216,2,0)</f>
        <v>0</v>
      </c>
      <c r="BC30" s="18"/>
      <c r="BD30" s="19">
        <f>VLOOKUP(BA30,'DATABASE F&amp;B'!$C$3:$F$216,4,0)</f>
        <v>0</v>
      </c>
      <c r="BE30" s="19">
        <f t="shared" si="59"/>
        <v>0</v>
      </c>
      <c r="BF30" s="16"/>
      <c r="BG30" s="17">
        <f>VLOOKUP(BF30,'DATABASE F&amp;B'!$C$3:$F$216,2,0)</f>
        <v>0</v>
      </c>
      <c r="BH30" s="18"/>
      <c r="BI30" s="19">
        <f>VLOOKUP(BF30,'DATABASE F&amp;B'!$C$3:$F$216,4,0)</f>
        <v>0</v>
      </c>
      <c r="BJ30" s="19">
        <f t="shared" si="60"/>
        <v>0</v>
      </c>
      <c r="BK30" s="16"/>
      <c r="BL30" s="17">
        <f>VLOOKUP(BK30,'DATABASE F&amp;B'!$C$3:$F$210,2,0)</f>
        <v>0</v>
      </c>
      <c r="BM30" s="18"/>
      <c r="BN30" s="19">
        <f>VLOOKUP(BK30,'DATABASE F&amp;B'!$C$3:$F$210,4,0)</f>
        <v>0</v>
      </c>
      <c r="BO30" s="19">
        <f t="shared" si="61"/>
        <v>0</v>
      </c>
      <c r="BP30" s="16"/>
      <c r="BQ30" s="17">
        <f>VLOOKUP(BP30,'DATABASE F&amp;B'!$C$3:$F$210,2,0)</f>
        <v>0</v>
      </c>
      <c r="BR30" s="18"/>
      <c r="BS30" s="19">
        <f>VLOOKUP(BP30,'DATABASE F&amp;B'!$C$3:$F$210,4,0)</f>
        <v>0</v>
      </c>
      <c r="BT30" s="19">
        <f t="shared" si="62"/>
        <v>0</v>
      </c>
      <c r="BU30" s="16"/>
      <c r="BV30" s="17">
        <f>VLOOKUP(BU30,'DATABASE F&amp;B'!$C$3:$F$210,2,0)</f>
        <v>0</v>
      </c>
      <c r="BW30" s="18"/>
      <c r="BX30" s="19">
        <f>VLOOKUP(BU30,'DATABASE F&amp;B'!$C$3:$F$210,4,0)</f>
        <v>0</v>
      </c>
      <c r="BY30" s="19">
        <f t="shared" si="63"/>
        <v>0</v>
      </c>
      <c r="BZ30" s="16"/>
      <c r="CA30" s="17">
        <f>VLOOKUP(BZ30,'DATABASE F&amp;B'!$C$3:$F$210,2,0)</f>
        <v>0</v>
      </c>
      <c r="CB30" s="18"/>
      <c r="CC30" s="19">
        <f>VLOOKUP(BZ30,'DATABASE F&amp;B'!$C$3:$F$210,4,0)</f>
        <v>0</v>
      </c>
      <c r="CD30" s="19">
        <f t="shared" si="64"/>
        <v>0</v>
      </c>
    </row>
    <row r="31" spans="1:82" ht="13.5" x14ac:dyDescent="0.25">
      <c r="A31" s="32" t="str">
        <f t="shared" si="45"/>
        <v>05-'05-2026</v>
      </c>
      <c r="B31" s="22">
        <f t="shared" si="43"/>
        <v>27</v>
      </c>
      <c r="C31" s="22">
        <f t="shared" si="44"/>
        <v>27</v>
      </c>
      <c r="D31" s="34">
        <v>46147</v>
      </c>
      <c r="E31" s="35" t="s">
        <v>65</v>
      </c>
      <c r="F31" s="35" t="s">
        <v>202</v>
      </c>
      <c r="G31" s="52" t="s">
        <v>81</v>
      </c>
      <c r="H31" s="36" t="str">
        <f t="shared" si="23"/>
        <v>RJ-'050526-27</v>
      </c>
      <c r="I31" s="36" t="str">
        <f t="shared" si="46"/>
        <v>'05-05-2026</v>
      </c>
      <c r="J31" s="37" t="str">
        <f>VLOOKUP(D31,Laporan!$C$4:$D$34,2,0)</f>
        <v>Selasa</v>
      </c>
      <c r="K31" s="48"/>
      <c r="L31" s="13" t="s">
        <v>33</v>
      </c>
      <c r="M31" s="19">
        <f>SUMIF('DATABASE Room'!$B$3:$B$7,L31,'DATABASE Room'!$D$3:$D$7)</f>
        <v>0</v>
      </c>
      <c r="N31" s="13">
        <v>1</v>
      </c>
      <c r="O31" s="21">
        <f t="shared" si="47"/>
        <v>0</v>
      </c>
      <c r="P31" s="38"/>
      <c r="Q31" s="19">
        <f t="shared" si="48"/>
        <v>0</v>
      </c>
      <c r="R31" s="21">
        <f t="shared" si="49"/>
        <v>0</v>
      </c>
      <c r="S31" s="19">
        <f t="shared" si="50"/>
        <v>5</v>
      </c>
      <c r="T31" s="19">
        <f t="shared" si="51"/>
        <v>15000</v>
      </c>
      <c r="U31" s="21">
        <f t="shared" si="52"/>
        <v>15000</v>
      </c>
      <c r="V31" s="39"/>
      <c r="W31" s="16">
        <v>51</v>
      </c>
      <c r="X31" s="17" t="str">
        <f>VLOOKUP(W31,'DATABASE F&amp;B'!$C$3:$F$216,2,0)</f>
        <v>GINGER ALE</v>
      </c>
      <c r="Y31" s="18">
        <v>1</v>
      </c>
      <c r="Z31" s="19">
        <f>VLOOKUP(W31,'DATABASE F&amp;B'!$C$3:$F$216,4,0)</f>
        <v>15000</v>
      </c>
      <c r="AA31" s="19">
        <f t="shared" si="53"/>
        <v>15000</v>
      </c>
      <c r="AB31" s="16"/>
      <c r="AC31" s="17">
        <f>VLOOKUP(AB31,'DATABASE F&amp;B'!$C$3:$F$216,2,0)</f>
        <v>0</v>
      </c>
      <c r="AD31" s="18">
        <v>1</v>
      </c>
      <c r="AE31" s="19">
        <f>VLOOKUP(AB31,'DATABASE F&amp;B'!$C$3:$F$216,4,0)</f>
        <v>0</v>
      </c>
      <c r="AF31" s="19">
        <f t="shared" si="54"/>
        <v>0</v>
      </c>
      <c r="AG31" s="16"/>
      <c r="AH31" s="17">
        <f>VLOOKUP(AG31,'DATABASE F&amp;B'!$C$3:$F$216,2,0)</f>
        <v>0</v>
      </c>
      <c r="AI31" s="18">
        <v>1</v>
      </c>
      <c r="AJ31" s="19">
        <f>VLOOKUP(AG31,'DATABASE F&amp;B'!$C$3:$F$216,4,0)</f>
        <v>0</v>
      </c>
      <c r="AK31" s="19">
        <f t="shared" si="55"/>
        <v>0</v>
      </c>
      <c r="AL31" s="16"/>
      <c r="AM31" s="17">
        <f>VLOOKUP(AL31,'DATABASE F&amp;B'!$C$3:$F$216,2,0)</f>
        <v>0</v>
      </c>
      <c r="AN31" s="18">
        <v>1</v>
      </c>
      <c r="AO31" s="19">
        <f>VLOOKUP(AL31,'DATABASE F&amp;B'!$C$3:$F$216,4,0)</f>
        <v>0</v>
      </c>
      <c r="AP31" s="19">
        <f t="shared" si="56"/>
        <v>0</v>
      </c>
      <c r="AQ31" s="16"/>
      <c r="AR31" s="17">
        <f>VLOOKUP(AQ31,'DATABASE F&amp;B'!$C$3:$F$216,2,0)</f>
        <v>0</v>
      </c>
      <c r="AS31" s="18">
        <v>1</v>
      </c>
      <c r="AT31" s="19">
        <f>VLOOKUP(AQ31,'DATABASE F&amp;B'!$C$3:$F$216,4,0)</f>
        <v>0</v>
      </c>
      <c r="AU31" s="19">
        <f t="shared" si="57"/>
        <v>0</v>
      </c>
      <c r="AV31" s="16"/>
      <c r="AW31" s="17">
        <f>VLOOKUP(AV31,'DATABASE F&amp;B'!$C$3:$F$216,2,0)</f>
        <v>0</v>
      </c>
      <c r="AX31" s="18"/>
      <c r="AY31" s="19">
        <f>VLOOKUP(AV31,'DATABASE F&amp;B'!$C$3:$F$216,4,0)</f>
        <v>0</v>
      </c>
      <c r="AZ31" s="19">
        <f t="shared" si="58"/>
        <v>0</v>
      </c>
      <c r="BA31" s="16"/>
      <c r="BB31" s="17">
        <f>VLOOKUP(BA31,'DATABASE F&amp;B'!$C$3:$F$216,2,0)</f>
        <v>0</v>
      </c>
      <c r="BC31" s="18"/>
      <c r="BD31" s="19">
        <f>VLOOKUP(BA31,'DATABASE F&amp;B'!$C$3:$F$216,4,0)</f>
        <v>0</v>
      </c>
      <c r="BE31" s="19">
        <f t="shared" si="59"/>
        <v>0</v>
      </c>
      <c r="BF31" s="16"/>
      <c r="BG31" s="17">
        <f>VLOOKUP(BF31,'DATABASE F&amp;B'!$C$3:$F$216,2,0)</f>
        <v>0</v>
      </c>
      <c r="BH31" s="18"/>
      <c r="BI31" s="19">
        <f>VLOOKUP(BF31,'DATABASE F&amp;B'!$C$3:$F$216,4,0)</f>
        <v>0</v>
      </c>
      <c r="BJ31" s="19">
        <f t="shared" si="60"/>
        <v>0</v>
      </c>
      <c r="BK31" s="16"/>
      <c r="BL31" s="17">
        <f>VLOOKUP(BK31,'DATABASE F&amp;B'!$C$3:$F$210,2,0)</f>
        <v>0</v>
      </c>
      <c r="BM31" s="18"/>
      <c r="BN31" s="19">
        <f>VLOOKUP(BK31,'DATABASE F&amp;B'!$C$3:$F$210,4,0)</f>
        <v>0</v>
      </c>
      <c r="BO31" s="19">
        <f t="shared" si="61"/>
        <v>0</v>
      </c>
      <c r="BP31" s="16"/>
      <c r="BQ31" s="17">
        <f>VLOOKUP(BP31,'DATABASE F&amp;B'!$C$3:$F$210,2,0)</f>
        <v>0</v>
      </c>
      <c r="BR31" s="18"/>
      <c r="BS31" s="19">
        <f>VLOOKUP(BP31,'DATABASE F&amp;B'!$C$3:$F$210,4,0)</f>
        <v>0</v>
      </c>
      <c r="BT31" s="19">
        <f t="shared" si="62"/>
        <v>0</v>
      </c>
      <c r="BU31" s="16"/>
      <c r="BV31" s="17">
        <f>VLOOKUP(BU31,'DATABASE F&amp;B'!$C$3:$F$210,2,0)</f>
        <v>0</v>
      </c>
      <c r="BW31" s="18"/>
      <c r="BX31" s="19">
        <f>VLOOKUP(BU31,'DATABASE F&amp;B'!$C$3:$F$210,4,0)</f>
        <v>0</v>
      </c>
      <c r="BY31" s="19">
        <f t="shared" si="63"/>
        <v>0</v>
      </c>
      <c r="BZ31" s="16"/>
      <c r="CA31" s="17">
        <f>VLOOKUP(BZ31,'DATABASE F&amp;B'!$C$3:$F$210,2,0)</f>
        <v>0</v>
      </c>
      <c r="CB31" s="18"/>
      <c r="CC31" s="19">
        <f>VLOOKUP(BZ31,'DATABASE F&amp;B'!$C$3:$F$210,4,0)</f>
        <v>0</v>
      </c>
      <c r="CD31" s="19">
        <f t="shared" si="64"/>
        <v>0</v>
      </c>
    </row>
    <row r="32" spans="1:82" ht="13.5" x14ac:dyDescent="0.25">
      <c r="A32" s="32" t="str">
        <f t="shared" si="45"/>
        <v>05-'05-2026</v>
      </c>
      <c r="B32" s="22">
        <f t="shared" si="43"/>
        <v>28</v>
      </c>
      <c r="C32" s="22">
        <f t="shared" si="44"/>
        <v>28</v>
      </c>
      <c r="D32" s="34">
        <v>46147</v>
      </c>
      <c r="E32" s="35" t="s">
        <v>65</v>
      </c>
      <c r="F32" s="35" t="s">
        <v>202</v>
      </c>
      <c r="G32" s="52" t="s">
        <v>81</v>
      </c>
      <c r="H32" s="36" t="str">
        <f t="shared" si="23"/>
        <v>RJ-'050526-28</v>
      </c>
      <c r="I32" s="36" t="str">
        <f t="shared" si="46"/>
        <v>'05-05-2026</v>
      </c>
      <c r="J32" s="37" t="str">
        <f>VLOOKUP(D32,Laporan!$C$4:$D$34,2,0)</f>
        <v>Selasa</v>
      </c>
      <c r="K32" s="48"/>
      <c r="L32" s="13" t="s">
        <v>33</v>
      </c>
      <c r="M32" s="19">
        <f>SUMIF('DATABASE Room'!$B$3:$B$7,L32,'DATABASE Room'!$D$3:$D$7)</f>
        <v>0</v>
      </c>
      <c r="N32" s="13">
        <v>1</v>
      </c>
      <c r="O32" s="21">
        <f t="shared" si="47"/>
        <v>0</v>
      </c>
      <c r="P32" s="38"/>
      <c r="Q32" s="19">
        <f t="shared" si="48"/>
        <v>0</v>
      </c>
      <c r="R32" s="21">
        <f t="shared" si="49"/>
        <v>0</v>
      </c>
      <c r="S32" s="19">
        <f t="shared" si="50"/>
        <v>5</v>
      </c>
      <c r="T32" s="19">
        <f t="shared" si="51"/>
        <v>15000</v>
      </c>
      <c r="U32" s="21">
        <f t="shared" si="52"/>
        <v>15000</v>
      </c>
      <c r="V32" s="39"/>
      <c r="W32" s="16">
        <v>52</v>
      </c>
      <c r="X32" s="17" t="str">
        <f>VLOOKUP(W32,'DATABASE F&amp;B'!$C$3:$F$216,2,0)</f>
        <v>SODA WATER ZODA 250ML</v>
      </c>
      <c r="Y32" s="18">
        <v>1</v>
      </c>
      <c r="Z32" s="19">
        <f>VLOOKUP(W32,'DATABASE F&amp;B'!$C$3:$F$216,4,0)</f>
        <v>15000</v>
      </c>
      <c r="AA32" s="19">
        <f t="shared" si="53"/>
        <v>15000</v>
      </c>
      <c r="AB32" s="16"/>
      <c r="AC32" s="17">
        <f>VLOOKUP(AB32,'DATABASE F&amp;B'!$C$3:$F$216,2,0)</f>
        <v>0</v>
      </c>
      <c r="AD32" s="18">
        <v>1</v>
      </c>
      <c r="AE32" s="19">
        <f>VLOOKUP(AB32,'DATABASE F&amp;B'!$C$3:$F$216,4,0)</f>
        <v>0</v>
      </c>
      <c r="AF32" s="19">
        <f t="shared" si="54"/>
        <v>0</v>
      </c>
      <c r="AG32" s="16"/>
      <c r="AH32" s="17">
        <f>VLOOKUP(AG32,'DATABASE F&amp;B'!$C$3:$F$216,2,0)</f>
        <v>0</v>
      </c>
      <c r="AI32" s="18">
        <v>1</v>
      </c>
      <c r="AJ32" s="19">
        <f>VLOOKUP(AG32,'DATABASE F&amp;B'!$C$3:$F$216,4,0)</f>
        <v>0</v>
      </c>
      <c r="AK32" s="19">
        <f t="shared" si="55"/>
        <v>0</v>
      </c>
      <c r="AL32" s="16"/>
      <c r="AM32" s="17">
        <f>VLOOKUP(AL32,'DATABASE F&amp;B'!$C$3:$F$216,2,0)</f>
        <v>0</v>
      </c>
      <c r="AN32" s="18">
        <v>1</v>
      </c>
      <c r="AO32" s="19">
        <f>VLOOKUP(AL32,'DATABASE F&amp;B'!$C$3:$F$216,4,0)</f>
        <v>0</v>
      </c>
      <c r="AP32" s="19">
        <f t="shared" si="56"/>
        <v>0</v>
      </c>
      <c r="AQ32" s="16"/>
      <c r="AR32" s="17">
        <f>VLOOKUP(AQ32,'DATABASE F&amp;B'!$C$3:$F$216,2,0)</f>
        <v>0</v>
      </c>
      <c r="AS32" s="18">
        <v>1</v>
      </c>
      <c r="AT32" s="19">
        <f>VLOOKUP(AQ32,'DATABASE F&amp;B'!$C$3:$F$216,4,0)</f>
        <v>0</v>
      </c>
      <c r="AU32" s="19">
        <f t="shared" si="57"/>
        <v>0</v>
      </c>
      <c r="AV32" s="16"/>
      <c r="AW32" s="17">
        <f>VLOOKUP(AV32,'DATABASE F&amp;B'!$C$3:$F$216,2,0)</f>
        <v>0</v>
      </c>
      <c r="AX32" s="18"/>
      <c r="AY32" s="19">
        <f>VLOOKUP(AV32,'DATABASE F&amp;B'!$C$3:$F$216,4,0)</f>
        <v>0</v>
      </c>
      <c r="AZ32" s="19">
        <f t="shared" si="58"/>
        <v>0</v>
      </c>
      <c r="BA32" s="16"/>
      <c r="BB32" s="17">
        <f>VLOOKUP(BA32,'DATABASE F&amp;B'!$C$3:$F$216,2,0)</f>
        <v>0</v>
      </c>
      <c r="BC32" s="18"/>
      <c r="BD32" s="19">
        <f>VLOOKUP(BA32,'DATABASE F&amp;B'!$C$3:$F$216,4,0)</f>
        <v>0</v>
      </c>
      <c r="BE32" s="19">
        <f t="shared" si="59"/>
        <v>0</v>
      </c>
      <c r="BF32" s="16"/>
      <c r="BG32" s="17">
        <f>VLOOKUP(BF32,'DATABASE F&amp;B'!$C$3:$F$216,2,0)</f>
        <v>0</v>
      </c>
      <c r="BH32" s="18"/>
      <c r="BI32" s="19">
        <f>VLOOKUP(BF32,'DATABASE F&amp;B'!$C$3:$F$216,4,0)</f>
        <v>0</v>
      </c>
      <c r="BJ32" s="19">
        <f t="shared" si="60"/>
        <v>0</v>
      </c>
      <c r="BK32" s="16"/>
      <c r="BL32" s="17">
        <f>VLOOKUP(BK32,'DATABASE F&amp;B'!$C$3:$F$210,2,0)</f>
        <v>0</v>
      </c>
      <c r="BM32" s="18"/>
      <c r="BN32" s="19">
        <f>VLOOKUP(BK32,'DATABASE F&amp;B'!$C$3:$F$210,4,0)</f>
        <v>0</v>
      </c>
      <c r="BO32" s="19">
        <f t="shared" si="61"/>
        <v>0</v>
      </c>
      <c r="BP32" s="16"/>
      <c r="BQ32" s="17">
        <f>VLOOKUP(BP32,'DATABASE F&amp;B'!$C$3:$F$210,2,0)</f>
        <v>0</v>
      </c>
      <c r="BR32" s="18"/>
      <c r="BS32" s="19">
        <f>VLOOKUP(BP32,'DATABASE F&amp;B'!$C$3:$F$210,4,0)</f>
        <v>0</v>
      </c>
      <c r="BT32" s="19">
        <f t="shared" si="62"/>
        <v>0</v>
      </c>
      <c r="BU32" s="16"/>
      <c r="BV32" s="17">
        <f>VLOOKUP(BU32,'DATABASE F&amp;B'!$C$3:$F$210,2,0)</f>
        <v>0</v>
      </c>
      <c r="BW32" s="18"/>
      <c r="BX32" s="19">
        <f>VLOOKUP(BU32,'DATABASE F&amp;B'!$C$3:$F$210,4,0)</f>
        <v>0</v>
      </c>
      <c r="BY32" s="19">
        <f t="shared" si="63"/>
        <v>0</v>
      </c>
      <c r="BZ32" s="16"/>
      <c r="CA32" s="17">
        <f>VLOOKUP(BZ32,'DATABASE F&amp;B'!$C$3:$F$210,2,0)</f>
        <v>0</v>
      </c>
      <c r="CB32" s="18"/>
      <c r="CC32" s="19">
        <f>VLOOKUP(BZ32,'DATABASE F&amp;B'!$C$3:$F$210,4,0)</f>
        <v>0</v>
      </c>
      <c r="CD32" s="19">
        <f t="shared" si="64"/>
        <v>0</v>
      </c>
    </row>
    <row r="33" spans="1:82" ht="13.5" x14ac:dyDescent="0.25">
      <c r="A33" s="32" t="str">
        <f t="shared" si="45"/>
        <v>05-'05-2026</v>
      </c>
      <c r="B33" s="22">
        <f t="shared" si="43"/>
        <v>29</v>
      </c>
      <c r="C33" s="22">
        <f t="shared" si="44"/>
        <v>29</v>
      </c>
      <c r="D33" s="34">
        <v>46147</v>
      </c>
      <c r="E33" s="35" t="s">
        <v>65</v>
      </c>
      <c r="F33" s="35" t="s">
        <v>202</v>
      </c>
      <c r="G33" s="52" t="s">
        <v>81</v>
      </c>
      <c r="H33" s="36" t="str">
        <f t="shared" si="23"/>
        <v>RJ-'050526-29</v>
      </c>
      <c r="I33" s="36" t="str">
        <f t="shared" si="46"/>
        <v>'05-05-2026</v>
      </c>
      <c r="J33" s="37" t="str">
        <f>VLOOKUP(D33,Laporan!$C$4:$D$34,2,0)</f>
        <v>Selasa</v>
      </c>
      <c r="K33" s="48"/>
      <c r="L33" s="13" t="s">
        <v>33</v>
      </c>
      <c r="M33" s="19">
        <f>SUMIF('DATABASE Room'!$B$3:$B$7,L33,'DATABASE Room'!$D$3:$D$7)</f>
        <v>0</v>
      </c>
      <c r="N33" s="13">
        <v>1</v>
      </c>
      <c r="O33" s="21">
        <f t="shared" si="47"/>
        <v>0</v>
      </c>
      <c r="P33" s="38"/>
      <c r="Q33" s="19">
        <f t="shared" si="48"/>
        <v>0</v>
      </c>
      <c r="R33" s="21">
        <f t="shared" si="49"/>
        <v>0</v>
      </c>
      <c r="S33" s="19">
        <f t="shared" si="50"/>
        <v>5</v>
      </c>
      <c r="T33" s="19">
        <f t="shared" si="51"/>
        <v>15000</v>
      </c>
      <c r="U33" s="21">
        <f t="shared" si="52"/>
        <v>15000</v>
      </c>
      <c r="V33" s="39"/>
      <c r="W33" s="16">
        <v>53</v>
      </c>
      <c r="X33" s="17" t="str">
        <f>VLOOKUP(W33,'DATABASE F&amp;B'!$C$3:$F$216,2,0)</f>
        <v>ZODA WATER</v>
      </c>
      <c r="Y33" s="18">
        <v>1</v>
      </c>
      <c r="Z33" s="19">
        <f>VLOOKUP(W33,'DATABASE F&amp;B'!$C$3:$F$216,4,0)</f>
        <v>15000</v>
      </c>
      <c r="AA33" s="19">
        <f t="shared" si="53"/>
        <v>15000</v>
      </c>
      <c r="AB33" s="16"/>
      <c r="AC33" s="17">
        <f>VLOOKUP(AB33,'DATABASE F&amp;B'!$C$3:$F$216,2,0)</f>
        <v>0</v>
      </c>
      <c r="AD33" s="18">
        <v>1</v>
      </c>
      <c r="AE33" s="19">
        <f>VLOOKUP(AB33,'DATABASE F&amp;B'!$C$3:$F$216,4,0)</f>
        <v>0</v>
      </c>
      <c r="AF33" s="19">
        <f t="shared" si="54"/>
        <v>0</v>
      </c>
      <c r="AG33" s="16"/>
      <c r="AH33" s="17">
        <f>VLOOKUP(AG33,'DATABASE F&amp;B'!$C$3:$F$216,2,0)</f>
        <v>0</v>
      </c>
      <c r="AI33" s="18">
        <v>1</v>
      </c>
      <c r="AJ33" s="19">
        <f>VLOOKUP(AG33,'DATABASE F&amp;B'!$C$3:$F$216,4,0)</f>
        <v>0</v>
      </c>
      <c r="AK33" s="19">
        <f t="shared" si="55"/>
        <v>0</v>
      </c>
      <c r="AL33" s="16"/>
      <c r="AM33" s="17">
        <f>VLOOKUP(AL33,'DATABASE F&amp;B'!$C$3:$F$216,2,0)</f>
        <v>0</v>
      </c>
      <c r="AN33" s="18">
        <v>1</v>
      </c>
      <c r="AO33" s="19">
        <f>VLOOKUP(AL33,'DATABASE F&amp;B'!$C$3:$F$216,4,0)</f>
        <v>0</v>
      </c>
      <c r="AP33" s="19">
        <f t="shared" si="56"/>
        <v>0</v>
      </c>
      <c r="AQ33" s="16"/>
      <c r="AR33" s="17">
        <f>VLOOKUP(AQ33,'DATABASE F&amp;B'!$C$3:$F$216,2,0)</f>
        <v>0</v>
      </c>
      <c r="AS33" s="18">
        <v>1</v>
      </c>
      <c r="AT33" s="19">
        <f>VLOOKUP(AQ33,'DATABASE F&amp;B'!$C$3:$F$216,4,0)</f>
        <v>0</v>
      </c>
      <c r="AU33" s="19">
        <f t="shared" si="57"/>
        <v>0</v>
      </c>
      <c r="AV33" s="16"/>
      <c r="AW33" s="17">
        <f>VLOOKUP(AV33,'DATABASE F&amp;B'!$C$3:$F$216,2,0)</f>
        <v>0</v>
      </c>
      <c r="AX33" s="18"/>
      <c r="AY33" s="19">
        <f>VLOOKUP(AV33,'DATABASE F&amp;B'!$C$3:$F$216,4,0)</f>
        <v>0</v>
      </c>
      <c r="AZ33" s="19">
        <f t="shared" si="58"/>
        <v>0</v>
      </c>
      <c r="BA33" s="16"/>
      <c r="BB33" s="17">
        <f>VLOOKUP(BA33,'DATABASE F&amp;B'!$C$3:$F$216,2,0)</f>
        <v>0</v>
      </c>
      <c r="BC33" s="18"/>
      <c r="BD33" s="19">
        <f>VLOOKUP(BA33,'DATABASE F&amp;B'!$C$3:$F$216,4,0)</f>
        <v>0</v>
      </c>
      <c r="BE33" s="19">
        <f t="shared" si="59"/>
        <v>0</v>
      </c>
      <c r="BF33" s="16"/>
      <c r="BG33" s="17">
        <f>VLOOKUP(BF33,'DATABASE F&amp;B'!$C$3:$F$216,2,0)</f>
        <v>0</v>
      </c>
      <c r="BH33" s="18"/>
      <c r="BI33" s="19">
        <f>VLOOKUP(BF33,'DATABASE F&amp;B'!$C$3:$F$216,4,0)</f>
        <v>0</v>
      </c>
      <c r="BJ33" s="19">
        <f t="shared" si="60"/>
        <v>0</v>
      </c>
      <c r="BK33" s="16"/>
      <c r="BL33" s="17">
        <f>VLOOKUP(BK33,'DATABASE F&amp;B'!$C$3:$F$210,2,0)</f>
        <v>0</v>
      </c>
      <c r="BM33" s="18"/>
      <c r="BN33" s="19">
        <f>VLOOKUP(BK33,'DATABASE F&amp;B'!$C$3:$F$210,4,0)</f>
        <v>0</v>
      </c>
      <c r="BO33" s="19">
        <f t="shared" si="61"/>
        <v>0</v>
      </c>
      <c r="BP33" s="16"/>
      <c r="BQ33" s="17">
        <f>VLOOKUP(BP33,'DATABASE F&amp;B'!$C$3:$F$210,2,0)</f>
        <v>0</v>
      </c>
      <c r="BR33" s="18"/>
      <c r="BS33" s="19">
        <f>VLOOKUP(BP33,'DATABASE F&amp;B'!$C$3:$F$210,4,0)</f>
        <v>0</v>
      </c>
      <c r="BT33" s="19">
        <f t="shared" si="62"/>
        <v>0</v>
      </c>
      <c r="BU33" s="16"/>
      <c r="BV33" s="17">
        <f>VLOOKUP(BU33,'DATABASE F&amp;B'!$C$3:$F$210,2,0)</f>
        <v>0</v>
      </c>
      <c r="BW33" s="18"/>
      <c r="BX33" s="19">
        <f>VLOOKUP(BU33,'DATABASE F&amp;B'!$C$3:$F$210,4,0)</f>
        <v>0</v>
      </c>
      <c r="BY33" s="19">
        <f t="shared" si="63"/>
        <v>0</v>
      </c>
      <c r="BZ33" s="16"/>
      <c r="CA33" s="17">
        <f>VLOOKUP(BZ33,'DATABASE F&amp;B'!$C$3:$F$210,2,0)</f>
        <v>0</v>
      </c>
      <c r="CB33" s="18"/>
      <c r="CC33" s="19">
        <f>VLOOKUP(BZ33,'DATABASE F&amp;B'!$C$3:$F$210,4,0)</f>
        <v>0</v>
      </c>
      <c r="CD33" s="19">
        <f t="shared" si="64"/>
        <v>0</v>
      </c>
    </row>
    <row r="34" spans="1:82" ht="13.5" x14ac:dyDescent="0.25">
      <c r="A34" s="32" t="str">
        <f t="shared" si="45"/>
        <v>05-'05-2026</v>
      </c>
      <c r="B34" s="22">
        <f t="shared" si="43"/>
        <v>30</v>
      </c>
      <c r="C34" s="22">
        <f t="shared" si="44"/>
        <v>30</v>
      </c>
      <c r="D34" s="34">
        <v>46147</v>
      </c>
      <c r="E34" s="35" t="s">
        <v>65</v>
      </c>
      <c r="F34" s="35" t="s">
        <v>202</v>
      </c>
      <c r="G34" s="52" t="s">
        <v>81</v>
      </c>
      <c r="H34" s="36" t="str">
        <f t="shared" si="23"/>
        <v>RJ-'050526-30</v>
      </c>
      <c r="I34" s="36" t="str">
        <f t="shared" si="46"/>
        <v>'05-05-2026</v>
      </c>
      <c r="J34" s="37" t="str">
        <f>VLOOKUP(D34,Laporan!$C$4:$D$34,2,0)</f>
        <v>Selasa</v>
      </c>
      <c r="K34" s="48"/>
      <c r="L34" s="13" t="s">
        <v>33</v>
      </c>
      <c r="M34" s="19">
        <f>SUMIF('DATABASE Room'!$B$3:$B$7,L34,'DATABASE Room'!$D$3:$D$7)</f>
        <v>0</v>
      </c>
      <c r="N34" s="13">
        <v>1</v>
      </c>
      <c r="O34" s="21">
        <f t="shared" si="47"/>
        <v>0</v>
      </c>
      <c r="P34" s="38"/>
      <c r="Q34" s="19">
        <f t="shared" si="48"/>
        <v>0</v>
      </c>
      <c r="R34" s="21">
        <f t="shared" si="49"/>
        <v>0</v>
      </c>
      <c r="S34" s="19">
        <f t="shared" si="50"/>
        <v>5</v>
      </c>
      <c r="T34" s="19">
        <f t="shared" si="51"/>
        <v>20000</v>
      </c>
      <c r="U34" s="21">
        <f t="shared" si="52"/>
        <v>20000</v>
      </c>
      <c r="V34" s="39"/>
      <c r="W34" s="16">
        <v>54</v>
      </c>
      <c r="X34" s="17" t="str">
        <f>VLOOKUP(W34,'DATABASE F&amp;B'!$C$3:$F$216,2,0)</f>
        <v>POKKA GREEN TEA</v>
      </c>
      <c r="Y34" s="18">
        <v>1</v>
      </c>
      <c r="Z34" s="19">
        <f>VLOOKUP(W34,'DATABASE F&amp;B'!$C$3:$F$216,4,0)</f>
        <v>20000</v>
      </c>
      <c r="AA34" s="19">
        <f t="shared" si="53"/>
        <v>20000</v>
      </c>
      <c r="AB34" s="16"/>
      <c r="AC34" s="17">
        <f>VLOOKUP(AB34,'DATABASE F&amp;B'!$C$3:$F$216,2,0)</f>
        <v>0</v>
      </c>
      <c r="AD34" s="18">
        <v>1</v>
      </c>
      <c r="AE34" s="19">
        <f>VLOOKUP(AB34,'DATABASE F&amp;B'!$C$3:$F$216,4,0)</f>
        <v>0</v>
      </c>
      <c r="AF34" s="19">
        <f t="shared" si="54"/>
        <v>0</v>
      </c>
      <c r="AG34" s="16"/>
      <c r="AH34" s="17">
        <f>VLOOKUP(AG34,'DATABASE F&amp;B'!$C$3:$F$216,2,0)</f>
        <v>0</v>
      </c>
      <c r="AI34" s="18">
        <v>1</v>
      </c>
      <c r="AJ34" s="19">
        <f>VLOOKUP(AG34,'DATABASE F&amp;B'!$C$3:$F$216,4,0)</f>
        <v>0</v>
      </c>
      <c r="AK34" s="19">
        <f t="shared" si="55"/>
        <v>0</v>
      </c>
      <c r="AL34" s="16"/>
      <c r="AM34" s="17">
        <f>VLOOKUP(AL34,'DATABASE F&amp;B'!$C$3:$F$216,2,0)</f>
        <v>0</v>
      </c>
      <c r="AN34" s="18">
        <v>1</v>
      </c>
      <c r="AO34" s="19">
        <f>VLOOKUP(AL34,'DATABASE F&amp;B'!$C$3:$F$216,4,0)</f>
        <v>0</v>
      </c>
      <c r="AP34" s="19">
        <f t="shared" si="56"/>
        <v>0</v>
      </c>
      <c r="AQ34" s="16"/>
      <c r="AR34" s="17">
        <f>VLOOKUP(AQ34,'DATABASE F&amp;B'!$C$3:$F$216,2,0)</f>
        <v>0</v>
      </c>
      <c r="AS34" s="18">
        <v>1</v>
      </c>
      <c r="AT34" s="19">
        <f>VLOOKUP(AQ34,'DATABASE F&amp;B'!$C$3:$F$216,4,0)</f>
        <v>0</v>
      </c>
      <c r="AU34" s="19">
        <f t="shared" si="57"/>
        <v>0</v>
      </c>
      <c r="AV34" s="16"/>
      <c r="AW34" s="17">
        <f>VLOOKUP(AV34,'DATABASE F&amp;B'!$C$3:$F$216,2,0)</f>
        <v>0</v>
      </c>
      <c r="AX34" s="18"/>
      <c r="AY34" s="19">
        <f>VLOOKUP(AV34,'DATABASE F&amp;B'!$C$3:$F$216,4,0)</f>
        <v>0</v>
      </c>
      <c r="AZ34" s="19">
        <f t="shared" si="58"/>
        <v>0</v>
      </c>
      <c r="BA34" s="16"/>
      <c r="BB34" s="17">
        <f>VLOOKUP(BA34,'DATABASE F&amp;B'!$C$3:$F$216,2,0)</f>
        <v>0</v>
      </c>
      <c r="BC34" s="18"/>
      <c r="BD34" s="19">
        <f>VLOOKUP(BA34,'DATABASE F&amp;B'!$C$3:$F$216,4,0)</f>
        <v>0</v>
      </c>
      <c r="BE34" s="19">
        <f t="shared" si="59"/>
        <v>0</v>
      </c>
      <c r="BF34" s="16"/>
      <c r="BG34" s="17">
        <f>VLOOKUP(BF34,'DATABASE F&amp;B'!$C$3:$F$216,2,0)</f>
        <v>0</v>
      </c>
      <c r="BH34" s="18"/>
      <c r="BI34" s="19">
        <f>VLOOKUP(BF34,'DATABASE F&amp;B'!$C$3:$F$216,4,0)</f>
        <v>0</v>
      </c>
      <c r="BJ34" s="19">
        <f t="shared" si="60"/>
        <v>0</v>
      </c>
      <c r="BK34" s="16"/>
      <c r="BL34" s="17">
        <f>VLOOKUP(BK34,'DATABASE F&amp;B'!$C$3:$F$210,2,0)</f>
        <v>0</v>
      </c>
      <c r="BM34" s="18"/>
      <c r="BN34" s="19">
        <f>VLOOKUP(BK34,'DATABASE F&amp;B'!$C$3:$F$210,4,0)</f>
        <v>0</v>
      </c>
      <c r="BO34" s="19">
        <f t="shared" si="61"/>
        <v>0</v>
      </c>
      <c r="BP34" s="16"/>
      <c r="BQ34" s="17">
        <f>VLOOKUP(BP34,'DATABASE F&amp;B'!$C$3:$F$210,2,0)</f>
        <v>0</v>
      </c>
      <c r="BR34" s="18"/>
      <c r="BS34" s="19">
        <f>VLOOKUP(BP34,'DATABASE F&amp;B'!$C$3:$F$210,4,0)</f>
        <v>0</v>
      </c>
      <c r="BT34" s="19">
        <f t="shared" si="62"/>
        <v>0</v>
      </c>
      <c r="BU34" s="16"/>
      <c r="BV34" s="17">
        <f>VLOOKUP(BU34,'DATABASE F&amp;B'!$C$3:$F$210,2,0)</f>
        <v>0</v>
      </c>
      <c r="BW34" s="18"/>
      <c r="BX34" s="19">
        <f>VLOOKUP(BU34,'DATABASE F&amp;B'!$C$3:$F$210,4,0)</f>
        <v>0</v>
      </c>
      <c r="BY34" s="19">
        <f t="shared" si="63"/>
        <v>0</v>
      </c>
      <c r="BZ34" s="16"/>
      <c r="CA34" s="17">
        <f>VLOOKUP(BZ34,'DATABASE F&amp;B'!$C$3:$F$210,2,0)</f>
        <v>0</v>
      </c>
      <c r="CB34" s="18"/>
      <c r="CC34" s="19">
        <f>VLOOKUP(BZ34,'DATABASE F&amp;B'!$C$3:$F$210,4,0)</f>
        <v>0</v>
      </c>
      <c r="CD34" s="19">
        <f t="shared" si="64"/>
        <v>0</v>
      </c>
    </row>
    <row r="35" spans="1:82" ht="13.5" x14ac:dyDescent="0.25">
      <c r="A35" s="32" t="str">
        <f t="shared" ref="A35:A42" si="65">CONCATENATE(F35,"-",E35,"-20",G35)</f>
        <v>05-'05-2026</v>
      </c>
      <c r="B35" s="22">
        <f t="shared" si="43"/>
        <v>31</v>
      </c>
      <c r="C35" s="22">
        <f t="shared" si="44"/>
        <v>31</v>
      </c>
      <c r="D35" s="34">
        <v>46147</v>
      </c>
      <c r="E35" s="35" t="s">
        <v>65</v>
      </c>
      <c r="F35" s="35" t="s">
        <v>202</v>
      </c>
      <c r="G35" s="52" t="s">
        <v>81</v>
      </c>
      <c r="H35" s="36" t="str">
        <f t="shared" si="23"/>
        <v>RJ-'050526-31</v>
      </c>
      <c r="I35" s="36" t="str">
        <f t="shared" ref="I35:I42" si="66">CONCATENATE(E35,"-",F35,"-20",G35)</f>
        <v>'05-05-2026</v>
      </c>
      <c r="J35" s="37" t="str">
        <f>VLOOKUP(D35,Laporan!$C$4:$D$34,2,0)</f>
        <v>Selasa</v>
      </c>
      <c r="K35" s="48"/>
      <c r="L35" s="13" t="s">
        <v>33</v>
      </c>
      <c r="M35" s="19">
        <f>SUMIF('DATABASE Room'!$B$3:$B$7,L35,'DATABASE Room'!$D$3:$D$7)</f>
        <v>0</v>
      </c>
      <c r="N35" s="13">
        <v>1</v>
      </c>
      <c r="O35" s="21">
        <f t="shared" ref="O35:O42" si="67">N35*M35</f>
        <v>0</v>
      </c>
      <c r="P35" s="38"/>
      <c r="Q35" s="19">
        <f t="shared" ref="Q35:Q42" si="68">P35*M35</f>
        <v>0</v>
      </c>
      <c r="R35" s="21">
        <f t="shared" ref="R35:R42" si="69">O35+Q35</f>
        <v>0</v>
      </c>
      <c r="S35" s="19">
        <f t="shared" ref="S35:S42" si="70">SUMIF($W$4:$CD$4,$S$4,W35:CD35)</f>
        <v>6</v>
      </c>
      <c r="T35" s="19">
        <f t="shared" ref="T35:T42" si="71">SUMIF($W$4:$CD$4,$T$4,W35:CD35)</f>
        <v>25000</v>
      </c>
      <c r="U35" s="21">
        <f t="shared" ref="U35:U42" si="72">R35+T35</f>
        <v>25000</v>
      </c>
      <c r="V35" s="39"/>
      <c r="W35" s="16">
        <v>55</v>
      </c>
      <c r="X35" s="17" t="str">
        <f>VLOOKUP(W35,'DATABASE F&amp;B'!$C$3:$F$216,2,0)</f>
        <v>YAKULT ORI</v>
      </c>
      <c r="Y35" s="18">
        <v>1</v>
      </c>
      <c r="Z35" s="19">
        <f>VLOOKUP(W35,'DATABASE F&amp;B'!$C$3:$F$216,4,0)</f>
        <v>25000</v>
      </c>
      <c r="AA35" s="19">
        <f t="shared" ref="AA35:AA42" si="73">Y35*Z35</f>
        <v>25000</v>
      </c>
      <c r="AB35" s="16"/>
      <c r="AC35" s="17">
        <f>VLOOKUP(AB35,'DATABASE F&amp;B'!$C$3:$F$216,2,0)</f>
        <v>0</v>
      </c>
      <c r="AD35" s="18">
        <v>2</v>
      </c>
      <c r="AE35" s="19">
        <f>VLOOKUP(AB35,'DATABASE F&amp;B'!$C$3:$F$216,4,0)</f>
        <v>0</v>
      </c>
      <c r="AF35" s="19">
        <f t="shared" ref="AF35:AF42" si="74">AD35*AE35</f>
        <v>0</v>
      </c>
      <c r="AG35" s="16"/>
      <c r="AH35" s="17">
        <f>VLOOKUP(AG35,'DATABASE F&amp;B'!$C$3:$F$216,2,0)</f>
        <v>0</v>
      </c>
      <c r="AI35" s="18">
        <v>1</v>
      </c>
      <c r="AJ35" s="19">
        <f>VLOOKUP(AG35,'DATABASE F&amp;B'!$C$3:$F$216,4,0)</f>
        <v>0</v>
      </c>
      <c r="AK35" s="19">
        <f t="shared" ref="AK35:AK42" si="75">AI35*AJ35</f>
        <v>0</v>
      </c>
      <c r="AL35" s="16"/>
      <c r="AM35" s="17">
        <f>VLOOKUP(AL35,'DATABASE F&amp;B'!$C$3:$F$216,2,0)</f>
        <v>0</v>
      </c>
      <c r="AN35" s="18">
        <v>1</v>
      </c>
      <c r="AO35" s="19">
        <f>VLOOKUP(AL35,'DATABASE F&amp;B'!$C$3:$F$216,4,0)</f>
        <v>0</v>
      </c>
      <c r="AP35" s="19">
        <f t="shared" ref="AP35:AP42" si="76">AN35*AO35</f>
        <v>0</v>
      </c>
      <c r="AQ35" s="16"/>
      <c r="AR35" s="17">
        <f>VLOOKUP(AQ35,'DATABASE F&amp;B'!$C$3:$F$216,2,0)</f>
        <v>0</v>
      </c>
      <c r="AS35" s="18">
        <v>1</v>
      </c>
      <c r="AT35" s="19">
        <f>VLOOKUP(AQ35,'DATABASE F&amp;B'!$C$3:$F$216,4,0)</f>
        <v>0</v>
      </c>
      <c r="AU35" s="19">
        <f t="shared" ref="AU35:AU42" si="77">AS35*AT35</f>
        <v>0</v>
      </c>
      <c r="AV35" s="16"/>
      <c r="AW35" s="17">
        <f>VLOOKUP(AV35,'DATABASE F&amp;B'!$C$3:$F$216,2,0)</f>
        <v>0</v>
      </c>
      <c r="AX35" s="18"/>
      <c r="AY35" s="19">
        <f>VLOOKUP(AV35,'DATABASE F&amp;B'!$C$3:$F$216,4,0)</f>
        <v>0</v>
      </c>
      <c r="AZ35" s="19">
        <f t="shared" ref="AZ35:AZ42" si="78">AX35*AY35</f>
        <v>0</v>
      </c>
      <c r="BA35" s="16"/>
      <c r="BB35" s="17">
        <f>VLOOKUP(BA35,'DATABASE F&amp;B'!$C$3:$F$216,2,0)</f>
        <v>0</v>
      </c>
      <c r="BC35" s="18"/>
      <c r="BD35" s="19">
        <f>VLOOKUP(BA35,'DATABASE F&amp;B'!$C$3:$F$216,4,0)</f>
        <v>0</v>
      </c>
      <c r="BE35" s="19">
        <f t="shared" ref="BE35:BE42" si="79">BC35*BD35</f>
        <v>0</v>
      </c>
      <c r="BF35" s="16"/>
      <c r="BG35" s="17">
        <f>VLOOKUP(BF35,'DATABASE F&amp;B'!$C$3:$F$216,2,0)</f>
        <v>0</v>
      </c>
      <c r="BH35" s="18"/>
      <c r="BI35" s="19">
        <f>VLOOKUP(BF35,'DATABASE F&amp;B'!$C$3:$F$216,4,0)</f>
        <v>0</v>
      </c>
      <c r="BJ35" s="19">
        <f t="shared" ref="BJ35:BJ42" si="80">BH35*BI35</f>
        <v>0</v>
      </c>
      <c r="BK35" s="16"/>
      <c r="BL35" s="17">
        <f>VLOOKUP(BK35,'DATABASE F&amp;B'!$C$3:$F$210,2,0)</f>
        <v>0</v>
      </c>
      <c r="BM35" s="18"/>
      <c r="BN35" s="19">
        <f>VLOOKUP(BK35,'DATABASE F&amp;B'!$C$3:$F$210,4,0)</f>
        <v>0</v>
      </c>
      <c r="BO35" s="19">
        <f t="shared" ref="BO35:BO42" si="81">BM35*BN35</f>
        <v>0</v>
      </c>
      <c r="BP35" s="16"/>
      <c r="BQ35" s="17">
        <f>VLOOKUP(BP35,'DATABASE F&amp;B'!$C$3:$F$210,2,0)</f>
        <v>0</v>
      </c>
      <c r="BR35" s="18"/>
      <c r="BS35" s="19">
        <f>VLOOKUP(BP35,'DATABASE F&amp;B'!$C$3:$F$210,4,0)</f>
        <v>0</v>
      </c>
      <c r="BT35" s="19">
        <f t="shared" ref="BT35:BT42" si="82">BR35*BS35</f>
        <v>0</v>
      </c>
      <c r="BU35" s="16"/>
      <c r="BV35" s="17">
        <f>VLOOKUP(BU35,'DATABASE F&amp;B'!$C$3:$F$210,2,0)</f>
        <v>0</v>
      </c>
      <c r="BW35" s="18"/>
      <c r="BX35" s="19">
        <f>VLOOKUP(BU35,'DATABASE F&amp;B'!$C$3:$F$210,4,0)</f>
        <v>0</v>
      </c>
      <c r="BY35" s="19">
        <f t="shared" ref="BY35:BY42" si="83">BW35*BX35</f>
        <v>0</v>
      </c>
      <c r="BZ35" s="16"/>
      <c r="CA35" s="17">
        <f>VLOOKUP(BZ35,'DATABASE F&amp;B'!$C$3:$F$210,2,0)</f>
        <v>0</v>
      </c>
      <c r="CB35" s="18"/>
      <c r="CC35" s="19">
        <f>VLOOKUP(BZ35,'DATABASE F&amp;B'!$C$3:$F$210,4,0)</f>
        <v>0</v>
      </c>
      <c r="CD35" s="19">
        <f t="shared" ref="CD35:CD42" si="84">CB35*CC35</f>
        <v>0</v>
      </c>
    </row>
    <row r="36" spans="1:82" ht="13.5" x14ac:dyDescent="0.25">
      <c r="A36" s="32" t="str">
        <f t="shared" si="65"/>
        <v>05-'06-2026</v>
      </c>
      <c r="B36" s="22">
        <f t="shared" si="43"/>
        <v>32</v>
      </c>
      <c r="C36" s="22">
        <f t="shared" si="44"/>
        <v>32</v>
      </c>
      <c r="D36" s="34">
        <v>46148</v>
      </c>
      <c r="E36" s="35" t="s">
        <v>66</v>
      </c>
      <c r="F36" s="35" t="s">
        <v>202</v>
      </c>
      <c r="G36" s="52" t="s">
        <v>81</v>
      </c>
      <c r="H36" s="36" t="str">
        <f t="shared" si="23"/>
        <v>RJ-'060526-32</v>
      </c>
      <c r="I36" s="36" t="str">
        <f t="shared" si="66"/>
        <v>'06-05-2026</v>
      </c>
      <c r="J36" s="37" t="str">
        <f>VLOOKUP(D36,Laporan!$C$4:$D$34,2,0)</f>
        <v>Rabu</v>
      </c>
      <c r="K36" s="48"/>
      <c r="L36" s="13" t="s">
        <v>33</v>
      </c>
      <c r="M36" s="19">
        <f>SUMIF('DATABASE Room'!$B$3:$B$7,L36,'DATABASE Room'!$D$3:$D$7)</f>
        <v>0</v>
      </c>
      <c r="N36" s="13">
        <v>1</v>
      </c>
      <c r="O36" s="21">
        <f t="shared" si="67"/>
        <v>0</v>
      </c>
      <c r="P36" s="38"/>
      <c r="Q36" s="19">
        <f t="shared" si="68"/>
        <v>0</v>
      </c>
      <c r="R36" s="21">
        <f t="shared" si="69"/>
        <v>0</v>
      </c>
      <c r="S36" s="19">
        <f t="shared" si="70"/>
        <v>5</v>
      </c>
      <c r="T36" s="19">
        <f t="shared" si="71"/>
        <v>20000</v>
      </c>
      <c r="U36" s="21">
        <f t="shared" si="72"/>
        <v>20000</v>
      </c>
      <c r="V36" s="39"/>
      <c r="W36" s="16">
        <v>56</v>
      </c>
      <c r="X36" s="17" t="str">
        <f>VLOOKUP(W36,'DATABASE F&amp;B'!$C$3:$F$216,2,0)</f>
        <v>BEAR BRAND 189ML</v>
      </c>
      <c r="Y36" s="18">
        <v>1</v>
      </c>
      <c r="Z36" s="19">
        <f>VLOOKUP(W36,'DATABASE F&amp;B'!$C$3:$F$216,4,0)</f>
        <v>20000</v>
      </c>
      <c r="AA36" s="19">
        <f t="shared" si="73"/>
        <v>20000</v>
      </c>
      <c r="AB36" s="16"/>
      <c r="AC36" s="17">
        <f>VLOOKUP(AB36,'DATABASE F&amp;B'!$C$3:$F$216,2,0)</f>
        <v>0</v>
      </c>
      <c r="AD36" s="18">
        <v>1</v>
      </c>
      <c r="AE36" s="19">
        <f>VLOOKUP(AB36,'DATABASE F&amp;B'!$C$3:$F$216,4,0)</f>
        <v>0</v>
      </c>
      <c r="AF36" s="19">
        <f t="shared" si="74"/>
        <v>0</v>
      </c>
      <c r="AG36" s="16"/>
      <c r="AH36" s="17">
        <f>VLOOKUP(AG36,'DATABASE F&amp;B'!$C$3:$F$216,2,0)</f>
        <v>0</v>
      </c>
      <c r="AI36" s="18">
        <v>1</v>
      </c>
      <c r="AJ36" s="19">
        <f>VLOOKUP(AG36,'DATABASE F&amp;B'!$C$3:$F$216,4,0)</f>
        <v>0</v>
      </c>
      <c r="AK36" s="19">
        <f t="shared" si="75"/>
        <v>0</v>
      </c>
      <c r="AL36" s="16"/>
      <c r="AM36" s="17">
        <f>VLOOKUP(AL36,'DATABASE F&amp;B'!$C$3:$F$216,2,0)</f>
        <v>0</v>
      </c>
      <c r="AN36" s="18">
        <v>1</v>
      </c>
      <c r="AO36" s="19">
        <f>VLOOKUP(AL36,'DATABASE F&amp;B'!$C$3:$F$216,4,0)</f>
        <v>0</v>
      </c>
      <c r="AP36" s="19">
        <f t="shared" si="76"/>
        <v>0</v>
      </c>
      <c r="AQ36" s="16"/>
      <c r="AR36" s="17">
        <f>VLOOKUP(AQ36,'DATABASE F&amp;B'!$C$3:$F$216,2,0)</f>
        <v>0</v>
      </c>
      <c r="AS36" s="18">
        <v>1</v>
      </c>
      <c r="AT36" s="19">
        <f>VLOOKUP(AQ36,'DATABASE F&amp;B'!$C$3:$F$216,4,0)</f>
        <v>0</v>
      </c>
      <c r="AU36" s="19">
        <f t="shared" si="77"/>
        <v>0</v>
      </c>
      <c r="AV36" s="16"/>
      <c r="AW36" s="17">
        <f>VLOOKUP(AV36,'DATABASE F&amp;B'!$C$3:$F$216,2,0)</f>
        <v>0</v>
      </c>
      <c r="AX36" s="18"/>
      <c r="AY36" s="19">
        <f>VLOOKUP(AV36,'DATABASE F&amp;B'!$C$3:$F$216,4,0)</f>
        <v>0</v>
      </c>
      <c r="AZ36" s="19">
        <f t="shared" si="78"/>
        <v>0</v>
      </c>
      <c r="BA36" s="16"/>
      <c r="BB36" s="17">
        <f>VLOOKUP(BA36,'DATABASE F&amp;B'!$C$3:$F$216,2,0)</f>
        <v>0</v>
      </c>
      <c r="BC36" s="18"/>
      <c r="BD36" s="19">
        <f>VLOOKUP(BA36,'DATABASE F&amp;B'!$C$3:$F$216,4,0)</f>
        <v>0</v>
      </c>
      <c r="BE36" s="19">
        <f t="shared" si="79"/>
        <v>0</v>
      </c>
      <c r="BF36" s="16"/>
      <c r="BG36" s="17">
        <f>VLOOKUP(BF36,'DATABASE F&amp;B'!$C$3:$F$216,2,0)</f>
        <v>0</v>
      </c>
      <c r="BH36" s="18"/>
      <c r="BI36" s="19">
        <f>VLOOKUP(BF36,'DATABASE F&amp;B'!$C$3:$F$216,4,0)</f>
        <v>0</v>
      </c>
      <c r="BJ36" s="19">
        <f t="shared" si="80"/>
        <v>0</v>
      </c>
      <c r="BK36" s="16"/>
      <c r="BL36" s="17">
        <f>VLOOKUP(BK36,'DATABASE F&amp;B'!$C$3:$F$210,2,0)</f>
        <v>0</v>
      </c>
      <c r="BM36" s="18"/>
      <c r="BN36" s="19">
        <f>VLOOKUP(BK36,'DATABASE F&amp;B'!$C$3:$F$210,4,0)</f>
        <v>0</v>
      </c>
      <c r="BO36" s="19">
        <f t="shared" si="81"/>
        <v>0</v>
      </c>
      <c r="BP36" s="16"/>
      <c r="BQ36" s="17">
        <f>VLOOKUP(BP36,'DATABASE F&amp;B'!$C$3:$F$210,2,0)</f>
        <v>0</v>
      </c>
      <c r="BR36" s="18"/>
      <c r="BS36" s="19">
        <f>VLOOKUP(BP36,'DATABASE F&amp;B'!$C$3:$F$210,4,0)</f>
        <v>0</v>
      </c>
      <c r="BT36" s="19">
        <f t="shared" si="82"/>
        <v>0</v>
      </c>
      <c r="BU36" s="16"/>
      <c r="BV36" s="17">
        <f>VLOOKUP(BU36,'DATABASE F&amp;B'!$C$3:$F$210,2,0)</f>
        <v>0</v>
      </c>
      <c r="BW36" s="18"/>
      <c r="BX36" s="19">
        <f>VLOOKUP(BU36,'DATABASE F&amp;B'!$C$3:$F$210,4,0)</f>
        <v>0</v>
      </c>
      <c r="BY36" s="19">
        <f t="shared" si="83"/>
        <v>0</v>
      </c>
      <c r="BZ36" s="16"/>
      <c r="CA36" s="17">
        <f>VLOOKUP(BZ36,'DATABASE F&amp;B'!$C$3:$F$210,2,0)</f>
        <v>0</v>
      </c>
      <c r="CB36" s="18"/>
      <c r="CC36" s="19">
        <f>VLOOKUP(BZ36,'DATABASE F&amp;B'!$C$3:$F$210,4,0)</f>
        <v>0</v>
      </c>
      <c r="CD36" s="19">
        <f t="shared" si="84"/>
        <v>0</v>
      </c>
    </row>
    <row r="37" spans="1:82" ht="13.5" x14ac:dyDescent="0.25">
      <c r="A37" s="32" t="str">
        <f t="shared" si="65"/>
        <v>05-'06-2026</v>
      </c>
      <c r="B37" s="22">
        <f t="shared" si="43"/>
        <v>33</v>
      </c>
      <c r="C37" s="22">
        <f t="shared" si="44"/>
        <v>33</v>
      </c>
      <c r="D37" s="34">
        <v>46148</v>
      </c>
      <c r="E37" s="35" t="s">
        <v>66</v>
      </c>
      <c r="F37" s="35" t="s">
        <v>202</v>
      </c>
      <c r="G37" s="52" t="s">
        <v>81</v>
      </c>
      <c r="H37" s="36" t="str">
        <f t="shared" si="23"/>
        <v>RJ-'060526-33</v>
      </c>
      <c r="I37" s="36" t="str">
        <f t="shared" si="66"/>
        <v>'06-05-2026</v>
      </c>
      <c r="J37" s="37" t="str">
        <f>VLOOKUP(D37,Laporan!$C$4:$D$34,2,0)</f>
        <v>Rabu</v>
      </c>
      <c r="K37" s="48"/>
      <c r="L37" s="13" t="s">
        <v>33</v>
      </c>
      <c r="M37" s="19">
        <f>SUMIF('DATABASE Room'!$B$3:$B$7,L37,'DATABASE Room'!$D$3:$D$7)</f>
        <v>0</v>
      </c>
      <c r="N37" s="13">
        <v>1</v>
      </c>
      <c r="O37" s="21">
        <f t="shared" si="67"/>
        <v>0</v>
      </c>
      <c r="P37" s="38"/>
      <c r="Q37" s="19">
        <f t="shared" si="68"/>
        <v>0</v>
      </c>
      <c r="R37" s="21">
        <f t="shared" si="69"/>
        <v>0</v>
      </c>
      <c r="S37" s="19">
        <f t="shared" si="70"/>
        <v>5</v>
      </c>
      <c r="T37" s="19">
        <f t="shared" si="71"/>
        <v>29000</v>
      </c>
      <c r="U37" s="21">
        <f t="shared" si="72"/>
        <v>29000</v>
      </c>
      <c r="V37" s="39"/>
      <c r="W37" s="16">
        <v>57</v>
      </c>
      <c r="X37" s="17" t="str">
        <f>VLOOKUP(W37,'DATABASE F&amp;B'!$C$3:$F$216,2,0)</f>
        <v>KOPI REDJEKI</v>
      </c>
      <c r="Y37" s="18">
        <v>1</v>
      </c>
      <c r="Z37" s="19">
        <f>VLOOKUP(W37,'DATABASE F&amp;B'!$C$3:$F$216,4,0)</f>
        <v>29000</v>
      </c>
      <c r="AA37" s="19">
        <f t="shared" si="73"/>
        <v>29000</v>
      </c>
      <c r="AB37" s="16"/>
      <c r="AC37" s="17">
        <f>VLOOKUP(AB37,'DATABASE F&amp;B'!$C$3:$F$216,2,0)</f>
        <v>0</v>
      </c>
      <c r="AD37" s="18">
        <v>1</v>
      </c>
      <c r="AE37" s="19">
        <f>VLOOKUP(AB37,'DATABASE F&amp;B'!$C$3:$F$216,4,0)</f>
        <v>0</v>
      </c>
      <c r="AF37" s="19">
        <f t="shared" si="74"/>
        <v>0</v>
      </c>
      <c r="AG37" s="16"/>
      <c r="AH37" s="17">
        <f>VLOOKUP(AG37,'DATABASE F&amp;B'!$C$3:$F$216,2,0)</f>
        <v>0</v>
      </c>
      <c r="AI37" s="18">
        <v>1</v>
      </c>
      <c r="AJ37" s="19">
        <f>VLOOKUP(AG37,'DATABASE F&amp;B'!$C$3:$F$216,4,0)</f>
        <v>0</v>
      </c>
      <c r="AK37" s="19">
        <f t="shared" si="75"/>
        <v>0</v>
      </c>
      <c r="AL37" s="16"/>
      <c r="AM37" s="17">
        <f>VLOOKUP(AL37,'DATABASE F&amp;B'!$C$3:$F$216,2,0)</f>
        <v>0</v>
      </c>
      <c r="AN37" s="18">
        <v>1</v>
      </c>
      <c r="AO37" s="19">
        <f>VLOOKUP(AL37,'DATABASE F&amp;B'!$C$3:$F$216,4,0)</f>
        <v>0</v>
      </c>
      <c r="AP37" s="19">
        <f t="shared" si="76"/>
        <v>0</v>
      </c>
      <c r="AQ37" s="16"/>
      <c r="AR37" s="17">
        <f>VLOOKUP(AQ37,'DATABASE F&amp;B'!$C$3:$F$216,2,0)</f>
        <v>0</v>
      </c>
      <c r="AS37" s="18">
        <v>1</v>
      </c>
      <c r="AT37" s="19">
        <f>VLOOKUP(AQ37,'DATABASE F&amp;B'!$C$3:$F$216,4,0)</f>
        <v>0</v>
      </c>
      <c r="AU37" s="19">
        <f t="shared" si="77"/>
        <v>0</v>
      </c>
      <c r="AV37" s="16"/>
      <c r="AW37" s="17">
        <f>VLOOKUP(AV37,'DATABASE F&amp;B'!$C$3:$F$216,2,0)</f>
        <v>0</v>
      </c>
      <c r="AX37" s="18"/>
      <c r="AY37" s="19">
        <f>VLOOKUP(AV37,'DATABASE F&amp;B'!$C$3:$F$216,4,0)</f>
        <v>0</v>
      </c>
      <c r="AZ37" s="19">
        <f t="shared" si="78"/>
        <v>0</v>
      </c>
      <c r="BA37" s="16"/>
      <c r="BB37" s="17">
        <f>VLOOKUP(BA37,'DATABASE F&amp;B'!$C$3:$F$216,2,0)</f>
        <v>0</v>
      </c>
      <c r="BC37" s="18"/>
      <c r="BD37" s="19">
        <f>VLOOKUP(BA37,'DATABASE F&amp;B'!$C$3:$F$216,4,0)</f>
        <v>0</v>
      </c>
      <c r="BE37" s="19">
        <f t="shared" si="79"/>
        <v>0</v>
      </c>
      <c r="BF37" s="16"/>
      <c r="BG37" s="17">
        <f>VLOOKUP(BF37,'DATABASE F&amp;B'!$C$3:$F$216,2,0)</f>
        <v>0</v>
      </c>
      <c r="BH37" s="18"/>
      <c r="BI37" s="19">
        <f>VLOOKUP(BF37,'DATABASE F&amp;B'!$C$3:$F$216,4,0)</f>
        <v>0</v>
      </c>
      <c r="BJ37" s="19">
        <f t="shared" si="80"/>
        <v>0</v>
      </c>
      <c r="BK37" s="16"/>
      <c r="BL37" s="17">
        <f>VLOOKUP(BK37,'DATABASE F&amp;B'!$C$3:$F$210,2,0)</f>
        <v>0</v>
      </c>
      <c r="BM37" s="18"/>
      <c r="BN37" s="19">
        <f>VLOOKUP(BK37,'DATABASE F&amp;B'!$C$3:$F$210,4,0)</f>
        <v>0</v>
      </c>
      <c r="BO37" s="19">
        <f t="shared" si="81"/>
        <v>0</v>
      </c>
      <c r="BP37" s="16"/>
      <c r="BQ37" s="17">
        <f>VLOOKUP(BP37,'DATABASE F&amp;B'!$C$3:$F$210,2,0)</f>
        <v>0</v>
      </c>
      <c r="BR37" s="18"/>
      <c r="BS37" s="19">
        <f>VLOOKUP(BP37,'DATABASE F&amp;B'!$C$3:$F$210,4,0)</f>
        <v>0</v>
      </c>
      <c r="BT37" s="19">
        <f t="shared" si="82"/>
        <v>0</v>
      </c>
      <c r="BU37" s="16"/>
      <c r="BV37" s="17">
        <f>VLOOKUP(BU37,'DATABASE F&amp;B'!$C$3:$F$210,2,0)</f>
        <v>0</v>
      </c>
      <c r="BW37" s="18"/>
      <c r="BX37" s="19">
        <f>VLOOKUP(BU37,'DATABASE F&amp;B'!$C$3:$F$210,4,0)</f>
        <v>0</v>
      </c>
      <c r="BY37" s="19">
        <f t="shared" si="83"/>
        <v>0</v>
      </c>
      <c r="BZ37" s="16"/>
      <c r="CA37" s="17">
        <f>VLOOKUP(BZ37,'DATABASE F&amp;B'!$C$3:$F$210,2,0)</f>
        <v>0</v>
      </c>
      <c r="CB37" s="18"/>
      <c r="CC37" s="19">
        <f>VLOOKUP(BZ37,'DATABASE F&amp;B'!$C$3:$F$210,4,0)</f>
        <v>0</v>
      </c>
      <c r="CD37" s="19">
        <f t="shared" si="84"/>
        <v>0</v>
      </c>
    </row>
    <row r="38" spans="1:82" ht="13.5" x14ac:dyDescent="0.25">
      <c r="A38" s="32" t="str">
        <f t="shared" si="65"/>
        <v>05-'06-2026</v>
      </c>
      <c r="B38" s="22">
        <f t="shared" si="43"/>
        <v>34</v>
      </c>
      <c r="C38" s="22">
        <f t="shared" si="44"/>
        <v>34</v>
      </c>
      <c r="D38" s="34">
        <v>46148</v>
      </c>
      <c r="E38" s="35" t="s">
        <v>66</v>
      </c>
      <c r="F38" s="35" t="s">
        <v>202</v>
      </c>
      <c r="G38" s="52" t="s">
        <v>81</v>
      </c>
      <c r="H38" s="36" t="str">
        <f t="shared" si="23"/>
        <v>RJ-'060526-34</v>
      </c>
      <c r="I38" s="36" t="str">
        <f t="shared" si="66"/>
        <v>'06-05-2026</v>
      </c>
      <c r="J38" s="37" t="str">
        <f>VLOOKUP(D38,Laporan!$C$4:$D$34,2,0)</f>
        <v>Rabu</v>
      </c>
      <c r="K38" s="48"/>
      <c r="L38" s="13" t="s">
        <v>33</v>
      </c>
      <c r="M38" s="19">
        <f>SUMIF('DATABASE Room'!$B$3:$B$7,L38,'DATABASE Room'!$D$3:$D$7)</f>
        <v>0</v>
      </c>
      <c r="N38" s="13">
        <v>1</v>
      </c>
      <c r="O38" s="21">
        <f t="shared" si="67"/>
        <v>0</v>
      </c>
      <c r="P38" s="38"/>
      <c r="Q38" s="19">
        <f t="shared" si="68"/>
        <v>0</v>
      </c>
      <c r="R38" s="21">
        <f t="shared" si="69"/>
        <v>0</v>
      </c>
      <c r="S38" s="19">
        <f t="shared" si="70"/>
        <v>5</v>
      </c>
      <c r="T38" s="19">
        <f t="shared" si="71"/>
        <v>52000</v>
      </c>
      <c r="U38" s="21">
        <f t="shared" si="72"/>
        <v>52000</v>
      </c>
      <c r="V38" s="39"/>
      <c r="W38" s="16">
        <v>58</v>
      </c>
      <c r="X38" s="17" t="str">
        <f>VLOOKUP(W38,'DATABASE F&amp;B'!$C$3:$F$216,2,0)</f>
        <v>KOPSU REDJEKI</v>
      </c>
      <c r="Y38" s="18">
        <v>1</v>
      </c>
      <c r="Z38" s="19">
        <f>VLOOKUP(W38,'DATABASE F&amp;B'!$C$3:$F$216,4,0)</f>
        <v>29000</v>
      </c>
      <c r="AA38" s="19">
        <f t="shared" si="73"/>
        <v>29000</v>
      </c>
      <c r="AB38" s="16">
        <v>30</v>
      </c>
      <c r="AC38" s="17" t="str">
        <f>VLOOKUP(AB38,'DATABASE F&amp;B'!$C$3:$F$216,2,0)</f>
        <v>MENDOAN</v>
      </c>
      <c r="AD38" s="18">
        <v>1</v>
      </c>
      <c r="AE38" s="19">
        <f>VLOOKUP(AB38,'DATABASE F&amp;B'!$C$3:$F$216,4,0)</f>
        <v>23000</v>
      </c>
      <c r="AF38" s="19">
        <f t="shared" si="74"/>
        <v>23000</v>
      </c>
      <c r="AG38" s="16"/>
      <c r="AH38" s="17">
        <f>VLOOKUP(AG38,'DATABASE F&amp;B'!$C$3:$F$216,2,0)</f>
        <v>0</v>
      </c>
      <c r="AI38" s="18">
        <v>1</v>
      </c>
      <c r="AJ38" s="19">
        <f>VLOOKUP(AG38,'DATABASE F&amp;B'!$C$3:$F$216,4,0)</f>
        <v>0</v>
      </c>
      <c r="AK38" s="19">
        <f t="shared" si="75"/>
        <v>0</v>
      </c>
      <c r="AL38" s="16"/>
      <c r="AM38" s="17">
        <f>VLOOKUP(AL38,'DATABASE F&amp;B'!$C$3:$F$216,2,0)</f>
        <v>0</v>
      </c>
      <c r="AN38" s="18">
        <v>1</v>
      </c>
      <c r="AO38" s="19">
        <f>VLOOKUP(AL38,'DATABASE F&amp;B'!$C$3:$F$216,4,0)</f>
        <v>0</v>
      </c>
      <c r="AP38" s="19">
        <f t="shared" si="76"/>
        <v>0</v>
      </c>
      <c r="AQ38" s="16"/>
      <c r="AR38" s="17">
        <f>VLOOKUP(AQ38,'DATABASE F&amp;B'!$C$3:$F$216,2,0)</f>
        <v>0</v>
      </c>
      <c r="AS38" s="18">
        <v>1</v>
      </c>
      <c r="AT38" s="19">
        <f>VLOOKUP(AQ38,'DATABASE F&amp;B'!$C$3:$F$216,4,0)</f>
        <v>0</v>
      </c>
      <c r="AU38" s="19">
        <f t="shared" si="77"/>
        <v>0</v>
      </c>
      <c r="AV38" s="16"/>
      <c r="AW38" s="17">
        <f>VLOOKUP(AV38,'DATABASE F&amp;B'!$C$3:$F$216,2,0)</f>
        <v>0</v>
      </c>
      <c r="AX38" s="18"/>
      <c r="AY38" s="19">
        <f>VLOOKUP(AV38,'DATABASE F&amp;B'!$C$3:$F$216,4,0)</f>
        <v>0</v>
      </c>
      <c r="AZ38" s="19">
        <f t="shared" si="78"/>
        <v>0</v>
      </c>
      <c r="BA38" s="16"/>
      <c r="BB38" s="17">
        <f>VLOOKUP(BA38,'DATABASE F&amp;B'!$C$3:$F$216,2,0)</f>
        <v>0</v>
      </c>
      <c r="BC38" s="18"/>
      <c r="BD38" s="19">
        <f>VLOOKUP(BA38,'DATABASE F&amp;B'!$C$3:$F$216,4,0)</f>
        <v>0</v>
      </c>
      <c r="BE38" s="19">
        <f t="shared" si="79"/>
        <v>0</v>
      </c>
      <c r="BF38" s="16"/>
      <c r="BG38" s="17">
        <f>VLOOKUP(BF38,'DATABASE F&amp;B'!$C$3:$F$216,2,0)</f>
        <v>0</v>
      </c>
      <c r="BH38" s="18"/>
      <c r="BI38" s="19">
        <f>VLOOKUP(BF38,'DATABASE F&amp;B'!$C$3:$F$216,4,0)</f>
        <v>0</v>
      </c>
      <c r="BJ38" s="19">
        <f t="shared" si="80"/>
        <v>0</v>
      </c>
      <c r="BK38" s="16"/>
      <c r="BL38" s="17">
        <f>VLOOKUP(BK38,'DATABASE F&amp;B'!$C$3:$F$210,2,0)</f>
        <v>0</v>
      </c>
      <c r="BM38" s="18"/>
      <c r="BN38" s="19">
        <f>VLOOKUP(BK38,'DATABASE F&amp;B'!$C$3:$F$210,4,0)</f>
        <v>0</v>
      </c>
      <c r="BO38" s="19">
        <f t="shared" si="81"/>
        <v>0</v>
      </c>
      <c r="BP38" s="16"/>
      <c r="BQ38" s="17">
        <f>VLOOKUP(BP38,'DATABASE F&amp;B'!$C$3:$F$210,2,0)</f>
        <v>0</v>
      </c>
      <c r="BR38" s="18"/>
      <c r="BS38" s="19">
        <f>VLOOKUP(BP38,'DATABASE F&amp;B'!$C$3:$F$210,4,0)</f>
        <v>0</v>
      </c>
      <c r="BT38" s="19">
        <f t="shared" si="82"/>
        <v>0</v>
      </c>
      <c r="BU38" s="16"/>
      <c r="BV38" s="17">
        <f>VLOOKUP(BU38,'DATABASE F&amp;B'!$C$3:$F$210,2,0)</f>
        <v>0</v>
      </c>
      <c r="BW38" s="18"/>
      <c r="BX38" s="19">
        <f>VLOOKUP(BU38,'DATABASE F&amp;B'!$C$3:$F$210,4,0)</f>
        <v>0</v>
      </c>
      <c r="BY38" s="19">
        <f t="shared" si="83"/>
        <v>0</v>
      </c>
      <c r="BZ38" s="16"/>
      <c r="CA38" s="17">
        <f>VLOOKUP(BZ38,'DATABASE F&amp;B'!$C$3:$F$210,2,0)</f>
        <v>0</v>
      </c>
      <c r="CB38" s="18"/>
      <c r="CC38" s="19">
        <f>VLOOKUP(BZ38,'DATABASE F&amp;B'!$C$3:$F$210,4,0)</f>
        <v>0</v>
      </c>
      <c r="CD38" s="19">
        <f t="shared" si="84"/>
        <v>0</v>
      </c>
    </row>
    <row r="39" spans="1:82" ht="13.5" x14ac:dyDescent="0.25">
      <c r="A39" s="32" t="str">
        <f t="shared" si="65"/>
        <v>05-'06-2026</v>
      </c>
      <c r="B39" s="22">
        <f t="shared" si="43"/>
        <v>35</v>
      </c>
      <c r="C39" s="22">
        <f t="shared" si="44"/>
        <v>35</v>
      </c>
      <c r="D39" s="34">
        <v>46148</v>
      </c>
      <c r="E39" s="35" t="s">
        <v>66</v>
      </c>
      <c r="F39" s="35" t="s">
        <v>202</v>
      </c>
      <c r="G39" s="52" t="s">
        <v>81</v>
      </c>
      <c r="H39" s="36" t="str">
        <f t="shared" si="23"/>
        <v>RJ-'060526-35</v>
      </c>
      <c r="I39" s="36" t="str">
        <f t="shared" si="66"/>
        <v>'06-05-2026</v>
      </c>
      <c r="J39" s="37" t="str">
        <f>VLOOKUP(D39,Laporan!$C$4:$D$34,2,0)</f>
        <v>Rabu</v>
      </c>
      <c r="K39" s="48"/>
      <c r="L39" s="13" t="s">
        <v>33</v>
      </c>
      <c r="M39" s="19">
        <f>SUMIF('DATABASE Room'!$B$3:$B$7,L39,'DATABASE Room'!$D$3:$D$7)</f>
        <v>0</v>
      </c>
      <c r="N39" s="13">
        <v>1</v>
      </c>
      <c r="O39" s="21">
        <f t="shared" si="67"/>
        <v>0</v>
      </c>
      <c r="P39" s="38"/>
      <c r="Q39" s="19">
        <f t="shared" si="68"/>
        <v>0</v>
      </c>
      <c r="R39" s="21">
        <f t="shared" si="69"/>
        <v>0</v>
      </c>
      <c r="S39" s="19">
        <f t="shared" si="70"/>
        <v>5</v>
      </c>
      <c r="T39" s="19">
        <f t="shared" si="71"/>
        <v>27500</v>
      </c>
      <c r="U39" s="21">
        <f t="shared" si="72"/>
        <v>27500</v>
      </c>
      <c r="V39" s="39"/>
      <c r="W39" s="16">
        <v>59</v>
      </c>
      <c r="X39" s="17" t="str">
        <f>VLOOKUP(W39,'DATABASE F&amp;B'!$C$3:$F$216,2,0)</f>
        <v>KOPI AMERICANO</v>
      </c>
      <c r="Y39" s="18">
        <v>1</v>
      </c>
      <c r="Z39" s="19">
        <f>VLOOKUP(W39,'DATABASE F&amp;B'!$C$3:$F$216,4,0)</f>
        <v>27500</v>
      </c>
      <c r="AA39" s="19">
        <f t="shared" si="73"/>
        <v>27500</v>
      </c>
      <c r="AB39" s="16"/>
      <c r="AC39" s="17">
        <f>VLOOKUP(AB39,'DATABASE F&amp;B'!$C$3:$F$216,2,0)</f>
        <v>0</v>
      </c>
      <c r="AD39" s="18">
        <v>1</v>
      </c>
      <c r="AE39" s="19">
        <f>VLOOKUP(AB39,'DATABASE F&amp;B'!$C$3:$F$216,4,0)</f>
        <v>0</v>
      </c>
      <c r="AF39" s="19">
        <f t="shared" si="74"/>
        <v>0</v>
      </c>
      <c r="AG39" s="16"/>
      <c r="AH39" s="17">
        <f>VLOOKUP(AG39,'DATABASE F&amp;B'!$C$3:$F$216,2,0)</f>
        <v>0</v>
      </c>
      <c r="AI39" s="18">
        <v>1</v>
      </c>
      <c r="AJ39" s="19">
        <f>VLOOKUP(AG39,'DATABASE F&amp;B'!$C$3:$F$216,4,0)</f>
        <v>0</v>
      </c>
      <c r="AK39" s="19">
        <f t="shared" si="75"/>
        <v>0</v>
      </c>
      <c r="AL39" s="16"/>
      <c r="AM39" s="17">
        <f>VLOOKUP(AL39,'DATABASE F&amp;B'!$C$3:$F$216,2,0)</f>
        <v>0</v>
      </c>
      <c r="AN39" s="18">
        <v>1</v>
      </c>
      <c r="AO39" s="19">
        <f>VLOOKUP(AL39,'DATABASE F&amp;B'!$C$3:$F$216,4,0)</f>
        <v>0</v>
      </c>
      <c r="AP39" s="19">
        <f t="shared" si="76"/>
        <v>0</v>
      </c>
      <c r="AQ39" s="16"/>
      <c r="AR39" s="17">
        <f>VLOOKUP(AQ39,'DATABASE F&amp;B'!$C$3:$F$216,2,0)</f>
        <v>0</v>
      </c>
      <c r="AS39" s="18">
        <v>1</v>
      </c>
      <c r="AT39" s="19">
        <f>VLOOKUP(AQ39,'DATABASE F&amp;B'!$C$3:$F$216,4,0)</f>
        <v>0</v>
      </c>
      <c r="AU39" s="19">
        <f t="shared" si="77"/>
        <v>0</v>
      </c>
      <c r="AV39" s="16"/>
      <c r="AW39" s="17">
        <f>VLOOKUP(AV39,'DATABASE F&amp;B'!$C$3:$F$216,2,0)</f>
        <v>0</v>
      </c>
      <c r="AX39" s="18"/>
      <c r="AY39" s="19">
        <f>VLOOKUP(AV39,'DATABASE F&amp;B'!$C$3:$F$216,4,0)</f>
        <v>0</v>
      </c>
      <c r="AZ39" s="19">
        <f t="shared" si="78"/>
        <v>0</v>
      </c>
      <c r="BA39" s="16"/>
      <c r="BB39" s="17">
        <f>VLOOKUP(BA39,'DATABASE F&amp;B'!$C$3:$F$216,2,0)</f>
        <v>0</v>
      </c>
      <c r="BC39" s="18"/>
      <c r="BD39" s="19">
        <f>VLOOKUP(BA39,'DATABASE F&amp;B'!$C$3:$F$216,4,0)</f>
        <v>0</v>
      </c>
      <c r="BE39" s="19">
        <f t="shared" si="79"/>
        <v>0</v>
      </c>
      <c r="BF39" s="16"/>
      <c r="BG39" s="17">
        <f>VLOOKUP(BF39,'DATABASE F&amp;B'!$C$3:$F$216,2,0)</f>
        <v>0</v>
      </c>
      <c r="BH39" s="18"/>
      <c r="BI39" s="19">
        <f>VLOOKUP(BF39,'DATABASE F&amp;B'!$C$3:$F$216,4,0)</f>
        <v>0</v>
      </c>
      <c r="BJ39" s="19">
        <f t="shared" si="80"/>
        <v>0</v>
      </c>
      <c r="BK39" s="16"/>
      <c r="BL39" s="17">
        <f>VLOOKUP(BK39,'DATABASE F&amp;B'!$C$3:$F$210,2,0)</f>
        <v>0</v>
      </c>
      <c r="BM39" s="18"/>
      <c r="BN39" s="19">
        <f>VLOOKUP(BK39,'DATABASE F&amp;B'!$C$3:$F$210,4,0)</f>
        <v>0</v>
      </c>
      <c r="BO39" s="19">
        <f t="shared" si="81"/>
        <v>0</v>
      </c>
      <c r="BP39" s="16"/>
      <c r="BQ39" s="17">
        <f>VLOOKUP(BP39,'DATABASE F&amp;B'!$C$3:$F$210,2,0)</f>
        <v>0</v>
      </c>
      <c r="BR39" s="18"/>
      <c r="BS39" s="19">
        <f>VLOOKUP(BP39,'DATABASE F&amp;B'!$C$3:$F$210,4,0)</f>
        <v>0</v>
      </c>
      <c r="BT39" s="19">
        <f t="shared" si="82"/>
        <v>0</v>
      </c>
      <c r="BU39" s="16"/>
      <c r="BV39" s="17">
        <f>VLOOKUP(BU39,'DATABASE F&amp;B'!$C$3:$F$210,2,0)</f>
        <v>0</v>
      </c>
      <c r="BW39" s="18"/>
      <c r="BX39" s="19">
        <f>VLOOKUP(BU39,'DATABASE F&amp;B'!$C$3:$F$210,4,0)</f>
        <v>0</v>
      </c>
      <c r="BY39" s="19">
        <f t="shared" si="83"/>
        <v>0</v>
      </c>
      <c r="BZ39" s="16"/>
      <c r="CA39" s="17">
        <f>VLOOKUP(BZ39,'DATABASE F&amp;B'!$C$3:$F$210,2,0)</f>
        <v>0</v>
      </c>
      <c r="CB39" s="18"/>
      <c r="CC39" s="19">
        <f>VLOOKUP(BZ39,'DATABASE F&amp;B'!$C$3:$F$210,4,0)</f>
        <v>0</v>
      </c>
      <c r="CD39" s="19">
        <f t="shared" si="84"/>
        <v>0</v>
      </c>
    </row>
    <row r="40" spans="1:82" ht="13.5" x14ac:dyDescent="0.25">
      <c r="A40" s="32" t="str">
        <f t="shared" si="65"/>
        <v>05-'06-2026</v>
      </c>
      <c r="B40" s="22">
        <f t="shared" si="43"/>
        <v>36</v>
      </c>
      <c r="C40" s="22">
        <f t="shared" si="44"/>
        <v>36</v>
      </c>
      <c r="D40" s="34">
        <v>46148</v>
      </c>
      <c r="E40" s="35" t="s">
        <v>66</v>
      </c>
      <c r="F40" s="35" t="s">
        <v>202</v>
      </c>
      <c r="G40" s="52" t="s">
        <v>81</v>
      </c>
      <c r="H40" s="36" t="str">
        <f t="shared" si="23"/>
        <v>RJ-'060526-36</v>
      </c>
      <c r="I40" s="36" t="str">
        <f t="shared" si="66"/>
        <v>'06-05-2026</v>
      </c>
      <c r="J40" s="37" t="str">
        <f>VLOOKUP(D40,Laporan!$C$4:$D$34,2,0)</f>
        <v>Rabu</v>
      </c>
      <c r="K40" s="48"/>
      <c r="L40" s="13" t="s">
        <v>33</v>
      </c>
      <c r="M40" s="19">
        <f>SUMIF('DATABASE Room'!$B$3:$B$7,L40,'DATABASE Room'!$D$3:$D$7)</f>
        <v>0</v>
      </c>
      <c r="N40" s="13">
        <v>1</v>
      </c>
      <c r="O40" s="21">
        <f t="shared" si="67"/>
        <v>0</v>
      </c>
      <c r="P40" s="38"/>
      <c r="Q40" s="19">
        <f t="shared" si="68"/>
        <v>0</v>
      </c>
      <c r="R40" s="21">
        <f t="shared" si="69"/>
        <v>0</v>
      </c>
      <c r="S40" s="19">
        <f t="shared" si="70"/>
        <v>5</v>
      </c>
      <c r="T40" s="19">
        <f t="shared" si="71"/>
        <v>30000</v>
      </c>
      <c r="U40" s="21">
        <f t="shared" si="72"/>
        <v>30000</v>
      </c>
      <c r="V40" s="39"/>
      <c r="W40" s="16">
        <v>60</v>
      </c>
      <c r="X40" s="17" t="str">
        <f>VLOOKUP(W40,'DATABASE F&amp;B'!$C$3:$F$216,2,0)</f>
        <v>ANKER PINEAPPLE 330 ML</v>
      </c>
      <c r="Y40" s="18">
        <v>1</v>
      </c>
      <c r="Z40" s="19">
        <f>VLOOKUP(W40,'DATABASE F&amp;B'!$C$3:$F$216,4,0)</f>
        <v>30000</v>
      </c>
      <c r="AA40" s="19">
        <f t="shared" si="73"/>
        <v>30000</v>
      </c>
      <c r="AB40" s="16"/>
      <c r="AC40" s="17">
        <f>VLOOKUP(AB40,'DATABASE F&amp;B'!$C$3:$F$216,2,0)</f>
        <v>0</v>
      </c>
      <c r="AD40" s="18">
        <v>1</v>
      </c>
      <c r="AE40" s="19">
        <f>VLOOKUP(AB40,'DATABASE F&amp;B'!$C$3:$F$216,4,0)</f>
        <v>0</v>
      </c>
      <c r="AF40" s="19">
        <f t="shared" si="74"/>
        <v>0</v>
      </c>
      <c r="AG40" s="16"/>
      <c r="AH40" s="17">
        <f>VLOOKUP(AG40,'DATABASE F&amp;B'!$C$3:$F$216,2,0)</f>
        <v>0</v>
      </c>
      <c r="AI40" s="18">
        <v>1</v>
      </c>
      <c r="AJ40" s="19">
        <f>VLOOKUP(AG40,'DATABASE F&amp;B'!$C$3:$F$216,4,0)</f>
        <v>0</v>
      </c>
      <c r="AK40" s="19">
        <f t="shared" si="75"/>
        <v>0</v>
      </c>
      <c r="AL40" s="16"/>
      <c r="AM40" s="17">
        <f>VLOOKUP(AL40,'DATABASE F&amp;B'!$C$3:$F$216,2,0)</f>
        <v>0</v>
      </c>
      <c r="AN40" s="18">
        <v>1</v>
      </c>
      <c r="AO40" s="19">
        <f>VLOOKUP(AL40,'DATABASE F&amp;B'!$C$3:$F$216,4,0)</f>
        <v>0</v>
      </c>
      <c r="AP40" s="19">
        <f t="shared" si="76"/>
        <v>0</v>
      </c>
      <c r="AQ40" s="16"/>
      <c r="AR40" s="17">
        <f>VLOOKUP(AQ40,'DATABASE F&amp;B'!$C$3:$F$216,2,0)</f>
        <v>0</v>
      </c>
      <c r="AS40" s="18">
        <v>1</v>
      </c>
      <c r="AT40" s="19">
        <f>VLOOKUP(AQ40,'DATABASE F&amp;B'!$C$3:$F$216,4,0)</f>
        <v>0</v>
      </c>
      <c r="AU40" s="19">
        <f t="shared" si="77"/>
        <v>0</v>
      </c>
      <c r="AV40" s="16"/>
      <c r="AW40" s="17">
        <f>VLOOKUP(AV40,'DATABASE F&amp;B'!$C$3:$F$216,2,0)</f>
        <v>0</v>
      </c>
      <c r="AX40" s="18"/>
      <c r="AY40" s="19">
        <f>VLOOKUP(AV40,'DATABASE F&amp;B'!$C$3:$F$216,4,0)</f>
        <v>0</v>
      </c>
      <c r="AZ40" s="19">
        <f t="shared" si="78"/>
        <v>0</v>
      </c>
      <c r="BA40" s="16"/>
      <c r="BB40" s="17">
        <f>VLOOKUP(BA40,'DATABASE F&amp;B'!$C$3:$F$216,2,0)</f>
        <v>0</v>
      </c>
      <c r="BC40" s="18"/>
      <c r="BD40" s="19">
        <f>VLOOKUP(BA40,'DATABASE F&amp;B'!$C$3:$F$216,4,0)</f>
        <v>0</v>
      </c>
      <c r="BE40" s="19">
        <f t="shared" si="79"/>
        <v>0</v>
      </c>
      <c r="BF40" s="16"/>
      <c r="BG40" s="17">
        <f>VLOOKUP(BF40,'DATABASE F&amp;B'!$C$3:$F$216,2,0)</f>
        <v>0</v>
      </c>
      <c r="BH40" s="18"/>
      <c r="BI40" s="19">
        <f>VLOOKUP(BF40,'DATABASE F&amp;B'!$C$3:$F$216,4,0)</f>
        <v>0</v>
      </c>
      <c r="BJ40" s="19">
        <f t="shared" si="80"/>
        <v>0</v>
      </c>
      <c r="BK40" s="16"/>
      <c r="BL40" s="17">
        <f>VLOOKUP(BK40,'DATABASE F&amp;B'!$C$3:$F$210,2,0)</f>
        <v>0</v>
      </c>
      <c r="BM40" s="18"/>
      <c r="BN40" s="19">
        <f>VLOOKUP(BK40,'DATABASE F&amp;B'!$C$3:$F$210,4,0)</f>
        <v>0</v>
      </c>
      <c r="BO40" s="19">
        <f t="shared" si="81"/>
        <v>0</v>
      </c>
      <c r="BP40" s="16"/>
      <c r="BQ40" s="17">
        <f>VLOOKUP(BP40,'DATABASE F&amp;B'!$C$3:$F$210,2,0)</f>
        <v>0</v>
      </c>
      <c r="BR40" s="18"/>
      <c r="BS40" s="19">
        <f>VLOOKUP(BP40,'DATABASE F&amp;B'!$C$3:$F$210,4,0)</f>
        <v>0</v>
      </c>
      <c r="BT40" s="19">
        <f t="shared" si="82"/>
        <v>0</v>
      </c>
      <c r="BU40" s="16"/>
      <c r="BV40" s="17">
        <f>VLOOKUP(BU40,'DATABASE F&amp;B'!$C$3:$F$210,2,0)</f>
        <v>0</v>
      </c>
      <c r="BW40" s="18"/>
      <c r="BX40" s="19">
        <f>VLOOKUP(BU40,'DATABASE F&amp;B'!$C$3:$F$210,4,0)</f>
        <v>0</v>
      </c>
      <c r="BY40" s="19">
        <f t="shared" si="83"/>
        <v>0</v>
      </c>
      <c r="BZ40" s="16"/>
      <c r="CA40" s="17">
        <f>VLOOKUP(BZ40,'DATABASE F&amp;B'!$C$3:$F$210,2,0)</f>
        <v>0</v>
      </c>
      <c r="CB40" s="18"/>
      <c r="CC40" s="19">
        <f>VLOOKUP(BZ40,'DATABASE F&amp;B'!$C$3:$F$210,4,0)</f>
        <v>0</v>
      </c>
      <c r="CD40" s="19">
        <f t="shared" si="84"/>
        <v>0</v>
      </c>
    </row>
    <row r="41" spans="1:82" ht="13.5" x14ac:dyDescent="0.25">
      <c r="A41" s="32" t="str">
        <f t="shared" si="65"/>
        <v>05-'06-2026</v>
      </c>
      <c r="B41" s="22">
        <f t="shared" si="43"/>
        <v>37</v>
      </c>
      <c r="C41" s="22">
        <f t="shared" si="44"/>
        <v>37</v>
      </c>
      <c r="D41" s="34">
        <v>46148</v>
      </c>
      <c r="E41" s="35" t="s">
        <v>66</v>
      </c>
      <c r="F41" s="35" t="s">
        <v>202</v>
      </c>
      <c r="G41" s="52" t="s">
        <v>81</v>
      </c>
      <c r="H41" s="36" t="str">
        <f t="shared" si="23"/>
        <v>RJ-'060526-37</v>
      </c>
      <c r="I41" s="36" t="str">
        <f t="shared" si="66"/>
        <v>'06-05-2026</v>
      </c>
      <c r="J41" s="37" t="str">
        <f>VLOOKUP(D41,Laporan!$C$4:$D$34,2,0)</f>
        <v>Rabu</v>
      </c>
      <c r="K41" s="48"/>
      <c r="L41" s="13" t="s">
        <v>33</v>
      </c>
      <c r="M41" s="19">
        <f>SUMIF('DATABASE Room'!$B$3:$B$7,L41,'DATABASE Room'!$D$3:$D$7)</f>
        <v>0</v>
      </c>
      <c r="N41" s="13">
        <v>1</v>
      </c>
      <c r="O41" s="21">
        <f t="shared" si="67"/>
        <v>0</v>
      </c>
      <c r="P41" s="38"/>
      <c r="Q41" s="19">
        <f t="shared" si="68"/>
        <v>0</v>
      </c>
      <c r="R41" s="21">
        <f t="shared" si="69"/>
        <v>0</v>
      </c>
      <c r="S41" s="19">
        <f t="shared" si="70"/>
        <v>5</v>
      </c>
      <c r="T41" s="19">
        <f t="shared" si="71"/>
        <v>30000</v>
      </c>
      <c r="U41" s="21">
        <f t="shared" si="72"/>
        <v>30000</v>
      </c>
      <c r="V41" s="39"/>
      <c r="W41" s="16">
        <v>61</v>
      </c>
      <c r="X41" s="17" t="str">
        <f>VLOOKUP(W41,'DATABASE F&amp;B'!$C$3:$F$216,2,0)</f>
        <v>ANKER PINT</v>
      </c>
      <c r="Y41" s="18">
        <v>1</v>
      </c>
      <c r="Z41" s="19">
        <f>VLOOKUP(W41,'DATABASE F&amp;B'!$C$3:$F$216,4,0)</f>
        <v>30000</v>
      </c>
      <c r="AA41" s="19">
        <f t="shared" si="73"/>
        <v>30000</v>
      </c>
      <c r="AB41" s="16"/>
      <c r="AC41" s="17">
        <f>VLOOKUP(AB41,'DATABASE F&amp;B'!$C$3:$F$216,2,0)</f>
        <v>0</v>
      </c>
      <c r="AD41" s="18">
        <v>1</v>
      </c>
      <c r="AE41" s="19">
        <f>VLOOKUP(AB41,'DATABASE F&amp;B'!$C$3:$F$216,4,0)</f>
        <v>0</v>
      </c>
      <c r="AF41" s="19">
        <f t="shared" si="74"/>
        <v>0</v>
      </c>
      <c r="AG41" s="16"/>
      <c r="AH41" s="17">
        <f>VLOOKUP(AG41,'DATABASE F&amp;B'!$C$3:$F$216,2,0)</f>
        <v>0</v>
      </c>
      <c r="AI41" s="18">
        <v>1</v>
      </c>
      <c r="AJ41" s="19">
        <f>VLOOKUP(AG41,'DATABASE F&amp;B'!$C$3:$F$216,4,0)</f>
        <v>0</v>
      </c>
      <c r="AK41" s="19">
        <f t="shared" si="75"/>
        <v>0</v>
      </c>
      <c r="AL41" s="16"/>
      <c r="AM41" s="17">
        <f>VLOOKUP(AL41,'DATABASE F&amp;B'!$C$3:$F$216,2,0)</f>
        <v>0</v>
      </c>
      <c r="AN41" s="18">
        <v>1</v>
      </c>
      <c r="AO41" s="19">
        <f>VLOOKUP(AL41,'DATABASE F&amp;B'!$C$3:$F$216,4,0)</f>
        <v>0</v>
      </c>
      <c r="AP41" s="19">
        <f t="shared" si="76"/>
        <v>0</v>
      </c>
      <c r="AQ41" s="16"/>
      <c r="AR41" s="17">
        <f>VLOOKUP(AQ41,'DATABASE F&amp;B'!$C$3:$F$216,2,0)</f>
        <v>0</v>
      </c>
      <c r="AS41" s="18">
        <v>1</v>
      </c>
      <c r="AT41" s="19">
        <f>VLOOKUP(AQ41,'DATABASE F&amp;B'!$C$3:$F$216,4,0)</f>
        <v>0</v>
      </c>
      <c r="AU41" s="19">
        <f t="shared" si="77"/>
        <v>0</v>
      </c>
      <c r="AV41" s="16"/>
      <c r="AW41" s="17">
        <f>VLOOKUP(AV41,'DATABASE F&amp;B'!$C$3:$F$216,2,0)</f>
        <v>0</v>
      </c>
      <c r="AX41" s="18"/>
      <c r="AY41" s="19">
        <f>VLOOKUP(AV41,'DATABASE F&amp;B'!$C$3:$F$216,4,0)</f>
        <v>0</v>
      </c>
      <c r="AZ41" s="19">
        <f t="shared" si="78"/>
        <v>0</v>
      </c>
      <c r="BA41" s="16"/>
      <c r="BB41" s="17">
        <f>VLOOKUP(BA41,'DATABASE F&amp;B'!$C$3:$F$216,2,0)</f>
        <v>0</v>
      </c>
      <c r="BC41" s="18"/>
      <c r="BD41" s="19">
        <f>VLOOKUP(BA41,'DATABASE F&amp;B'!$C$3:$F$216,4,0)</f>
        <v>0</v>
      </c>
      <c r="BE41" s="19">
        <f t="shared" si="79"/>
        <v>0</v>
      </c>
      <c r="BF41" s="16"/>
      <c r="BG41" s="17">
        <f>VLOOKUP(BF41,'DATABASE F&amp;B'!$C$3:$F$216,2,0)</f>
        <v>0</v>
      </c>
      <c r="BH41" s="18"/>
      <c r="BI41" s="19">
        <f>VLOOKUP(BF41,'DATABASE F&amp;B'!$C$3:$F$216,4,0)</f>
        <v>0</v>
      </c>
      <c r="BJ41" s="19">
        <f t="shared" si="80"/>
        <v>0</v>
      </c>
      <c r="BK41" s="16"/>
      <c r="BL41" s="17">
        <f>VLOOKUP(BK41,'DATABASE F&amp;B'!$C$3:$F$210,2,0)</f>
        <v>0</v>
      </c>
      <c r="BM41" s="18"/>
      <c r="BN41" s="19">
        <f>VLOOKUP(BK41,'DATABASE F&amp;B'!$C$3:$F$210,4,0)</f>
        <v>0</v>
      </c>
      <c r="BO41" s="19">
        <f t="shared" si="81"/>
        <v>0</v>
      </c>
      <c r="BP41" s="16"/>
      <c r="BQ41" s="17">
        <f>VLOOKUP(BP41,'DATABASE F&amp;B'!$C$3:$F$210,2,0)</f>
        <v>0</v>
      </c>
      <c r="BR41" s="18"/>
      <c r="BS41" s="19">
        <f>VLOOKUP(BP41,'DATABASE F&amp;B'!$C$3:$F$210,4,0)</f>
        <v>0</v>
      </c>
      <c r="BT41" s="19">
        <f t="shared" si="82"/>
        <v>0</v>
      </c>
      <c r="BU41" s="16"/>
      <c r="BV41" s="17">
        <f>VLOOKUP(BU41,'DATABASE F&amp;B'!$C$3:$F$210,2,0)</f>
        <v>0</v>
      </c>
      <c r="BW41" s="18"/>
      <c r="BX41" s="19">
        <f>VLOOKUP(BU41,'DATABASE F&amp;B'!$C$3:$F$210,4,0)</f>
        <v>0</v>
      </c>
      <c r="BY41" s="19">
        <f t="shared" si="83"/>
        <v>0</v>
      </c>
      <c r="BZ41" s="16"/>
      <c r="CA41" s="17">
        <f>VLOOKUP(BZ41,'DATABASE F&amp;B'!$C$3:$F$210,2,0)</f>
        <v>0</v>
      </c>
      <c r="CB41" s="18"/>
      <c r="CC41" s="19">
        <f>VLOOKUP(BZ41,'DATABASE F&amp;B'!$C$3:$F$210,4,0)</f>
        <v>0</v>
      </c>
      <c r="CD41" s="19">
        <f t="shared" si="84"/>
        <v>0</v>
      </c>
    </row>
    <row r="42" spans="1:82" ht="13.5" x14ac:dyDescent="0.25">
      <c r="A42" s="32" t="str">
        <f t="shared" si="65"/>
        <v>05-'07-2026</v>
      </c>
      <c r="B42" s="22">
        <f t="shared" si="43"/>
        <v>38</v>
      </c>
      <c r="C42" s="22">
        <f t="shared" si="44"/>
        <v>38</v>
      </c>
      <c r="D42" s="34">
        <v>46149</v>
      </c>
      <c r="E42" s="35" t="s">
        <v>67</v>
      </c>
      <c r="F42" s="35" t="s">
        <v>202</v>
      </c>
      <c r="G42" s="52" t="s">
        <v>81</v>
      </c>
      <c r="H42" s="36" t="str">
        <f t="shared" si="23"/>
        <v>RJ-'070526-38</v>
      </c>
      <c r="I42" s="36" t="str">
        <f t="shared" si="66"/>
        <v>'07-05-2026</v>
      </c>
      <c r="J42" s="37" t="str">
        <f>VLOOKUP(D42,Laporan!$C$4:$D$34,2,0)</f>
        <v>Kamis</v>
      </c>
      <c r="K42" s="48"/>
      <c r="L42" s="13" t="s">
        <v>33</v>
      </c>
      <c r="M42" s="19">
        <f>SUMIF('DATABASE Room'!$B$3:$B$7,L42,'DATABASE Room'!$D$3:$D$7)</f>
        <v>0</v>
      </c>
      <c r="N42" s="13">
        <v>1</v>
      </c>
      <c r="O42" s="21">
        <f t="shared" si="67"/>
        <v>0</v>
      </c>
      <c r="P42" s="38"/>
      <c r="Q42" s="19">
        <f t="shared" si="68"/>
        <v>0</v>
      </c>
      <c r="R42" s="21">
        <f t="shared" si="69"/>
        <v>0</v>
      </c>
      <c r="S42" s="19">
        <f t="shared" si="70"/>
        <v>5</v>
      </c>
      <c r="T42" s="19">
        <f t="shared" si="71"/>
        <v>35000</v>
      </c>
      <c r="U42" s="21">
        <f t="shared" si="72"/>
        <v>35000</v>
      </c>
      <c r="V42" s="39"/>
      <c r="W42" s="16">
        <v>62</v>
      </c>
      <c r="X42" s="17" t="str">
        <f>VLOOKUP(W42,'DATABASE F&amp;B'!$C$3:$F$216,2,0)</f>
        <v>ANKER PILSENER PINT 330 ML</v>
      </c>
      <c r="Y42" s="18">
        <v>1</v>
      </c>
      <c r="Z42" s="19">
        <f>VLOOKUP(W42,'DATABASE F&amp;B'!$C$3:$F$216,4,0)</f>
        <v>35000</v>
      </c>
      <c r="AA42" s="19">
        <f t="shared" si="73"/>
        <v>35000</v>
      </c>
      <c r="AB42" s="16"/>
      <c r="AC42" s="17">
        <f>VLOOKUP(AB42,'DATABASE F&amp;B'!$C$3:$F$216,2,0)</f>
        <v>0</v>
      </c>
      <c r="AD42" s="18">
        <v>1</v>
      </c>
      <c r="AE42" s="19">
        <f>VLOOKUP(AB42,'DATABASE F&amp;B'!$C$3:$F$216,4,0)</f>
        <v>0</v>
      </c>
      <c r="AF42" s="19">
        <f t="shared" si="74"/>
        <v>0</v>
      </c>
      <c r="AG42" s="16"/>
      <c r="AH42" s="17">
        <f>VLOOKUP(AG42,'DATABASE F&amp;B'!$C$3:$F$216,2,0)</f>
        <v>0</v>
      </c>
      <c r="AI42" s="18">
        <v>1</v>
      </c>
      <c r="AJ42" s="19">
        <f>VLOOKUP(AG42,'DATABASE F&amp;B'!$C$3:$F$216,4,0)</f>
        <v>0</v>
      </c>
      <c r="AK42" s="19">
        <f t="shared" si="75"/>
        <v>0</v>
      </c>
      <c r="AL42" s="16"/>
      <c r="AM42" s="17">
        <f>VLOOKUP(AL42,'DATABASE F&amp;B'!$C$3:$F$216,2,0)</f>
        <v>0</v>
      </c>
      <c r="AN42" s="18">
        <v>1</v>
      </c>
      <c r="AO42" s="19">
        <f>VLOOKUP(AL42,'DATABASE F&amp;B'!$C$3:$F$216,4,0)</f>
        <v>0</v>
      </c>
      <c r="AP42" s="19">
        <f t="shared" si="76"/>
        <v>0</v>
      </c>
      <c r="AQ42" s="16"/>
      <c r="AR42" s="17">
        <f>VLOOKUP(AQ42,'DATABASE F&amp;B'!$C$3:$F$216,2,0)</f>
        <v>0</v>
      </c>
      <c r="AS42" s="18">
        <v>1</v>
      </c>
      <c r="AT42" s="19">
        <f>VLOOKUP(AQ42,'DATABASE F&amp;B'!$C$3:$F$216,4,0)</f>
        <v>0</v>
      </c>
      <c r="AU42" s="19">
        <f t="shared" si="77"/>
        <v>0</v>
      </c>
      <c r="AV42" s="16"/>
      <c r="AW42" s="17">
        <f>VLOOKUP(AV42,'DATABASE F&amp;B'!$C$3:$F$216,2,0)</f>
        <v>0</v>
      </c>
      <c r="AX42" s="18"/>
      <c r="AY42" s="19">
        <f>VLOOKUP(AV42,'DATABASE F&amp;B'!$C$3:$F$216,4,0)</f>
        <v>0</v>
      </c>
      <c r="AZ42" s="19">
        <f t="shared" si="78"/>
        <v>0</v>
      </c>
      <c r="BA42" s="16"/>
      <c r="BB42" s="17">
        <f>VLOOKUP(BA42,'DATABASE F&amp;B'!$C$3:$F$216,2,0)</f>
        <v>0</v>
      </c>
      <c r="BC42" s="18"/>
      <c r="BD42" s="19">
        <f>VLOOKUP(BA42,'DATABASE F&amp;B'!$C$3:$F$216,4,0)</f>
        <v>0</v>
      </c>
      <c r="BE42" s="19">
        <f t="shared" si="79"/>
        <v>0</v>
      </c>
      <c r="BF42" s="16"/>
      <c r="BG42" s="17">
        <f>VLOOKUP(BF42,'DATABASE F&amp;B'!$C$3:$F$216,2,0)</f>
        <v>0</v>
      </c>
      <c r="BH42" s="18"/>
      <c r="BI42" s="19">
        <f>VLOOKUP(BF42,'DATABASE F&amp;B'!$C$3:$F$216,4,0)</f>
        <v>0</v>
      </c>
      <c r="BJ42" s="19">
        <f t="shared" si="80"/>
        <v>0</v>
      </c>
      <c r="BK42" s="16"/>
      <c r="BL42" s="17">
        <f>VLOOKUP(BK42,'DATABASE F&amp;B'!$C$3:$F$210,2,0)</f>
        <v>0</v>
      </c>
      <c r="BM42" s="18"/>
      <c r="BN42" s="19">
        <f>VLOOKUP(BK42,'DATABASE F&amp;B'!$C$3:$F$210,4,0)</f>
        <v>0</v>
      </c>
      <c r="BO42" s="19">
        <f t="shared" si="81"/>
        <v>0</v>
      </c>
      <c r="BP42" s="16"/>
      <c r="BQ42" s="17">
        <f>VLOOKUP(BP42,'DATABASE F&amp;B'!$C$3:$F$210,2,0)</f>
        <v>0</v>
      </c>
      <c r="BR42" s="18"/>
      <c r="BS42" s="19">
        <f>VLOOKUP(BP42,'DATABASE F&amp;B'!$C$3:$F$210,4,0)</f>
        <v>0</v>
      </c>
      <c r="BT42" s="19">
        <f t="shared" si="82"/>
        <v>0</v>
      </c>
      <c r="BU42" s="16"/>
      <c r="BV42" s="17">
        <f>VLOOKUP(BU42,'DATABASE F&amp;B'!$C$3:$F$210,2,0)</f>
        <v>0</v>
      </c>
      <c r="BW42" s="18"/>
      <c r="BX42" s="19">
        <f>VLOOKUP(BU42,'DATABASE F&amp;B'!$C$3:$F$210,4,0)</f>
        <v>0</v>
      </c>
      <c r="BY42" s="19">
        <f t="shared" si="83"/>
        <v>0</v>
      </c>
      <c r="BZ42" s="16"/>
      <c r="CA42" s="17">
        <f>VLOOKUP(BZ42,'DATABASE F&amp;B'!$C$3:$F$210,2,0)</f>
        <v>0</v>
      </c>
      <c r="CB42" s="18"/>
      <c r="CC42" s="19">
        <f>VLOOKUP(BZ42,'DATABASE F&amp;B'!$C$3:$F$210,4,0)</f>
        <v>0</v>
      </c>
      <c r="CD42" s="19">
        <f t="shared" si="84"/>
        <v>0</v>
      </c>
    </row>
    <row r="43" spans="1:82" ht="13.5" x14ac:dyDescent="0.25">
      <c r="A43" s="32" t="str">
        <f t="shared" ref="A43:A44" si="85">CONCATENATE(F43,"-",E43,"-20",G43)</f>
        <v>05-'07-2026</v>
      </c>
      <c r="B43" s="22">
        <f t="shared" si="43"/>
        <v>39</v>
      </c>
      <c r="C43" s="22">
        <f t="shared" si="44"/>
        <v>39</v>
      </c>
      <c r="D43" s="34">
        <v>46149</v>
      </c>
      <c r="E43" s="35" t="s">
        <v>67</v>
      </c>
      <c r="F43" s="35" t="s">
        <v>202</v>
      </c>
      <c r="G43" s="52" t="s">
        <v>81</v>
      </c>
      <c r="H43" s="36" t="str">
        <f t="shared" si="23"/>
        <v>RJ-'070526-39</v>
      </c>
      <c r="I43" s="36" t="str">
        <f t="shared" ref="I43:I44" si="86">CONCATENATE(E43,"-",F43,"-20",G43)</f>
        <v>'07-05-2026</v>
      </c>
      <c r="J43" s="37" t="str">
        <f>VLOOKUP(D43,Laporan!$C$4:$D$34,2,0)</f>
        <v>Kamis</v>
      </c>
      <c r="K43" s="48"/>
      <c r="L43" s="13" t="s">
        <v>33</v>
      </c>
      <c r="M43" s="19">
        <f>SUMIF('DATABASE Room'!$B$3:$B$7,L43,'DATABASE Room'!$D$3:$D$7)</f>
        <v>0</v>
      </c>
      <c r="N43" s="13">
        <v>1</v>
      </c>
      <c r="O43" s="21">
        <f t="shared" ref="O43:O44" si="87">N43*M43</f>
        <v>0</v>
      </c>
      <c r="P43" s="38"/>
      <c r="Q43" s="19">
        <f t="shared" ref="Q43:Q44" si="88">P43*M43</f>
        <v>0</v>
      </c>
      <c r="R43" s="21">
        <f t="shared" ref="R43:R44" si="89">O43+Q43</f>
        <v>0</v>
      </c>
      <c r="S43" s="19">
        <f t="shared" ref="S43:S44" si="90">SUMIF($W$4:$CD$4,$S$4,W43:CD43)</f>
        <v>5</v>
      </c>
      <c r="T43" s="19">
        <f t="shared" ref="T43:T44" si="91">SUMIF($W$4:$CD$4,$T$4,W43:CD43)</f>
        <v>35000</v>
      </c>
      <c r="U43" s="21">
        <f t="shared" ref="U43:U44" si="92">R43+T43</f>
        <v>35000</v>
      </c>
      <c r="V43" s="39"/>
      <c r="W43" s="16">
        <v>63</v>
      </c>
      <c r="X43" s="17" t="str">
        <f>VLOOKUP(W43,'DATABASE F&amp;B'!$C$3:$F$216,2,0)</f>
        <v>ANKER LYCHEE 330ML</v>
      </c>
      <c r="Y43" s="18">
        <v>1</v>
      </c>
      <c r="Z43" s="19">
        <f>VLOOKUP(W43,'DATABASE F&amp;B'!$C$3:$F$216,4,0)</f>
        <v>35000</v>
      </c>
      <c r="AA43" s="19">
        <f t="shared" ref="AA43:AA44" si="93">Y43*Z43</f>
        <v>35000</v>
      </c>
      <c r="AB43" s="16"/>
      <c r="AC43" s="17">
        <f>VLOOKUP(AB43,'DATABASE F&amp;B'!$C$3:$F$216,2,0)</f>
        <v>0</v>
      </c>
      <c r="AD43" s="18">
        <v>1</v>
      </c>
      <c r="AE43" s="19">
        <f>VLOOKUP(AB43,'DATABASE F&amp;B'!$C$3:$F$216,4,0)</f>
        <v>0</v>
      </c>
      <c r="AF43" s="19">
        <f t="shared" ref="AF43:AF44" si="94">AD43*AE43</f>
        <v>0</v>
      </c>
      <c r="AG43" s="16"/>
      <c r="AH43" s="17">
        <f>VLOOKUP(AG43,'DATABASE F&amp;B'!$C$3:$F$216,2,0)</f>
        <v>0</v>
      </c>
      <c r="AI43" s="18">
        <v>1</v>
      </c>
      <c r="AJ43" s="19">
        <f>VLOOKUP(AG43,'DATABASE F&amp;B'!$C$3:$F$216,4,0)</f>
        <v>0</v>
      </c>
      <c r="AK43" s="19">
        <f t="shared" ref="AK43:AK44" si="95">AI43*AJ43</f>
        <v>0</v>
      </c>
      <c r="AL43" s="16"/>
      <c r="AM43" s="17">
        <f>VLOOKUP(AL43,'DATABASE F&amp;B'!$C$3:$F$216,2,0)</f>
        <v>0</v>
      </c>
      <c r="AN43" s="18">
        <v>1</v>
      </c>
      <c r="AO43" s="19">
        <f>VLOOKUP(AL43,'DATABASE F&amp;B'!$C$3:$F$216,4,0)</f>
        <v>0</v>
      </c>
      <c r="AP43" s="19">
        <f t="shared" ref="AP43:AP44" si="96">AN43*AO43</f>
        <v>0</v>
      </c>
      <c r="AQ43" s="16"/>
      <c r="AR43" s="17">
        <f>VLOOKUP(AQ43,'DATABASE F&amp;B'!$C$3:$F$216,2,0)</f>
        <v>0</v>
      </c>
      <c r="AS43" s="18">
        <v>1</v>
      </c>
      <c r="AT43" s="19">
        <f>VLOOKUP(AQ43,'DATABASE F&amp;B'!$C$3:$F$216,4,0)</f>
        <v>0</v>
      </c>
      <c r="AU43" s="19">
        <f t="shared" ref="AU43:AU44" si="97">AS43*AT43</f>
        <v>0</v>
      </c>
      <c r="AV43" s="16"/>
      <c r="AW43" s="17">
        <f>VLOOKUP(AV43,'DATABASE F&amp;B'!$C$3:$F$216,2,0)</f>
        <v>0</v>
      </c>
      <c r="AX43" s="18"/>
      <c r="AY43" s="19">
        <f>VLOOKUP(AV43,'DATABASE F&amp;B'!$C$3:$F$216,4,0)</f>
        <v>0</v>
      </c>
      <c r="AZ43" s="19">
        <f t="shared" ref="AZ43:AZ44" si="98">AX43*AY43</f>
        <v>0</v>
      </c>
      <c r="BA43" s="16"/>
      <c r="BB43" s="17">
        <f>VLOOKUP(BA43,'DATABASE F&amp;B'!$C$3:$F$216,2,0)</f>
        <v>0</v>
      </c>
      <c r="BC43" s="18"/>
      <c r="BD43" s="19">
        <f>VLOOKUP(BA43,'DATABASE F&amp;B'!$C$3:$F$216,4,0)</f>
        <v>0</v>
      </c>
      <c r="BE43" s="19">
        <f t="shared" ref="BE43:BE44" si="99">BC43*BD43</f>
        <v>0</v>
      </c>
      <c r="BF43" s="16"/>
      <c r="BG43" s="17">
        <f>VLOOKUP(BF43,'DATABASE F&amp;B'!$C$3:$F$216,2,0)</f>
        <v>0</v>
      </c>
      <c r="BH43" s="18"/>
      <c r="BI43" s="19">
        <f>VLOOKUP(BF43,'DATABASE F&amp;B'!$C$3:$F$216,4,0)</f>
        <v>0</v>
      </c>
      <c r="BJ43" s="19">
        <f t="shared" ref="BJ43:BJ44" si="100">BH43*BI43</f>
        <v>0</v>
      </c>
      <c r="BK43" s="16"/>
      <c r="BL43" s="17">
        <f>VLOOKUP(BK43,'DATABASE F&amp;B'!$C$3:$F$210,2,0)</f>
        <v>0</v>
      </c>
      <c r="BM43" s="18"/>
      <c r="BN43" s="19">
        <f>VLOOKUP(BK43,'DATABASE F&amp;B'!$C$3:$F$210,4,0)</f>
        <v>0</v>
      </c>
      <c r="BO43" s="19">
        <f t="shared" ref="BO43:BO44" si="101">BM43*BN43</f>
        <v>0</v>
      </c>
      <c r="BP43" s="16"/>
      <c r="BQ43" s="17">
        <f>VLOOKUP(BP43,'DATABASE F&amp;B'!$C$3:$F$210,2,0)</f>
        <v>0</v>
      </c>
      <c r="BR43" s="18"/>
      <c r="BS43" s="19">
        <f>VLOOKUP(BP43,'DATABASE F&amp;B'!$C$3:$F$210,4,0)</f>
        <v>0</v>
      </c>
      <c r="BT43" s="19">
        <f t="shared" ref="BT43:BT44" si="102">BR43*BS43</f>
        <v>0</v>
      </c>
      <c r="BU43" s="16"/>
      <c r="BV43" s="17">
        <f>VLOOKUP(BU43,'DATABASE F&amp;B'!$C$3:$F$210,2,0)</f>
        <v>0</v>
      </c>
      <c r="BW43" s="18"/>
      <c r="BX43" s="19">
        <f>VLOOKUP(BU43,'DATABASE F&amp;B'!$C$3:$F$210,4,0)</f>
        <v>0</v>
      </c>
      <c r="BY43" s="19">
        <f t="shared" ref="BY43:BY44" si="103">BW43*BX43</f>
        <v>0</v>
      </c>
      <c r="BZ43" s="16"/>
      <c r="CA43" s="17">
        <f>VLOOKUP(BZ43,'DATABASE F&amp;B'!$C$3:$F$210,2,0)</f>
        <v>0</v>
      </c>
      <c r="CB43" s="18"/>
      <c r="CC43" s="19">
        <f>VLOOKUP(BZ43,'DATABASE F&amp;B'!$C$3:$F$210,4,0)</f>
        <v>0</v>
      </c>
      <c r="CD43" s="19">
        <f t="shared" ref="CD43:CD44" si="104">CB43*CC43</f>
        <v>0</v>
      </c>
    </row>
    <row r="44" spans="1:82" ht="13.5" x14ac:dyDescent="0.25">
      <c r="A44" s="32" t="str">
        <f t="shared" si="85"/>
        <v>05-'07-2026</v>
      </c>
      <c r="B44" s="22">
        <f t="shared" si="43"/>
        <v>40</v>
      </c>
      <c r="C44" s="22">
        <f t="shared" si="44"/>
        <v>40</v>
      </c>
      <c r="D44" s="34">
        <v>46149</v>
      </c>
      <c r="E44" s="35" t="s">
        <v>67</v>
      </c>
      <c r="F44" s="35" t="s">
        <v>202</v>
      </c>
      <c r="G44" s="52" t="s">
        <v>81</v>
      </c>
      <c r="H44" s="36" t="str">
        <f t="shared" si="23"/>
        <v>RJ-'070526-40</v>
      </c>
      <c r="I44" s="36" t="str">
        <f t="shared" si="86"/>
        <v>'07-05-2026</v>
      </c>
      <c r="J44" s="37" t="str">
        <f>VLOOKUP(D44,Laporan!$C$4:$D$34,2,0)</f>
        <v>Kamis</v>
      </c>
      <c r="K44" s="48"/>
      <c r="L44" s="13" t="s">
        <v>33</v>
      </c>
      <c r="M44" s="19">
        <f>SUMIF('DATABASE Room'!$B$3:$B$7,L44,'DATABASE Room'!$D$3:$D$7)</f>
        <v>0</v>
      </c>
      <c r="N44" s="13">
        <v>1</v>
      </c>
      <c r="O44" s="21">
        <f t="shared" si="87"/>
        <v>0</v>
      </c>
      <c r="P44" s="38"/>
      <c r="Q44" s="19">
        <f t="shared" si="88"/>
        <v>0</v>
      </c>
      <c r="R44" s="21">
        <f t="shared" si="89"/>
        <v>0</v>
      </c>
      <c r="S44" s="19">
        <f t="shared" si="90"/>
        <v>5</v>
      </c>
      <c r="T44" s="19">
        <f t="shared" si="91"/>
        <v>195000</v>
      </c>
      <c r="U44" s="21">
        <f t="shared" si="92"/>
        <v>195000</v>
      </c>
      <c r="V44" s="39"/>
      <c r="W44" s="16">
        <v>64</v>
      </c>
      <c r="X44" s="17" t="str">
        <f>VLOOKUP(W44,'DATABASE F&amp;B'!$C$3:$F$216,2,0)</f>
        <v>KOPI BUTTERSCOTCH</v>
      </c>
      <c r="Y44" s="18">
        <v>1</v>
      </c>
      <c r="Z44" s="19">
        <f>VLOOKUP(W44,'DATABASE F&amp;B'!$C$3:$F$216,4,0)</f>
        <v>35000</v>
      </c>
      <c r="AA44" s="19">
        <f t="shared" si="93"/>
        <v>35000</v>
      </c>
      <c r="AB44" s="16">
        <v>91</v>
      </c>
      <c r="AC44" s="17" t="str">
        <f>VLOOKUP(AB44,'DATABASE F&amp;B'!$C$3:$F$216,2,0)</f>
        <v>ATLAS ANGGUR PEACH</v>
      </c>
      <c r="AD44" s="18">
        <v>1</v>
      </c>
      <c r="AE44" s="19">
        <f>VLOOKUP(AB44,'DATABASE F&amp;B'!$C$3:$F$216,4,0)</f>
        <v>160000</v>
      </c>
      <c r="AF44" s="19">
        <f t="shared" si="94"/>
        <v>160000</v>
      </c>
      <c r="AG44" s="16"/>
      <c r="AH44" s="17">
        <f>VLOOKUP(AG44,'DATABASE F&amp;B'!$C$3:$F$216,2,0)</f>
        <v>0</v>
      </c>
      <c r="AI44" s="18">
        <v>1</v>
      </c>
      <c r="AJ44" s="19">
        <f>VLOOKUP(AG44,'DATABASE F&amp;B'!$C$3:$F$216,4,0)</f>
        <v>0</v>
      </c>
      <c r="AK44" s="19">
        <f t="shared" si="95"/>
        <v>0</v>
      </c>
      <c r="AL44" s="16"/>
      <c r="AM44" s="17">
        <f>VLOOKUP(AL44,'DATABASE F&amp;B'!$C$3:$F$216,2,0)</f>
        <v>0</v>
      </c>
      <c r="AN44" s="18">
        <v>1</v>
      </c>
      <c r="AO44" s="19">
        <f>VLOOKUP(AL44,'DATABASE F&amp;B'!$C$3:$F$216,4,0)</f>
        <v>0</v>
      </c>
      <c r="AP44" s="19">
        <f t="shared" si="96"/>
        <v>0</v>
      </c>
      <c r="AQ44" s="16"/>
      <c r="AR44" s="17">
        <f>VLOOKUP(AQ44,'DATABASE F&amp;B'!$C$3:$F$216,2,0)</f>
        <v>0</v>
      </c>
      <c r="AS44" s="18">
        <v>1</v>
      </c>
      <c r="AT44" s="19">
        <f>VLOOKUP(AQ44,'DATABASE F&amp;B'!$C$3:$F$216,4,0)</f>
        <v>0</v>
      </c>
      <c r="AU44" s="19">
        <f t="shared" si="97"/>
        <v>0</v>
      </c>
      <c r="AV44" s="16"/>
      <c r="AW44" s="17">
        <f>VLOOKUP(AV44,'DATABASE F&amp;B'!$C$3:$F$216,2,0)</f>
        <v>0</v>
      </c>
      <c r="AX44" s="18"/>
      <c r="AY44" s="19">
        <f>VLOOKUP(AV44,'DATABASE F&amp;B'!$C$3:$F$216,4,0)</f>
        <v>0</v>
      </c>
      <c r="AZ44" s="19">
        <f t="shared" si="98"/>
        <v>0</v>
      </c>
      <c r="BA44" s="16"/>
      <c r="BB44" s="17">
        <f>VLOOKUP(BA44,'DATABASE F&amp;B'!$C$3:$F$216,2,0)</f>
        <v>0</v>
      </c>
      <c r="BC44" s="18"/>
      <c r="BD44" s="19">
        <f>VLOOKUP(BA44,'DATABASE F&amp;B'!$C$3:$F$216,4,0)</f>
        <v>0</v>
      </c>
      <c r="BE44" s="19">
        <f t="shared" si="99"/>
        <v>0</v>
      </c>
      <c r="BF44" s="16"/>
      <c r="BG44" s="17">
        <f>VLOOKUP(BF44,'DATABASE F&amp;B'!$C$3:$F$216,2,0)</f>
        <v>0</v>
      </c>
      <c r="BH44" s="18"/>
      <c r="BI44" s="19">
        <f>VLOOKUP(BF44,'DATABASE F&amp;B'!$C$3:$F$216,4,0)</f>
        <v>0</v>
      </c>
      <c r="BJ44" s="19">
        <f t="shared" si="100"/>
        <v>0</v>
      </c>
      <c r="BK44" s="16"/>
      <c r="BL44" s="17">
        <f>VLOOKUP(BK44,'DATABASE F&amp;B'!$C$3:$F$210,2,0)</f>
        <v>0</v>
      </c>
      <c r="BM44" s="18"/>
      <c r="BN44" s="19">
        <f>VLOOKUP(BK44,'DATABASE F&amp;B'!$C$3:$F$210,4,0)</f>
        <v>0</v>
      </c>
      <c r="BO44" s="19">
        <f t="shared" si="101"/>
        <v>0</v>
      </c>
      <c r="BP44" s="16"/>
      <c r="BQ44" s="17">
        <f>VLOOKUP(BP44,'DATABASE F&amp;B'!$C$3:$F$210,2,0)</f>
        <v>0</v>
      </c>
      <c r="BR44" s="18"/>
      <c r="BS44" s="19">
        <f>VLOOKUP(BP44,'DATABASE F&amp;B'!$C$3:$F$210,4,0)</f>
        <v>0</v>
      </c>
      <c r="BT44" s="19">
        <f t="shared" si="102"/>
        <v>0</v>
      </c>
      <c r="BU44" s="16"/>
      <c r="BV44" s="17">
        <f>VLOOKUP(BU44,'DATABASE F&amp;B'!$C$3:$F$210,2,0)</f>
        <v>0</v>
      </c>
      <c r="BW44" s="18"/>
      <c r="BX44" s="19">
        <f>VLOOKUP(BU44,'DATABASE F&amp;B'!$C$3:$F$210,4,0)</f>
        <v>0</v>
      </c>
      <c r="BY44" s="19">
        <f t="shared" si="103"/>
        <v>0</v>
      </c>
      <c r="BZ44" s="16"/>
      <c r="CA44" s="17">
        <f>VLOOKUP(BZ44,'DATABASE F&amp;B'!$C$3:$F$210,2,0)</f>
        <v>0</v>
      </c>
      <c r="CB44" s="18"/>
      <c r="CC44" s="19">
        <f>VLOOKUP(BZ44,'DATABASE F&amp;B'!$C$3:$F$210,4,0)</f>
        <v>0</v>
      </c>
      <c r="CD44" s="19">
        <f t="shared" si="104"/>
        <v>0</v>
      </c>
    </row>
    <row r="45" spans="1:82" ht="13.5" x14ac:dyDescent="0.25">
      <c r="A45" s="32" t="str">
        <f t="shared" ref="A45:A47" si="105">CONCATENATE(F45,"-",E45,"-20",G45)</f>
        <v>05-'07-2026</v>
      </c>
      <c r="B45" s="22">
        <f t="shared" si="43"/>
        <v>41</v>
      </c>
      <c r="C45" s="22">
        <f t="shared" si="44"/>
        <v>41</v>
      </c>
      <c r="D45" s="34">
        <v>46149</v>
      </c>
      <c r="E45" s="35" t="s">
        <v>67</v>
      </c>
      <c r="F45" s="35" t="s">
        <v>202</v>
      </c>
      <c r="G45" s="52" t="s">
        <v>81</v>
      </c>
      <c r="H45" s="36" t="str">
        <f t="shared" si="23"/>
        <v>RJ-'070526-41</v>
      </c>
      <c r="I45" s="36" t="str">
        <f t="shared" ref="I45:I47" si="106">CONCATENATE(E45,"-",F45,"-20",G45)</f>
        <v>'07-05-2026</v>
      </c>
      <c r="J45" s="37" t="str">
        <f>VLOOKUP(D45,Laporan!$C$4:$D$34,2,0)</f>
        <v>Kamis</v>
      </c>
      <c r="K45" s="48"/>
      <c r="L45" s="13" t="s">
        <v>33</v>
      </c>
      <c r="M45" s="19">
        <f>SUMIF('DATABASE Room'!$B$3:$B$7,L45,'DATABASE Room'!$D$3:$D$7)</f>
        <v>0</v>
      </c>
      <c r="N45" s="13">
        <v>1</v>
      </c>
      <c r="O45" s="21">
        <f t="shared" ref="O45:O47" si="107">N45*M45</f>
        <v>0</v>
      </c>
      <c r="P45" s="38"/>
      <c r="Q45" s="19">
        <f t="shared" ref="Q45:Q47" si="108">P45*M45</f>
        <v>0</v>
      </c>
      <c r="R45" s="21">
        <f t="shared" ref="R45:R47" si="109">O45+Q45</f>
        <v>0</v>
      </c>
      <c r="S45" s="19">
        <f t="shared" ref="S45:S47" si="110">SUMIF($W$4:$CD$4,$S$4,W45:CD45)</f>
        <v>5</v>
      </c>
      <c r="T45" s="19">
        <f t="shared" ref="T45:T47" si="111">SUMIF($W$4:$CD$4,$T$4,W45:CD45)</f>
        <v>35000</v>
      </c>
      <c r="U45" s="21">
        <f t="shared" ref="U45:U47" si="112">R45+T45</f>
        <v>35000</v>
      </c>
      <c r="V45" s="39"/>
      <c r="W45" s="16">
        <v>65</v>
      </c>
      <c r="X45" s="17" t="str">
        <f>VLOOKUP(W45,'DATABASE F&amp;B'!$C$3:$F$216,2,0)</f>
        <v>KOPI PISTACHIO</v>
      </c>
      <c r="Y45" s="18">
        <v>1</v>
      </c>
      <c r="Z45" s="19">
        <f>VLOOKUP(W45,'DATABASE F&amp;B'!$C$3:$F$216,4,0)</f>
        <v>35000</v>
      </c>
      <c r="AA45" s="19">
        <f t="shared" ref="AA45:AA47" si="113">Y45*Z45</f>
        <v>35000</v>
      </c>
      <c r="AB45" s="16"/>
      <c r="AC45" s="17">
        <f>VLOOKUP(AB45,'DATABASE F&amp;B'!$C$3:$F$216,2,0)</f>
        <v>0</v>
      </c>
      <c r="AD45" s="18">
        <v>1</v>
      </c>
      <c r="AE45" s="19">
        <f>VLOOKUP(AB45,'DATABASE F&amp;B'!$C$3:$F$216,4,0)</f>
        <v>0</v>
      </c>
      <c r="AF45" s="19">
        <f t="shared" ref="AF45:AF47" si="114">AD45*AE45</f>
        <v>0</v>
      </c>
      <c r="AG45" s="16"/>
      <c r="AH45" s="17">
        <f>VLOOKUP(AG45,'DATABASE F&amp;B'!$C$3:$F$216,2,0)</f>
        <v>0</v>
      </c>
      <c r="AI45" s="18">
        <v>1</v>
      </c>
      <c r="AJ45" s="19">
        <f>VLOOKUP(AG45,'DATABASE F&amp;B'!$C$3:$F$216,4,0)</f>
        <v>0</v>
      </c>
      <c r="AK45" s="19">
        <f t="shared" ref="AK45:AK47" si="115">AI45*AJ45</f>
        <v>0</v>
      </c>
      <c r="AL45" s="16"/>
      <c r="AM45" s="17">
        <f>VLOOKUP(AL45,'DATABASE F&amp;B'!$C$3:$F$216,2,0)</f>
        <v>0</v>
      </c>
      <c r="AN45" s="18">
        <v>1</v>
      </c>
      <c r="AO45" s="19">
        <f>VLOOKUP(AL45,'DATABASE F&amp;B'!$C$3:$F$216,4,0)</f>
        <v>0</v>
      </c>
      <c r="AP45" s="19">
        <f t="shared" ref="AP45:AP47" si="116">AN45*AO45</f>
        <v>0</v>
      </c>
      <c r="AQ45" s="16"/>
      <c r="AR45" s="17">
        <f>VLOOKUP(AQ45,'DATABASE F&amp;B'!$C$3:$F$216,2,0)</f>
        <v>0</v>
      </c>
      <c r="AS45" s="18">
        <v>1</v>
      </c>
      <c r="AT45" s="19">
        <f>VLOOKUP(AQ45,'DATABASE F&amp;B'!$C$3:$F$216,4,0)</f>
        <v>0</v>
      </c>
      <c r="AU45" s="19">
        <f t="shared" ref="AU45:AU47" si="117">AS45*AT45</f>
        <v>0</v>
      </c>
      <c r="AV45" s="16"/>
      <c r="AW45" s="17">
        <f>VLOOKUP(AV45,'DATABASE F&amp;B'!$C$3:$F$216,2,0)</f>
        <v>0</v>
      </c>
      <c r="AX45" s="18"/>
      <c r="AY45" s="19">
        <f>VLOOKUP(AV45,'DATABASE F&amp;B'!$C$3:$F$216,4,0)</f>
        <v>0</v>
      </c>
      <c r="AZ45" s="19">
        <f t="shared" ref="AZ45:AZ47" si="118">AX45*AY45</f>
        <v>0</v>
      </c>
      <c r="BA45" s="16"/>
      <c r="BB45" s="17">
        <f>VLOOKUP(BA45,'DATABASE F&amp;B'!$C$3:$F$216,2,0)</f>
        <v>0</v>
      </c>
      <c r="BC45" s="18"/>
      <c r="BD45" s="19">
        <f>VLOOKUP(BA45,'DATABASE F&amp;B'!$C$3:$F$216,4,0)</f>
        <v>0</v>
      </c>
      <c r="BE45" s="19">
        <f t="shared" ref="BE45:BE47" si="119">BC45*BD45</f>
        <v>0</v>
      </c>
      <c r="BF45" s="16"/>
      <c r="BG45" s="17">
        <f>VLOOKUP(BF45,'DATABASE F&amp;B'!$C$3:$F$216,2,0)</f>
        <v>0</v>
      </c>
      <c r="BH45" s="18"/>
      <c r="BI45" s="19">
        <f>VLOOKUP(BF45,'DATABASE F&amp;B'!$C$3:$F$216,4,0)</f>
        <v>0</v>
      </c>
      <c r="BJ45" s="19">
        <f t="shared" ref="BJ45:BJ47" si="120">BH45*BI45</f>
        <v>0</v>
      </c>
      <c r="BK45" s="16"/>
      <c r="BL45" s="17">
        <f>VLOOKUP(BK45,'DATABASE F&amp;B'!$C$3:$F$210,2,0)</f>
        <v>0</v>
      </c>
      <c r="BM45" s="18"/>
      <c r="BN45" s="19">
        <f>VLOOKUP(BK45,'DATABASE F&amp;B'!$C$3:$F$210,4,0)</f>
        <v>0</v>
      </c>
      <c r="BO45" s="19">
        <f t="shared" ref="BO45:BO47" si="121">BM45*BN45</f>
        <v>0</v>
      </c>
      <c r="BP45" s="16"/>
      <c r="BQ45" s="17">
        <f>VLOOKUP(BP45,'DATABASE F&amp;B'!$C$3:$F$210,2,0)</f>
        <v>0</v>
      </c>
      <c r="BR45" s="18"/>
      <c r="BS45" s="19">
        <f>VLOOKUP(BP45,'DATABASE F&amp;B'!$C$3:$F$210,4,0)</f>
        <v>0</v>
      </c>
      <c r="BT45" s="19">
        <f t="shared" ref="BT45:BT47" si="122">BR45*BS45</f>
        <v>0</v>
      </c>
      <c r="BU45" s="16"/>
      <c r="BV45" s="17">
        <f>VLOOKUP(BU45,'DATABASE F&amp;B'!$C$3:$F$210,2,0)</f>
        <v>0</v>
      </c>
      <c r="BW45" s="18"/>
      <c r="BX45" s="19">
        <f>VLOOKUP(BU45,'DATABASE F&amp;B'!$C$3:$F$210,4,0)</f>
        <v>0</v>
      </c>
      <c r="BY45" s="19">
        <f t="shared" ref="BY45:BY47" si="123">BW45*BX45</f>
        <v>0</v>
      </c>
      <c r="BZ45" s="16"/>
      <c r="CA45" s="17">
        <f>VLOOKUP(BZ45,'DATABASE F&amp;B'!$C$3:$F$210,2,0)</f>
        <v>0</v>
      </c>
      <c r="CB45" s="18"/>
      <c r="CC45" s="19">
        <f>VLOOKUP(BZ45,'DATABASE F&amp;B'!$C$3:$F$210,4,0)</f>
        <v>0</v>
      </c>
      <c r="CD45" s="19">
        <f t="shared" ref="CD45:CD47" si="124">CB45*CC45</f>
        <v>0</v>
      </c>
    </row>
    <row r="46" spans="1:82" ht="13.5" x14ac:dyDescent="0.25">
      <c r="A46" s="32" t="str">
        <f t="shared" si="105"/>
        <v>05-'07-2026</v>
      </c>
      <c r="B46" s="22">
        <f t="shared" si="43"/>
        <v>42</v>
      </c>
      <c r="C46" s="22">
        <f t="shared" si="44"/>
        <v>42</v>
      </c>
      <c r="D46" s="34">
        <v>46149</v>
      </c>
      <c r="E46" s="35" t="s">
        <v>67</v>
      </c>
      <c r="F46" s="35" t="s">
        <v>202</v>
      </c>
      <c r="G46" s="52" t="s">
        <v>81</v>
      </c>
      <c r="H46" s="36" t="str">
        <f t="shared" si="23"/>
        <v>RJ-'070526-42</v>
      </c>
      <c r="I46" s="36" t="str">
        <f t="shared" si="106"/>
        <v>'07-05-2026</v>
      </c>
      <c r="J46" s="37" t="str">
        <f>VLOOKUP(D46,Laporan!$C$4:$D$34,2,0)</f>
        <v>Kamis</v>
      </c>
      <c r="K46" s="48"/>
      <c r="L46" s="13" t="s">
        <v>33</v>
      </c>
      <c r="M46" s="19">
        <f>SUMIF('DATABASE Room'!$B$3:$B$7,L46,'DATABASE Room'!$D$3:$D$7)</f>
        <v>0</v>
      </c>
      <c r="N46" s="13">
        <v>1</v>
      </c>
      <c r="O46" s="21">
        <f t="shared" si="107"/>
        <v>0</v>
      </c>
      <c r="P46" s="38"/>
      <c r="Q46" s="19">
        <f t="shared" si="108"/>
        <v>0</v>
      </c>
      <c r="R46" s="21">
        <f t="shared" si="109"/>
        <v>0</v>
      </c>
      <c r="S46" s="19">
        <f t="shared" si="110"/>
        <v>5</v>
      </c>
      <c r="T46" s="19">
        <f t="shared" si="111"/>
        <v>35000</v>
      </c>
      <c r="U46" s="21">
        <f t="shared" si="112"/>
        <v>35000</v>
      </c>
      <c r="V46" s="39"/>
      <c r="W46" s="16">
        <v>66</v>
      </c>
      <c r="X46" s="17" t="str">
        <f>VLOOKUP(W46,'DATABASE F&amp;B'!$C$3:$F$216,2,0)</f>
        <v>KOPSU BUTTERSCOTCH</v>
      </c>
      <c r="Y46" s="18">
        <v>1</v>
      </c>
      <c r="Z46" s="19">
        <f>VLOOKUP(W46,'DATABASE F&amp;B'!$C$3:$F$216,4,0)</f>
        <v>35000</v>
      </c>
      <c r="AA46" s="19">
        <f t="shared" si="113"/>
        <v>35000</v>
      </c>
      <c r="AB46" s="16"/>
      <c r="AC46" s="17">
        <f>VLOOKUP(AB46,'DATABASE F&amp;B'!$C$3:$F$216,2,0)</f>
        <v>0</v>
      </c>
      <c r="AD46" s="18">
        <v>1</v>
      </c>
      <c r="AE46" s="19">
        <f>VLOOKUP(AB46,'DATABASE F&amp;B'!$C$3:$F$216,4,0)</f>
        <v>0</v>
      </c>
      <c r="AF46" s="19">
        <f t="shared" si="114"/>
        <v>0</v>
      </c>
      <c r="AG46" s="16"/>
      <c r="AH46" s="17">
        <f>VLOOKUP(AG46,'DATABASE F&amp;B'!$C$3:$F$216,2,0)</f>
        <v>0</v>
      </c>
      <c r="AI46" s="18">
        <v>1</v>
      </c>
      <c r="AJ46" s="19">
        <f>VLOOKUP(AG46,'DATABASE F&amp;B'!$C$3:$F$216,4,0)</f>
        <v>0</v>
      </c>
      <c r="AK46" s="19">
        <f t="shared" si="115"/>
        <v>0</v>
      </c>
      <c r="AL46" s="16"/>
      <c r="AM46" s="17">
        <f>VLOOKUP(AL46,'DATABASE F&amp;B'!$C$3:$F$216,2,0)</f>
        <v>0</v>
      </c>
      <c r="AN46" s="18">
        <v>1</v>
      </c>
      <c r="AO46" s="19">
        <f>VLOOKUP(AL46,'DATABASE F&amp;B'!$C$3:$F$216,4,0)</f>
        <v>0</v>
      </c>
      <c r="AP46" s="19">
        <f t="shared" si="116"/>
        <v>0</v>
      </c>
      <c r="AQ46" s="16"/>
      <c r="AR46" s="17">
        <f>VLOOKUP(AQ46,'DATABASE F&amp;B'!$C$3:$F$216,2,0)</f>
        <v>0</v>
      </c>
      <c r="AS46" s="18">
        <v>1</v>
      </c>
      <c r="AT46" s="19">
        <f>VLOOKUP(AQ46,'DATABASE F&amp;B'!$C$3:$F$216,4,0)</f>
        <v>0</v>
      </c>
      <c r="AU46" s="19">
        <f t="shared" si="117"/>
        <v>0</v>
      </c>
      <c r="AV46" s="16"/>
      <c r="AW46" s="17">
        <f>VLOOKUP(AV46,'DATABASE F&amp;B'!$C$3:$F$216,2,0)</f>
        <v>0</v>
      </c>
      <c r="AX46" s="18"/>
      <c r="AY46" s="19">
        <f>VLOOKUP(AV46,'DATABASE F&amp;B'!$C$3:$F$216,4,0)</f>
        <v>0</v>
      </c>
      <c r="AZ46" s="19">
        <f t="shared" si="118"/>
        <v>0</v>
      </c>
      <c r="BA46" s="16"/>
      <c r="BB46" s="17">
        <f>VLOOKUP(BA46,'DATABASE F&amp;B'!$C$3:$F$216,2,0)</f>
        <v>0</v>
      </c>
      <c r="BC46" s="18"/>
      <c r="BD46" s="19">
        <f>VLOOKUP(BA46,'DATABASE F&amp;B'!$C$3:$F$216,4,0)</f>
        <v>0</v>
      </c>
      <c r="BE46" s="19">
        <f t="shared" si="119"/>
        <v>0</v>
      </c>
      <c r="BF46" s="16"/>
      <c r="BG46" s="17">
        <f>VLOOKUP(BF46,'DATABASE F&amp;B'!$C$3:$F$216,2,0)</f>
        <v>0</v>
      </c>
      <c r="BH46" s="18"/>
      <c r="BI46" s="19">
        <f>VLOOKUP(BF46,'DATABASE F&amp;B'!$C$3:$F$216,4,0)</f>
        <v>0</v>
      </c>
      <c r="BJ46" s="19">
        <f t="shared" si="120"/>
        <v>0</v>
      </c>
      <c r="BK46" s="16"/>
      <c r="BL46" s="17">
        <f>VLOOKUP(BK46,'DATABASE F&amp;B'!$C$3:$F$210,2,0)</f>
        <v>0</v>
      </c>
      <c r="BM46" s="18"/>
      <c r="BN46" s="19">
        <f>VLOOKUP(BK46,'DATABASE F&amp;B'!$C$3:$F$210,4,0)</f>
        <v>0</v>
      </c>
      <c r="BO46" s="19">
        <f t="shared" si="121"/>
        <v>0</v>
      </c>
      <c r="BP46" s="16"/>
      <c r="BQ46" s="17">
        <f>VLOOKUP(BP46,'DATABASE F&amp;B'!$C$3:$F$210,2,0)</f>
        <v>0</v>
      </c>
      <c r="BR46" s="18"/>
      <c r="BS46" s="19">
        <f>VLOOKUP(BP46,'DATABASE F&amp;B'!$C$3:$F$210,4,0)</f>
        <v>0</v>
      </c>
      <c r="BT46" s="19">
        <f t="shared" si="122"/>
        <v>0</v>
      </c>
      <c r="BU46" s="16"/>
      <c r="BV46" s="17">
        <f>VLOOKUP(BU46,'DATABASE F&amp;B'!$C$3:$F$210,2,0)</f>
        <v>0</v>
      </c>
      <c r="BW46" s="18"/>
      <c r="BX46" s="19">
        <f>VLOOKUP(BU46,'DATABASE F&amp;B'!$C$3:$F$210,4,0)</f>
        <v>0</v>
      </c>
      <c r="BY46" s="19">
        <f t="shared" si="123"/>
        <v>0</v>
      </c>
      <c r="BZ46" s="16"/>
      <c r="CA46" s="17">
        <f>VLOOKUP(BZ46,'DATABASE F&amp;B'!$C$3:$F$210,2,0)</f>
        <v>0</v>
      </c>
      <c r="CB46" s="18"/>
      <c r="CC46" s="19">
        <f>VLOOKUP(BZ46,'DATABASE F&amp;B'!$C$3:$F$210,4,0)</f>
        <v>0</v>
      </c>
      <c r="CD46" s="19">
        <f t="shared" si="124"/>
        <v>0</v>
      </c>
    </row>
    <row r="47" spans="1:82" ht="13.5" x14ac:dyDescent="0.25">
      <c r="A47" s="32" t="str">
        <f t="shared" si="105"/>
        <v>05-'07-2026</v>
      </c>
      <c r="B47" s="22">
        <f t="shared" si="43"/>
        <v>43</v>
      </c>
      <c r="C47" s="22">
        <f t="shared" si="44"/>
        <v>43</v>
      </c>
      <c r="D47" s="34">
        <v>46149</v>
      </c>
      <c r="E47" s="35" t="s">
        <v>67</v>
      </c>
      <c r="F47" s="35" t="s">
        <v>202</v>
      </c>
      <c r="G47" s="52" t="s">
        <v>81</v>
      </c>
      <c r="H47" s="36" t="str">
        <f t="shared" si="23"/>
        <v>RJ-'070526-43</v>
      </c>
      <c r="I47" s="36" t="str">
        <f t="shared" si="106"/>
        <v>'07-05-2026</v>
      </c>
      <c r="J47" s="37" t="str">
        <f>VLOOKUP(D47,Laporan!$C$4:$D$34,2,0)</f>
        <v>Kamis</v>
      </c>
      <c r="K47" s="48"/>
      <c r="L47" s="13" t="s">
        <v>33</v>
      </c>
      <c r="M47" s="19">
        <f>SUMIF('DATABASE Room'!$B$3:$B$7,L47,'DATABASE Room'!$D$3:$D$7)</f>
        <v>0</v>
      </c>
      <c r="N47" s="13">
        <v>1</v>
      </c>
      <c r="O47" s="21">
        <f t="shared" si="107"/>
        <v>0</v>
      </c>
      <c r="P47" s="38"/>
      <c r="Q47" s="19">
        <f t="shared" si="108"/>
        <v>0</v>
      </c>
      <c r="R47" s="21">
        <f t="shared" si="109"/>
        <v>0</v>
      </c>
      <c r="S47" s="19">
        <f t="shared" si="110"/>
        <v>5</v>
      </c>
      <c r="T47" s="19">
        <f t="shared" si="111"/>
        <v>35000</v>
      </c>
      <c r="U47" s="21">
        <f t="shared" si="112"/>
        <v>35000</v>
      </c>
      <c r="V47" s="39"/>
      <c r="W47" s="16">
        <v>67</v>
      </c>
      <c r="X47" s="17" t="str">
        <f>VLOOKUP(W47,'DATABASE F&amp;B'!$C$3:$F$216,2,0)</f>
        <v>KOPSU PISTACHIO</v>
      </c>
      <c r="Y47" s="18">
        <v>1</v>
      </c>
      <c r="Z47" s="19">
        <f>VLOOKUP(W47,'DATABASE F&amp;B'!$C$3:$F$216,4,0)</f>
        <v>35000</v>
      </c>
      <c r="AA47" s="19">
        <f t="shared" si="113"/>
        <v>35000</v>
      </c>
      <c r="AB47" s="16"/>
      <c r="AC47" s="17">
        <f>VLOOKUP(AB47,'DATABASE F&amp;B'!$C$3:$F$216,2,0)</f>
        <v>0</v>
      </c>
      <c r="AD47" s="18">
        <v>1</v>
      </c>
      <c r="AE47" s="19">
        <f>VLOOKUP(AB47,'DATABASE F&amp;B'!$C$3:$F$216,4,0)</f>
        <v>0</v>
      </c>
      <c r="AF47" s="19">
        <f t="shared" si="114"/>
        <v>0</v>
      </c>
      <c r="AG47" s="16"/>
      <c r="AH47" s="17">
        <f>VLOOKUP(AG47,'DATABASE F&amp;B'!$C$3:$F$216,2,0)</f>
        <v>0</v>
      </c>
      <c r="AI47" s="18">
        <v>1</v>
      </c>
      <c r="AJ47" s="19">
        <f>VLOOKUP(AG47,'DATABASE F&amp;B'!$C$3:$F$216,4,0)</f>
        <v>0</v>
      </c>
      <c r="AK47" s="19">
        <f t="shared" si="115"/>
        <v>0</v>
      </c>
      <c r="AL47" s="16"/>
      <c r="AM47" s="17">
        <f>VLOOKUP(AL47,'DATABASE F&amp;B'!$C$3:$F$216,2,0)</f>
        <v>0</v>
      </c>
      <c r="AN47" s="18">
        <v>1</v>
      </c>
      <c r="AO47" s="19">
        <f>VLOOKUP(AL47,'DATABASE F&amp;B'!$C$3:$F$216,4,0)</f>
        <v>0</v>
      </c>
      <c r="AP47" s="19">
        <f t="shared" si="116"/>
        <v>0</v>
      </c>
      <c r="AQ47" s="16"/>
      <c r="AR47" s="17">
        <f>VLOOKUP(AQ47,'DATABASE F&amp;B'!$C$3:$F$216,2,0)</f>
        <v>0</v>
      </c>
      <c r="AS47" s="18">
        <v>1</v>
      </c>
      <c r="AT47" s="19">
        <f>VLOOKUP(AQ47,'DATABASE F&amp;B'!$C$3:$F$216,4,0)</f>
        <v>0</v>
      </c>
      <c r="AU47" s="19">
        <f t="shared" si="117"/>
        <v>0</v>
      </c>
      <c r="AV47" s="16"/>
      <c r="AW47" s="17">
        <f>VLOOKUP(AV47,'DATABASE F&amp;B'!$C$3:$F$216,2,0)</f>
        <v>0</v>
      </c>
      <c r="AX47" s="18"/>
      <c r="AY47" s="19">
        <f>VLOOKUP(AV47,'DATABASE F&amp;B'!$C$3:$F$216,4,0)</f>
        <v>0</v>
      </c>
      <c r="AZ47" s="19">
        <f t="shared" si="118"/>
        <v>0</v>
      </c>
      <c r="BA47" s="16"/>
      <c r="BB47" s="17">
        <f>VLOOKUP(BA47,'DATABASE F&amp;B'!$C$3:$F$216,2,0)</f>
        <v>0</v>
      </c>
      <c r="BC47" s="18"/>
      <c r="BD47" s="19">
        <f>VLOOKUP(BA47,'DATABASE F&amp;B'!$C$3:$F$216,4,0)</f>
        <v>0</v>
      </c>
      <c r="BE47" s="19">
        <f t="shared" si="119"/>
        <v>0</v>
      </c>
      <c r="BF47" s="16"/>
      <c r="BG47" s="17">
        <f>VLOOKUP(BF47,'DATABASE F&amp;B'!$C$3:$F$216,2,0)</f>
        <v>0</v>
      </c>
      <c r="BH47" s="18"/>
      <c r="BI47" s="19">
        <f>VLOOKUP(BF47,'DATABASE F&amp;B'!$C$3:$F$216,4,0)</f>
        <v>0</v>
      </c>
      <c r="BJ47" s="19">
        <f t="shared" si="120"/>
        <v>0</v>
      </c>
      <c r="BK47" s="16"/>
      <c r="BL47" s="17">
        <f>VLOOKUP(BK47,'DATABASE F&amp;B'!$C$3:$F$210,2,0)</f>
        <v>0</v>
      </c>
      <c r="BM47" s="18"/>
      <c r="BN47" s="19">
        <f>VLOOKUP(BK47,'DATABASE F&amp;B'!$C$3:$F$210,4,0)</f>
        <v>0</v>
      </c>
      <c r="BO47" s="19">
        <f t="shared" si="121"/>
        <v>0</v>
      </c>
      <c r="BP47" s="16"/>
      <c r="BQ47" s="17">
        <f>VLOOKUP(BP47,'DATABASE F&amp;B'!$C$3:$F$210,2,0)</f>
        <v>0</v>
      </c>
      <c r="BR47" s="18"/>
      <c r="BS47" s="19">
        <f>VLOOKUP(BP47,'DATABASE F&amp;B'!$C$3:$F$210,4,0)</f>
        <v>0</v>
      </c>
      <c r="BT47" s="19">
        <f t="shared" si="122"/>
        <v>0</v>
      </c>
      <c r="BU47" s="16"/>
      <c r="BV47" s="17">
        <f>VLOOKUP(BU47,'DATABASE F&amp;B'!$C$3:$F$210,2,0)</f>
        <v>0</v>
      </c>
      <c r="BW47" s="18"/>
      <c r="BX47" s="19">
        <f>VLOOKUP(BU47,'DATABASE F&amp;B'!$C$3:$F$210,4,0)</f>
        <v>0</v>
      </c>
      <c r="BY47" s="19">
        <f t="shared" si="123"/>
        <v>0</v>
      </c>
      <c r="BZ47" s="16"/>
      <c r="CA47" s="17">
        <f>VLOOKUP(BZ47,'DATABASE F&amp;B'!$C$3:$F$210,2,0)</f>
        <v>0</v>
      </c>
      <c r="CB47" s="18"/>
      <c r="CC47" s="19">
        <f>VLOOKUP(BZ47,'DATABASE F&amp;B'!$C$3:$F$210,4,0)</f>
        <v>0</v>
      </c>
      <c r="CD47" s="19">
        <f t="shared" si="124"/>
        <v>0</v>
      </c>
    </row>
    <row r="48" spans="1:82" ht="13.5" x14ac:dyDescent="0.25">
      <c r="A48" s="32" t="str">
        <f t="shared" ref="A48:A80" si="125">CONCATENATE(F48,"-",E48,"-20",G48)</f>
        <v>05-'08-2026</v>
      </c>
      <c r="B48" s="22">
        <f t="shared" si="43"/>
        <v>44</v>
      </c>
      <c r="C48" s="22">
        <f t="shared" si="44"/>
        <v>44</v>
      </c>
      <c r="D48" s="34">
        <v>46150</v>
      </c>
      <c r="E48" s="35" t="s">
        <v>58</v>
      </c>
      <c r="F48" s="35" t="s">
        <v>202</v>
      </c>
      <c r="G48" s="52" t="s">
        <v>81</v>
      </c>
      <c r="H48" s="36" t="str">
        <f t="shared" si="23"/>
        <v>RJ-'080526-44</v>
      </c>
      <c r="I48" s="36" t="str">
        <f t="shared" ref="I48:I80" si="126">CONCATENATE(E48,"-",F48,"-20",G48)</f>
        <v>'08-05-2026</v>
      </c>
      <c r="J48" s="37" t="str">
        <f>VLOOKUP(D48,Laporan!$C$4:$D$34,2,0)</f>
        <v>Jumat</v>
      </c>
      <c r="K48" s="48"/>
      <c r="L48" s="13" t="s">
        <v>33</v>
      </c>
      <c r="M48" s="19">
        <f>SUMIF('DATABASE Room'!$B$3:$B$7,L48,'DATABASE Room'!$D$3:$D$7)</f>
        <v>0</v>
      </c>
      <c r="N48" s="13">
        <v>1</v>
      </c>
      <c r="O48" s="21">
        <f t="shared" ref="O48:O80" si="127">N48*M48</f>
        <v>0</v>
      </c>
      <c r="P48" s="38"/>
      <c r="Q48" s="19">
        <f t="shared" ref="Q48:Q80" si="128">P48*M48</f>
        <v>0</v>
      </c>
      <c r="R48" s="21">
        <f t="shared" ref="R48:R80" si="129">O48+Q48</f>
        <v>0</v>
      </c>
      <c r="S48" s="19">
        <f t="shared" ref="S48:S80" si="130">SUMIF($W$4:$CD$4,$S$4,W48:CD48)</f>
        <v>5</v>
      </c>
      <c r="T48" s="19">
        <f t="shared" ref="T48:T80" si="131">SUMIF($W$4:$CD$4,$T$4,W48:CD48)</f>
        <v>35000</v>
      </c>
      <c r="U48" s="21">
        <f t="shared" ref="U48:U80" si="132">R48+T48</f>
        <v>35000</v>
      </c>
      <c r="V48" s="39"/>
      <c r="W48" s="16">
        <v>68</v>
      </c>
      <c r="X48" s="17" t="str">
        <f>VLOOKUP(W48,'DATABASE F&amp;B'!$C$3:$F$216,2,0)</f>
        <v>REDBULL</v>
      </c>
      <c r="Y48" s="18">
        <v>1</v>
      </c>
      <c r="Z48" s="19">
        <f>VLOOKUP(W48,'DATABASE F&amp;B'!$C$3:$F$216,4,0)</f>
        <v>35000</v>
      </c>
      <c r="AA48" s="19">
        <f t="shared" ref="AA48:AA80" si="133">Y48*Z48</f>
        <v>35000</v>
      </c>
      <c r="AB48" s="16"/>
      <c r="AC48" s="17">
        <f>VLOOKUP(AB48,'DATABASE F&amp;B'!$C$3:$F$216,2,0)</f>
        <v>0</v>
      </c>
      <c r="AD48" s="18">
        <v>1</v>
      </c>
      <c r="AE48" s="19">
        <f>VLOOKUP(AB48,'DATABASE F&amp;B'!$C$3:$F$216,4,0)</f>
        <v>0</v>
      </c>
      <c r="AF48" s="19">
        <f t="shared" ref="AF48:AF80" si="134">AD48*AE48</f>
        <v>0</v>
      </c>
      <c r="AG48" s="16"/>
      <c r="AH48" s="17">
        <f>VLOOKUP(AG48,'DATABASE F&amp;B'!$C$3:$F$216,2,0)</f>
        <v>0</v>
      </c>
      <c r="AI48" s="18">
        <v>1</v>
      </c>
      <c r="AJ48" s="19">
        <f>VLOOKUP(AG48,'DATABASE F&amp;B'!$C$3:$F$216,4,0)</f>
        <v>0</v>
      </c>
      <c r="AK48" s="19">
        <f t="shared" ref="AK48:AK80" si="135">AI48*AJ48</f>
        <v>0</v>
      </c>
      <c r="AL48" s="16"/>
      <c r="AM48" s="17">
        <f>VLOOKUP(AL48,'DATABASE F&amp;B'!$C$3:$F$216,2,0)</f>
        <v>0</v>
      </c>
      <c r="AN48" s="18">
        <v>1</v>
      </c>
      <c r="AO48" s="19">
        <f>VLOOKUP(AL48,'DATABASE F&amp;B'!$C$3:$F$216,4,0)</f>
        <v>0</v>
      </c>
      <c r="AP48" s="19">
        <f t="shared" ref="AP48:AP80" si="136">AN48*AO48</f>
        <v>0</v>
      </c>
      <c r="AQ48" s="16"/>
      <c r="AR48" s="17">
        <f>VLOOKUP(AQ48,'DATABASE F&amp;B'!$C$3:$F$216,2,0)</f>
        <v>0</v>
      </c>
      <c r="AS48" s="18">
        <v>1</v>
      </c>
      <c r="AT48" s="19">
        <f>VLOOKUP(AQ48,'DATABASE F&amp;B'!$C$3:$F$216,4,0)</f>
        <v>0</v>
      </c>
      <c r="AU48" s="19">
        <f t="shared" ref="AU48:AU80" si="137">AS48*AT48</f>
        <v>0</v>
      </c>
      <c r="AV48" s="16"/>
      <c r="AW48" s="17">
        <f>VLOOKUP(AV48,'DATABASE F&amp;B'!$C$3:$F$216,2,0)</f>
        <v>0</v>
      </c>
      <c r="AX48" s="18"/>
      <c r="AY48" s="19">
        <f>VLOOKUP(AV48,'DATABASE F&amp;B'!$C$3:$F$216,4,0)</f>
        <v>0</v>
      </c>
      <c r="AZ48" s="19">
        <f t="shared" ref="AZ48:AZ80" si="138">AX48*AY48</f>
        <v>0</v>
      </c>
      <c r="BA48" s="16"/>
      <c r="BB48" s="17">
        <f>VLOOKUP(BA48,'DATABASE F&amp;B'!$C$3:$F$216,2,0)</f>
        <v>0</v>
      </c>
      <c r="BC48" s="18"/>
      <c r="BD48" s="19">
        <f>VLOOKUP(BA48,'DATABASE F&amp;B'!$C$3:$F$216,4,0)</f>
        <v>0</v>
      </c>
      <c r="BE48" s="19">
        <f t="shared" ref="BE48:BE80" si="139">BC48*BD48</f>
        <v>0</v>
      </c>
      <c r="BF48" s="16"/>
      <c r="BG48" s="17">
        <f>VLOOKUP(BF48,'DATABASE F&amp;B'!$C$3:$F$216,2,0)</f>
        <v>0</v>
      </c>
      <c r="BH48" s="18"/>
      <c r="BI48" s="19">
        <f>VLOOKUP(BF48,'DATABASE F&amp;B'!$C$3:$F$216,4,0)</f>
        <v>0</v>
      </c>
      <c r="BJ48" s="19">
        <f t="shared" ref="BJ48:BJ80" si="140">BH48*BI48</f>
        <v>0</v>
      </c>
      <c r="BK48" s="16"/>
      <c r="BL48" s="17">
        <f>VLOOKUP(BK48,'DATABASE F&amp;B'!$C$3:$F$210,2,0)</f>
        <v>0</v>
      </c>
      <c r="BM48" s="18"/>
      <c r="BN48" s="19">
        <f>VLOOKUP(BK48,'DATABASE F&amp;B'!$C$3:$F$210,4,0)</f>
        <v>0</v>
      </c>
      <c r="BO48" s="19">
        <f t="shared" ref="BO48:BO80" si="141">BM48*BN48</f>
        <v>0</v>
      </c>
      <c r="BP48" s="16"/>
      <c r="BQ48" s="17">
        <f>VLOOKUP(BP48,'DATABASE F&amp;B'!$C$3:$F$210,2,0)</f>
        <v>0</v>
      </c>
      <c r="BR48" s="18"/>
      <c r="BS48" s="19">
        <f>VLOOKUP(BP48,'DATABASE F&amp;B'!$C$3:$F$210,4,0)</f>
        <v>0</v>
      </c>
      <c r="BT48" s="19">
        <f t="shared" ref="BT48:BT80" si="142">BR48*BS48</f>
        <v>0</v>
      </c>
      <c r="BU48" s="16"/>
      <c r="BV48" s="17">
        <f>VLOOKUP(BU48,'DATABASE F&amp;B'!$C$3:$F$210,2,0)</f>
        <v>0</v>
      </c>
      <c r="BW48" s="18"/>
      <c r="BX48" s="19">
        <f>VLOOKUP(BU48,'DATABASE F&amp;B'!$C$3:$F$210,4,0)</f>
        <v>0</v>
      </c>
      <c r="BY48" s="19">
        <f t="shared" ref="BY48:BY80" si="143">BW48*BX48</f>
        <v>0</v>
      </c>
      <c r="BZ48" s="16"/>
      <c r="CA48" s="17">
        <f>VLOOKUP(BZ48,'DATABASE F&amp;B'!$C$3:$F$210,2,0)</f>
        <v>0</v>
      </c>
      <c r="CB48" s="18"/>
      <c r="CC48" s="19">
        <f>VLOOKUP(BZ48,'DATABASE F&amp;B'!$C$3:$F$210,4,0)</f>
        <v>0</v>
      </c>
      <c r="CD48" s="19">
        <f t="shared" ref="CD48:CD80" si="144">CB48*CC48</f>
        <v>0</v>
      </c>
    </row>
    <row r="49" spans="1:82" ht="13.5" x14ac:dyDescent="0.25">
      <c r="A49" s="32" t="str">
        <f t="shared" si="125"/>
        <v>05-'08-2026</v>
      </c>
      <c r="B49" s="22">
        <f t="shared" si="43"/>
        <v>45</v>
      </c>
      <c r="C49" s="22">
        <f t="shared" si="44"/>
        <v>45</v>
      </c>
      <c r="D49" s="34">
        <v>46150</v>
      </c>
      <c r="E49" s="35" t="s">
        <v>58</v>
      </c>
      <c r="F49" s="35" t="s">
        <v>202</v>
      </c>
      <c r="G49" s="52" t="s">
        <v>81</v>
      </c>
      <c r="H49" s="36" t="str">
        <f t="shared" si="23"/>
        <v>RJ-'080526-45</v>
      </c>
      <c r="I49" s="36" t="str">
        <f t="shared" si="126"/>
        <v>'08-05-2026</v>
      </c>
      <c r="J49" s="37" t="str">
        <f>VLOOKUP(D49,Laporan!$C$4:$D$34,2,0)</f>
        <v>Jumat</v>
      </c>
      <c r="K49" s="48"/>
      <c r="L49" s="13" t="s">
        <v>33</v>
      </c>
      <c r="M49" s="19">
        <f>SUMIF('DATABASE Room'!$B$3:$B$7,L49,'DATABASE Room'!$D$3:$D$7)</f>
        <v>0</v>
      </c>
      <c r="N49" s="13">
        <v>1</v>
      </c>
      <c r="O49" s="21">
        <f t="shared" si="127"/>
        <v>0</v>
      </c>
      <c r="P49" s="38"/>
      <c r="Q49" s="19">
        <f t="shared" si="128"/>
        <v>0</v>
      </c>
      <c r="R49" s="21">
        <f t="shared" si="129"/>
        <v>0</v>
      </c>
      <c r="S49" s="19">
        <f t="shared" si="130"/>
        <v>5</v>
      </c>
      <c r="T49" s="19">
        <f t="shared" si="131"/>
        <v>38000</v>
      </c>
      <c r="U49" s="21">
        <f t="shared" si="132"/>
        <v>38000</v>
      </c>
      <c r="V49" s="39"/>
      <c r="W49" s="16">
        <v>69</v>
      </c>
      <c r="X49" s="17" t="str">
        <f>VLOOKUP(W49,'DATABASE F&amp;B'!$C$3:$F$216,2,0)</f>
        <v>KOPI MATCHA</v>
      </c>
      <c r="Y49" s="18">
        <v>1</v>
      </c>
      <c r="Z49" s="19">
        <f>VLOOKUP(W49,'DATABASE F&amp;B'!$C$3:$F$216,4,0)</f>
        <v>38000</v>
      </c>
      <c r="AA49" s="19">
        <f t="shared" si="133"/>
        <v>38000</v>
      </c>
      <c r="AB49" s="16"/>
      <c r="AC49" s="17">
        <f>VLOOKUP(AB49,'DATABASE F&amp;B'!$C$3:$F$216,2,0)</f>
        <v>0</v>
      </c>
      <c r="AD49" s="18">
        <v>1</v>
      </c>
      <c r="AE49" s="19">
        <f>VLOOKUP(AB49,'DATABASE F&amp;B'!$C$3:$F$216,4,0)</f>
        <v>0</v>
      </c>
      <c r="AF49" s="19">
        <f t="shared" si="134"/>
        <v>0</v>
      </c>
      <c r="AG49" s="16"/>
      <c r="AH49" s="17">
        <f>VLOOKUP(AG49,'DATABASE F&amp;B'!$C$3:$F$216,2,0)</f>
        <v>0</v>
      </c>
      <c r="AI49" s="18">
        <v>1</v>
      </c>
      <c r="AJ49" s="19">
        <f>VLOOKUP(AG49,'DATABASE F&amp;B'!$C$3:$F$216,4,0)</f>
        <v>0</v>
      </c>
      <c r="AK49" s="19">
        <f t="shared" si="135"/>
        <v>0</v>
      </c>
      <c r="AL49" s="16"/>
      <c r="AM49" s="17">
        <f>VLOOKUP(AL49,'DATABASE F&amp;B'!$C$3:$F$216,2,0)</f>
        <v>0</v>
      </c>
      <c r="AN49" s="18">
        <v>1</v>
      </c>
      <c r="AO49" s="19">
        <f>VLOOKUP(AL49,'DATABASE F&amp;B'!$C$3:$F$216,4,0)</f>
        <v>0</v>
      </c>
      <c r="AP49" s="19">
        <f t="shared" si="136"/>
        <v>0</v>
      </c>
      <c r="AQ49" s="16"/>
      <c r="AR49" s="17">
        <f>VLOOKUP(AQ49,'DATABASE F&amp;B'!$C$3:$F$216,2,0)</f>
        <v>0</v>
      </c>
      <c r="AS49" s="18">
        <v>1</v>
      </c>
      <c r="AT49" s="19">
        <f>VLOOKUP(AQ49,'DATABASE F&amp;B'!$C$3:$F$216,4,0)</f>
        <v>0</v>
      </c>
      <c r="AU49" s="19">
        <f t="shared" si="137"/>
        <v>0</v>
      </c>
      <c r="AV49" s="16"/>
      <c r="AW49" s="17">
        <f>VLOOKUP(AV49,'DATABASE F&amp;B'!$C$3:$F$216,2,0)</f>
        <v>0</v>
      </c>
      <c r="AX49" s="18"/>
      <c r="AY49" s="19">
        <f>VLOOKUP(AV49,'DATABASE F&amp;B'!$C$3:$F$216,4,0)</f>
        <v>0</v>
      </c>
      <c r="AZ49" s="19">
        <f t="shared" si="138"/>
        <v>0</v>
      </c>
      <c r="BA49" s="16"/>
      <c r="BB49" s="17">
        <f>VLOOKUP(BA49,'DATABASE F&amp;B'!$C$3:$F$216,2,0)</f>
        <v>0</v>
      </c>
      <c r="BC49" s="18"/>
      <c r="BD49" s="19">
        <f>VLOOKUP(BA49,'DATABASE F&amp;B'!$C$3:$F$216,4,0)</f>
        <v>0</v>
      </c>
      <c r="BE49" s="19">
        <f t="shared" si="139"/>
        <v>0</v>
      </c>
      <c r="BF49" s="16"/>
      <c r="BG49" s="17">
        <f>VLOOKUP(BF49,'DATABASE F&amp;B'!$C$3:$F$216,2,0)</f>
        <v>0</v>
      </c>
      <c r="BH49" s="18"/>
      <c r="BI49" s="19">
        <f>VLOOKUP(BF49,'DATABASE F&amp;B'!$C$3:$F$216,4,0)</f>
        <v>0</v>
      </c>
      <c r="BJ49" s="19">
        <f t="shared" si="140"/>
        <v>0</v>
      </c>
      <c r="BK49" s="16"/>
      <c r="BL49" s="17">
        <f>VLOOKUP(BK49,'DATABASE F&amp;B'!$C$3:$F$210,2,0)</f>
        <v>0</v>
      </c>
      <c r="BM49" s="18"/>
      <c r="BN49" s="19">
        <f>VLOOKUP(BK49,'DATABASE F&amp;B'!$C$3:$F$210,4,0)</f>
        <v>0</v>
      </c>
      <c r="BO49" s="19">
        <f t="shared" si="141"/>
        <v>0</v>
      </c>
      <c r="BP49" s="16"/>
      <c r="BQ49" s="17">
        <f>VLOOKUP(BP49,'DATABASE F&amp;B'!$C$3:$F$210,2,0)</f>
        <v>0</v>
      </c>
      <c r="BR49" s="18"/>
      <c r="BS49" s="19">
        <f>VLOOKUP(BP49,'DATABASE F&amp;B'!$C$3:$F$210,4,0)</f>
        <v>0</v>
      </c>
      <c r="BT49" s="19">
        <f t="shared" si="142"/>
        <v>0</v>
      </c>
      <c r="BU49" s="16"/>
      <c r="BV49" s="17">
        <f>VLOOKUP(BU49,'DATABASE F&amp;B'!$C$3:$F$210,2,0)</f>
        <v>0</v>
      </c>
      <c r="BW49" s="18"/>
      <c r="BX49" s="19">
        <f>VLOOKUP(BU49,'DATABASE F&amp;B'!$C$3:$F$210,4,0)</f>
        <v>0</v>
      </c>
      <c r="BY49" s="19">
        <f t="shared" si="143"/>
        <v>0</v>
      </c>
      <c r="BZ49" s="16"/>
      <c r="CA49" s="17">
        <f>VLOOKUP(BZ49,'DATABASE F&amp;B'!$C$3:$F$210,2,0)</f>
        <v>0</v>
      </c>
      <c r="CB49" s="18"/>
      <c r="CC49" s="19">
        <f>VLOOKUP(BZ49,'DATABASE F&amp;B'!$C$3:$F$210,4,0)</f>
        <v>0</v>
      </c>
      <c r="CD49" s="19">
        <f t="shared" si="144"/>
        <v>0</v>
      </c>
    </row>
    <row r="50" spans="1:82" ht="13.5" x14ac:dyDescent="0.25">
      <c r="A50" s="32" t="str">
        <f t="shared" si="125"/>
        <v>05-'08-2026</v>
      </c>
      <c r="B50" s="22">
        <f t="shared" si="43"/>
        <v>46</v>
      </c>
      <c r="C50" s="22">
        <f t="shared" si="44"/>
        <v>46</v>
      </c>
      <c r="D50" s="34">
        <v>46150</v>
      </c>
      <c r="E50" s="35" t="s">
        <v>58</v>
      </c>
      <c r="F50" s="35" t="s">
        <v>202</v>
      </c>
      <c r="G50" s="52" t="s">
        <v>81</v>
      </c>
      <c r="H50" s="36" t="str">
        <f t="shared" si="23"/>
        <v>RJ-'080526-46</v>
      </c>
      <c r="I50" s="36" t="str">
        <f t="shared" si="126"/>
        <v>'08-05-2026</v>
      </c>
      <c r="J50" s="37" t="str">
        <f>VLOOKUP(D50,Laporan!$C$4:$D$34,2,0)</f>
        <v>Jumat</v>
      </c>
      <c r="K50" s="48"/>
      <c r="L50" s="13" t="s">
        <v>33</v>
      </c>
      <c r="M50" s="19">
        <f>SUMIF('DATABASE Room'!$B$3:$B$7,L50,'DATABASE Room'!$D$3:$D$7)</f>
        <v>0</v>
      </c>
      <c r="N50" s="13">
        <v>1</v>
      </c>
      <c r="O50" s="21">
        <f t="shared" si="127"/>
        <v>0</v>
      </c>
      <c r="P50" s="38"/>
      <c r="Q50" s="19">
        <f t="shared" si="128"/>
        <v>0</v>
      </c>
      <c r="R50" s="21">
        <f t="shared" si="129"/>
        <v>0</v>
      </c>
      <c r="S50" s="19">
        <f t="shared" si="130"/>
        <v>5</v>
      </c>
      <c r="T50" s="19">
        <f t="shared" si="131"/>
        <v>215000</v>
      </c>
      <c r="U50" s="21">
        <f t="shared" si="132"/>
        <v>215000</v>
      </c>
      <c r="V50" s="39"/>
      <c r="W50" s="16">
        <v>70</v>
      </c>
      <c r="X50" s="17" t="str">
        <f>VLOOKUP(W50,'DATABASE F&amp;B'!$C$3:$F$216,2,0)</f>
        <v>SAN MIGUEL LIGHT 330ML</v>
      </c>
      <c r="Y50" s="18">
        <v>1</v>
      </c>
      <c r="Z50" s="19">
        <f>VLOOKUP(W50,'DATABASE F&amp;B'!$C$3:$F$216,4,0)</f>
        <v>40000</v>
      </c>
      <c r="AA50" s="19">
        <f t="shared" si="133"/>
        <v>40000</v>
      </c>
      <c r="AB50" s="16">
        <v>92</v>
      </c>
      <c r="AC50" s="17" t="str">
        <f>VLOOKUP(AB50,'DATABASE F&amp;B'!$C$3:$F$216,2,0)</f>
        <v>AP ANGGUR HIJAU</v>
      </c>
      <c r="AD50" s="18">
        <v>1</v>
      </c>
      <c r="AE50" s="19">
        <f>VLOOKUP(AB50,'DATABASE F&amp;B'!$C$3:$F$216,4,0)</f>
        <v>175000</v>
      </c>
      <c r="AF50" s="19">
        <f t="shared" si="134"/>
        <v>175000</v>
      </c>
      <c r="AG50" s="16"/>
      <c r="AH50" s="17">
        <f>VLOOKUP(AG50,'DATABASE F&amp;B'!$C$3:$F$216,2,0)</f>
        <v>0</v>
      </c>
      <c r="AI50" s="18">
        <v>1</v>
      </c>
      <c r="AJ50" s="19">
        <f>VLOOKUP(AG50,'DATABASE F&amp;B'!$C$3:$F$216,4,0)</f>
        <v>0</v>
      </c>
      <c r="AK50" s="19">
        <f t="shared" si="135"/>
        <v>0</v>
      </c>
      <c r="AL50" s="16"/>
      <c r="AM50" s="17">
        <f>VLOOKUP(AL50,'DATABASE F&amp;B'!$C$3:$F$216,2,0)</f>
        <v>0</v>
      </c>
      <c r="AN50" s="18">
        <v>1</v>
      </c>
      <c r="AO50" s="19">
        <f>VLOOKUP(AL50,'DATABASE F&amp;B'!$C$3:$F$216,4,0)</f>
        <v>0</v>
      </c>
      <c r="AP50" s="19">
        <f t="shared" si="136"/>
        <v>0</v>
      </c>
      <c r="AQ50" s="16"/>
      <c r="AR50" s="17">
        <f>VLOOKUP(AQ50,'DATABASE F&amp;B'!$C$3:$F$216,2,0)</f>
        <v>0</v>
      </c>
      <c r="AS50" s="18">
        <v>1</v>
      </c>
      <c r="AT50" s="19">
        <f>VLOOKUP(AQ50,'DATABASE F&amp;B'!$C$3:$F$216,4,0)</f>
        <v>0</v>
      </c>
      <c r="AU50" s="19">
        <f t="shared" si="137"/>
        <v>0</v>
      </c>
      <c r="AV50" s="16"/>
      <c r="AW50" s="17">
        <f>VLOOKUP(AV50,'DATABASE F&amp;B'!$C$3:$F$216,2,0)</f>
        <v>0</v>
      </c>
      <c r="AX50" s="18"/>
      <c r="AY50" s="19">
        <f>VLOOKUP(AV50,'DATABASE F&amp;B'!$C$3:$F$216,4,0)</f>
        <v>0</v>
      </c>
      <c r="AZ50" s="19">
        <f t="shared" si="138"/>
        <v>0</v>
      </c>
      <c r="BA50" s="16"/>
      <c r="BB50" s="17">
        <f>VLOOKUP(BA50,'DATABASE F&amp;B'!$C$3:$F$216,2,0)</f>
        <v>0</v>
      </c>
      <c r="BC50" s="18"/>
      <c r="BD50" s="19">
        <f>VLOOKUP(BA50,'DATABASE F&amp;B'!$C$3:$F$216,4,0)</f>
        <v>0</v>
      </c>
      <c r="BE50" s="19">
        <f t="shared" si="139"/>
        <v>0</v>
      </c>
      <c r="BF50" s="16"/>
      <c r="BG50" s="17">
        <f>VLOOKUP(BF50,'DATABASE F&amp;B'!$C$3:$F$216,2,0)</f>
        <v>0</v>
      </c>
      <c r="BH50" s="18"/>
      <c r="BI50" s="19">
        <f>VLOOKUP(BF50,'DATABASE F&amp;B'!$C$3:$F$216,4,0)</f>
        <v>0</v>
      </c>
      <c r="BJ50" s="19">
        <f t="shared" si="140"/>
        <v>0</v>
      </c>
      <c r="BK50" s="16"/>
      <c r="BL50" s="17">
        <f>VLOOKUP(BK50,'DATABASE F&amp;B'!$C$3:$F$210,2,0)</f>
        <v>0</v>
      </c>
      <c r="BM50" s="18"/>
      <c r="BN50" s="19">
        <f>VLOOKUP(BK50,'DATABASE F&amp;B'!$C$3:$F$210,4,0)</f>
        <v>0</v>
      </c>
      <c r="BO50" s="19">
        <f t="shared" si="141"/>
        <v>0</v>
      </c>
      <c r="BP50" s="16"/>
      <c r="BQ50" s="17">
        <f>VLOOKUP(BP50,'DATABASE F&amp;B'!$C$3:$F$210,2,0)</f>
        <v>0</v>
      </c>
      <c r="BR50" s="18"/>
      <c r="BS50" s="19">
        <f>VLOOKUP(BP50,'DATABASE F&amp;B'!$C$3:$F$210,4,0)</f>
        <v>0</v>
      </c>
      <c r="BT50" s="19">
        <f t="shared" si="142"/>
        <v>0</v>
      </c>
      <c r="BU50" s="16"/>
      <c r="BV50" s="17">
        <f>VLOOKUP(BU50,'DATABASE F&amp;B'!$C$3:$F$210,2,0)</f>
        <v>0</v>
      </c>
      <c r="BW50" s="18"/>
      <c r="BX50" s="19">
        <f>VLOOKUP(BU50,'DATABASE F&amp;B'!$C$3:$F$210,4,0)</f>
        <v>0</v>
      </c>
      <c r="BY50" s="19">
        <f t="shared" si="143"/>
        <v>0</v>
      </c>
      <c r="BZ50" s="16"/>
      <c r="CA50" s="17">
        <f>VLOOKUP(BZ50,'DATABASE F&amp;B'!$C$3:$F$210,2,0)</f>
        <v>0</v>
      </c>
      <c r="CB50" s="18"/>
      <c r="CC50" s="19">
        <f>VLOOKUP(BZ50,'DATABASE F&amp;B'!$C$3:$F$210,4,0)</f>
        <v>0</v>
      </c>
      <c r="CD50" s="19">
        <f t="shared" si="144"/>
        <v>0</v>
      </c>
    </row>
    <row r="51" spans="1:82" ht="13.5" x14ac:dyDescent="0.25">
      <c r="A51" s="32" t="str">
        <f t="shared" si="125"/>
        <v>05-'08-2026</v>
      </c>
      <c r="B51" s="22">
        <f t="shared" si="43"/>
        <v>47</v>
      </c>
      <c r="C51" s="22">
        <f t="shared" si="44"/>
        <v>47</v>
      </c>
      <c r="D51" s="34">
        <v>46150</v>
      </c>
      <c r="E51" s="35" t="s">
        <v>58</v>
      </c>
      <c r="F51" s="35" t="s">
        <v>202</v>
      </c>
      <c r="G51" s="52" t="s">
        <v>81</v>
      </c>
      <c r="H51" s="36" t="str">
        <f t="shared" si="23"/>
        <v>RJ-'080526-47</v>
      </c>
      <c r="I51" s="36" t="str">
        <f t="shared" si="126"/>
        <v>'08-05-2026</v>
      </c>
      <c r="J51" s="37" t="str">
        <f>VLOOKUP(D51,Laporan!$C$4:$D$34,2,0)</f>
        <v>Jumat</v>
      </c>
      <c r="K51" s="48"/>
      <c r="L51" s="13" t="s">
        <v>33</v>
      </c>
      <c r="M51" s="19">
        <f>SUMIF('DATABASE Room'!$B$3:$B$7,L51,'DATABASE Room'!$D$3:$D$7)</f>
        <v>0</v>
      </c>
      <c r="N51" s="13">
        <v>1</v>
      </c>
      <c r="O51" s="21">
        <f t="shared" si="127"/>
        <v>0</v>
      </c>
      <c r="P51" s="38"/>
      <c r="Q51" s="19">
        <f t="shared" si="128"/>
        <v>0</v>
      </c>
      <c r="R51" s="21">
        <f t="shared" si="129"/>
        <v>0</v>
      </c>
      <c r="S51" s="19">
        <f t="shared" si="130"/>
        <v>5</v>
      </c>
      <c r="T51" s="19">
        <f t="shared" si="131"/>
        <v>42000</v>
      </c>
      <c r="U51" s="21">
        <f t="shared" si="132"/>
        <v>42000</v>
      </c>
      <c r="V51" s="39"/>
      <c r="W51" s="16">
        <v>71</v>
      </c>
      <c r="X51" s="17" t="str">
        <f>VLOOKUP(W51,'DATABASE F&amp;B'!$C$3:$F$216,2,0)</f>
        <v>SAN MIGUEL PALE PILSENER 330ML</v>
      </c>
      <c r="Y51" s="18">
        <v>1</v>
      </c>
      <c r="Z51" s="19">
        <f>VLOOKUP(W51,'DATABASE F&amp;B'!$C$3:$F$216,4,0)</f>
        <v>42000</v>
      </c>
      <c r="AA51" s="19">
        <f t="shared" si="133"/>
        <v>42000</v>
      </c>
      <c r="AB51" s="16"/>
      <c r="AC51" s="17">
        <f>VLOOKUP(AB51,'DATABASE F&amp;B'!$C$3:$F$216,2,0)</f>
        <v>0</v>
      </c>
      <c r="AD51" s="18">
        <v>1</v>
      </c>
      <c r="AE51" s="19">
        <f>VLOOKUP(AB51,'DATABASE F&amp;B'!$C$3:$F$216,4,0)</f>
        <v>0</v>
      </c>
      <c r="AF51" s="19">
        <f t="shared" si="134"/>
        <v>0</v>
      </c>
      <c r="AG51" s="16"/>
      <c r="AH51" s="17">
        <f>VLOOKUP(AG51,'DATABASE F&amp;B'!$C$3:$F$216,2,0)</f>
        <v>0</v>
      </c>
      <c r="AI51" s="18">
        <v>1</v>
      </c>
      <c r="AJ51" s="19">
        <f>VLOOKUP(AG51,'DATABASE F&amp;B'!$C$3:$F$216,4,0)</f>
        <v>0</v>
      </c>
      <c r="AK51" s="19">
        <f t="shared" si="135"/>
        <v>0</v>
      </c>
      <c r="AL51" s="16"/>
      <c r="AM51" s="17">
        <f>VLOOKUP(AL51,'DATABASE F&amp;B'!$C$3:$F$216,2,0)</f>
        <v>0</v>
      </c>
      <c r="AN51" s="18">
        <v>1</v>
      </c>
      <c r="AO51" s="19">
        <f>VLOOKUP(AL51,'DATABASE F&amp;B'!$C$3:$F$216,4,0)</f>
        <v>0</v>
      </c>
      <c r="AP51" s="19">
        <f t="shared" si="136"/>
        <v>0</v>
      </c>
      <c r="AQ51" s="16"/>
      <c r="AR51" s="17">
        <f>VLOOKUP(AQ51,'DATABASE F&amp;B'!$C$3:$F$216,2,0)</f>
        <v>0</v>
      </c>
      <c r="AS51" s="18">
        <v>1</v>
      </c>
      <c r="AT51" s="19">
        <f>VLOOKUP(AQ51,'DATABASE F&amp;B'!$C$3:$F$216,4,0)</f>
        <v>0</v>
      </c>
      <c r="AU51" s="19">
        <f t="shared" si="137"/>
        <v>0</v>
      </c>
      <c r="AV51" s="16"/>
      <c r="AW51" s="17">
        <f>VLOOKUP(AV51,'DATABASE F&amp;B'!$C$3:$F$216,2,0)</f>
        <v>0</v>
      </c>
      <c r="AX51" s="18"/>
      <c r="AY51" s="19">
        <f>VLOOKUP(AV51,'DATABASE F&amp;B'!$C$3:$F$216,4,0)</f>
        <v>0</v>
      </c>
      <c r="AZ51" s="19">
        <f t="shared" si="138"/>
        <v>0</v>
      </c>
      <c r="BA51" s="16"/>
      <c r="BB51" s="17">
        <f>VLOOKUP(BA51,'DATABASE F&amp;B'!$C$3:$F$216,2,0)</f>
        <v>0</v>
      </c>
      <c r="BC51" s="18"/>
      <c r="BD51" s="19">
        <f>VLOOKUP(BA51,'DATABASE F&amp;B'!$C$3:$F$216,4,0)</f>
        <v>0</v>
      </c>
      <c r="BE51" s="19">
        <f t="shared" si="139"/>
        <v>0</v>
      </c>
      <c r="BF51" s="16"/>
      <c r="BG51" s="17">
        <f>VLOOKUP(BF51,'DATABASE F&amp;B'!$C$3:$F$216,2,0)</f>
        <v>0</v>
      </c>
      <c r="BH51" s="18"/>
      <c r="BI51" s="19">
        <f>VLOOKUP(BF51,'DATABASE F&amp;B'!$C$3:$F$216,4,0)</f>
        <v>0</v>
      </c>
      <c r="BJ51" s="19">
        <f t="shared" si="140"/>
        <v>0</v>
      </c>
      <c r="BK51" s="16"/>
      <c r="BL51" s="17">
        <f>VLOOKUP(BK51,'DATABASE F&amp;B'!$C$3:$F$210,2,0)</f>
        <v>0</v>
      </c>
      <c r="BM51" s="18"/>
      <c r="BN51" s="19">
        <f>VLOOKUP(BK51,'DATABASE F&amp;B'!$C$3:$F$210,4,0)</f>
        <v>0</v>
      </c>
      <c r="BO51" s="19">
        <f t="shared" si="141"/>
        <v>0</v>
      </c>
      <c r="BP51" s="16"/>
      <c r="BQ51" s="17">
        <f>VLOOKUP(BP51,'DATABASE F&amp;B'!$C$3:$F$210,2,0)</f>
        <v>0</v>
      </c>
      <c r="BR51" s="18"/>
      <c r="BS51" s="19">
        <f>VLOOKUP(BP51,'DATABASE F&amp;B'!$C$3:$F$210,4,0)</f>
        <v>0</v>
      </c>
      <c r="BT51" s="19">
        <f t="shared" si="142"/>
        <v>0</v>
      </c>
      <c r="BU51" s="16"/>
      <c r="BV51" s="17">
        <f>VLOOKUP(BU51,'DATABASE F&amp;B'!$C$3:$F$210,2,0)</f>
        <v>0</v>
      </c>
      <c r="BW51" s="18"/>
      <c r="BX51" s="19">
        <f>VLOOKUP(BU51,'DATABASE F&amp;B'!$C$3:$F$210,4,0)</f>
        <v>0</v>
      </c>
      <c r="BY51" s="19">
        <f t="shared" si="143"/>
        <v>0</v>
      </c>
      <c r="BZ51" s="16"/>
      <c r="CA51" s="17">
        <f>VLOOKUP(BZ51,'DATABASE F&amp;B'!$C$3:$F$210,2,0)</f>
        <v>0</v>
      </c>
      <c r="CB51" s="18"/>
      <c r="CC51" s="19">
        <f>VLOOKUP(BZ51,'DATABASE F&amp;B'!$C$3:$F$210,4,0)</f>
        <v>0</v>
      </c>
      <c r="CD51" s="19">
        <f t="shared" si="144"/>
        <v>0</v>
      </c>
    </row>
    <row r="52" spans="1:82" ht="13.5" x14ac:dyDescent="0.25">
      <c r="A52" s="32" t="str">
        <f t="shared" si="125"/>
        <v>05-'08-2026</v>
      </c>
      <c r="B52" s="22">
        <f t="shared" si="43"/>
        <v>48</v>
      </c>
      <c r="C52" s="22">
        <f t="shared" si="44"/>
        <v>48</v>
      </c>
      <c r="D52" s="34">
        <v>46150</v>
      </c>
      <c r="E52" s="35" t="s">
        <v>58</v>
      </c>
      <c r="F52" s="35" t="s">
        <v>202</v>
      </c>
      <c r="G52" s="52" t="s">
        <v>81</v>
      </c>
      <c r="H52" s="36" t="str">
        <f t="shared" si="23"/>
        <v>RJ-'080526-48</v>
      </c>
      <c r="I52" s="36" t="str">
        <f t="shared" si="126"/>
        <v>'08-05-2026</v>
      </c>
      <c r="J52" s="37" t="str">
        <f>VLOOKUP(D52,Laporan!$C$4:$D$34,2,0)</f>
        <v>Jumat</v>
      </c>
      <c r="K52" s="48"/>
      <c r="L52" s="13" t="s">
        <v>33</v>
      </c>
      <c r="M52" s="19">
        <f>SUMIF('DATABASE Room'!$B$3:$B$7,L52,'DATABASE Room'!$D$3:$D$7)</f>
        <v>0</v>
      </c>
      <c r="N52" s="13">
        <v>1</v>
      </c>
      <c r="O52" s="21">
        <f t="shared" si="127"/>
        <v>0</v>
      </c>
      <c r="P52" s="38"/>
      <c r="Q52" s="19">
        <f t="shared" si="128"/>
        <v>0</v>
      </c>
      <c r="R52" s="21">
        <f t="shared" si="129"/>
        <v>0</v>
      </c>
      <c r="S52" s="19">
        <f t="shared" si="130"/>
        <v>5</v>
      </c>
      <c r="T52" s="19">
        <f t="shared" si="131"/>
        <v>45000</v>
      </c>
      <c r="U52" s="21">
        <f t="shared" si="132"/>
        <v>45000</v>
      </c>
      <c r="V52" s="39"/>
      <c r="W52" s="16">
        <v>72</v>
      </c>
      <c r="X52" s="17" t="str">
        <f>VLOOKUP(W52,'DATABASE F&amp;B'!$C$3:$F$216,2,0)</f>
        <v>CARLSBERG PINT 330ML</v>
      </c>
      <c r="Y52" s="18">
        <v>1</v>
      </c>
      <c r="Z52" s="19">
        <f>VLOOKUP(W52,'DATABASE F&amp;B'!$C$3:$F$216,4,0)</f>
        <v>45000</v>
      </c>
      <c r="AA52" s="19">
        <f t="shared" si="133"/>
        <v>45000</v>
      </c>
      <c r="AB52" s="16"/>
      <c r="AC52" s="17">
        <f>VLOOKUP(AB52,'DATABASE F&amp;B'!$C$3:$F$216,2,0)</f>
        <v>0</v>
      </c>
      <c r="AD52" s="18">
        <v>1</v>
      </c>
      <c r="AE52" s="19">
        <f>VLOOKUP(AB52,'DATABASE F&amp;B'!$C$3:$F$216,4,0)</f>
        <v>0</v>
      </c>
      <c r="AF52" s="19">
        <f t="shared" si="134"/>
        <v>0</v>
      </c>
      <c r="AG52" s="16"/>
      <c r="AH52" s="17">
        <f>VLOOKUP(AG52,'DATABASE F&amp;B'!$C$3:$F$216,2,0)</f>
        <v>0</v>
      </c>
      <c r="AI52" s="18">
        <v>1</v>
      </c>
      <c r="AJ52" s="19">
        <f>VLOOKUP(AG52,'DATABASE F&amp;B'!$C$3:$F$216,4,0)</f>
        <v>0</v>
      </c>
      <c r="AK52" s="19">
        <f t="shared" si="135"/>
        <v>0</v>
      </c>
      <c r="AL52" s="16"/>
      <c r="AM52" s="17">
        <f>VLOOKUP(AL52,'DATABASE F&amp;B'!$C$3:$F$216,2,0)</f>
        <v>0</v>
      </c>
      <c r="AN52" s="18">
        <v>1</v>
      </c>
      <c r="AO52" s="19">
        <f>VLOOKUP(AL52,'DATABASE F&amp;B'!$C$3:$F$216,4,0)</f>
        <v>0</v>
      </c>
      <c r="AP52" s="19">
        <f t="shared" si="136"/>
        <v>0</v>
      </c>
      <c r="AQ52" s="16"/>
      <c r="AR52" s="17">
        <f>VLOOKUP(AQ52,'DATABASE F&amp;B'!$C$3:$F$216,2,0)</f>
        <v>0</v>
      </c>
      <c r="AS52" s="18">
        <v>1</v>
      </c>
      <c r="AT52" s="19">
        <f>VLOOKUP(AQ52,'DATABASE F&amp;B'!$C$3:$F$216,4,0)</f>
        <v>0</v>
      </c>
      <c r="AU52" s="19">
        <f t="shared" si="137"/>
        <v>0</v>
      </c>
      <c r="AV52" s="16"/>
      <c r="AW52" s="17">
        <f>VLOOKUP(AV52,'DATABASE F&amp;B'!$C$3:$F$216,2,0)</f>
        <v>0</v>
      </c>
      <c r="AX52" s="18"/>
      <c r="AY52" s="19">
        <f>VLOOKUP(AV52,'DATABASE F&amp;B'!$C$3:$F$216,4,0)</f>
        <v>0</v>
      </c>
      <c r="AZ52" s="19">
        <f t="shared" si="138"/>
        <v>0</v>
      </c>
      <c r="BA52" s="16"/>
      <c r="BB52" s="17">
        <f>VLOOKUP(BA52,'DATABASE F&amp;B'!$C$3:$F$216,2,0)</f>
        <v>0</v>
      </c>
      <c r="BC52" s="18"/>
      <c r="BD52" s="19">
        <f>VLOOKUP(BA52,'DATABASE F&amp;B'!$C$3:$F$216,4,0)</f>
        <v>0</v>
      </c>
      <c r="BE52" s="19">
        <f t="shared" si="139"/>
        <v>0</v>
      </c>
      <c r="BF52" s="16"/>
      <c r="BG52" s="17">
        <f>VLOOKUP(BF52,'DATABASE F&amp;B'!$C$3:$F$216,2,0)</f>
        <v>0</v>
      </c>
      <c r="BH52" s="18"/>
      <c r="BI52" s="19">
        <f>VLOOKUP(BF52,'DATABASE F&amp;B'!$C$3:$F$216,4,0)</f>
        <v>0</v>
      </c>
      <c r="BJ52" s="19">
        <f t="shared" si="140"/>
        <v>0</v>
      </c>
      <c r="BK52" s="16"/>
      <c r="BL52" s="17">
        <f>VLOOKUP(BK52,'DATABASE F&amp;B'!$C$3:$F$210,2,0)</f>
        <v>0</v>
      </c>
      <c r="BM52" s="18"/>
      <c r="BN52" s="19">
        <f>VLOOKUP(BK52,'DATABASE F&amp;B'!$C$3:$F$210,4,0)</f>
        <v>0</v>
      </c>
      <c r="BO52" s="19">
        <f t="shared" si="141"/>
        <v>0</v>
      </c>
      <c r="BP52" s="16"/>
      <c r="BQ52" s="17">
        <f>VLOOKUP(BP52,'DATABASE F&amp;B'!$C$3:$F$210,2,0)</f>
        <v>0</v>
      </c>
      <c r="BR52" s="18"/>
      <c r="BS52" s="19">
        <f>VLOOKUP(BP52,'DATABASE F&amp;B'!$C$3:$F$210,4,0)</f>
        <v>0</v>
      </c>
      <c r="BT52" s="19">
        <f t="shared" si="142"/>
        <v>0</v>
      </c>
      <c r="BU52" s="16"/>
      <c r="BV52" s="17">
        <f>VLOOKUP(BU52,'DATABASE F&amp;B'!$C$3:$F$210,2,0)</f>
        <v>0</v>
      </c>
      <c r="BW52" s="18"/>
      <c r="BX52" s="19">
        <f>VLOOKUP(BU52,'DATABASE F&amp;B'!$C$3:$F$210,4,0)</f>
        <v>0</v>
      </c>
      <c r="BY52" s="19">
        <f t="shared" si="143"/>
        <v>0</v>
      </c>
      <c r="BZ52" s="16"/>
      <c r="CA52" s="17">
        <f>VLOOKUP(BZ52,'DATABASE F&amp;B'!$C$3:$F$210,2,0)</f>
        <v>0</v>
      </c>
      <c r="CB52" s="18"/>
      <c r="CC52" s="19">
        <f>VLOOKUP(BZ52,'DATABASE F&amp;B'!$C$3:$F$210,4,0)</f>
        <v>0</v>
      </c>
      <c r="CD52" s="19">
        <f t="shared" si="144"/>
        <v>0</v>
      </c>
    </row>
    <row r="53" spans="1:82" ht="13.5" x14ac:dyDescent="0.25">
      <c r="A53" s="32" t="str">
        <f t="shared" si="125"/>
        <v>05-'09-2026</v>
      </c>
      <c r="B53" s="22">
        <f t="shared" si="43"/>
        <v>49</v>
      </c>
      <c r="C53" s="22">
        <f t="shared" si="44"/>
        <v>49</v>
      </c>
      <c r="D53" s="34">
        <v>46151</v>
      </c>
      <c r="E53" s="35" t="s">
        <v>59</v>
      </c>
      <c r="F53" s="35" t="s">
        <v>202</v>
      </c>
      <c r="G53" s="52" t="s">
        <v>81</v>
      </c>
      <c r="H53" s="36" t="str">
        <f t="shared" si="23"/>
        <v>RJ-'090526-49</v>
      </c>
      <c r="I53" s="36" t="str">
        <f t="shared" si="126"/>
        <v>'09-05-2026</v>
      </c>
      <c r="J53" s="37" t="str">
        <f>VLOOKUP(D53,Laporan!$C$4:$D$34,2,0)</f>
        <v>Sabtu</v>
      </c>
      <c r="K53" s="48"/>
      <c r="L53" s="13" t="s">
        <v>33</v>
      </c>
      <c r="M53" s="19">
        <f>SUMIF('DATABASE Room'!$B$3:$B$7,L53,'DATABASE Room'!$D$3:$D$7)</f>
        <v>0</v>
      </c>
      <c r="N53" s="13">
        <v>1</v>
      </c>
      <c r="O53" s="21">
        <f t="shared" si="127"/>
        <v>0</v>
      </c>
      <c r="P53" s="38"/>
      <c r="Q53" s="19">
        <f t="shared" si="128"/>
        <v>0</v>
      </c>
      <c r="R53" s="21">
        <f t="shared" si="129"/>
        <v>0</v>
      </c>
      <c r="S53" s="19">
        <f t="shared" si="130"/>
        <v>5</v>
      </c>
      <c r="T53" s="19">
        <f t="shared" si="131"/>
        <v>40000</v>
      </c>
      <c r="U53" s="21">
        <f t="shared" si="132"/>
        <v>40000</v>
      </c>
      <c r="V53" s="39"/>
      <c r="W53" s="16">
        <v>73</v>
      </c>
      <c r="X53" s="17" t="str">
        <f>VLOOKUP(W53,'DATABASE F&amp;B'!$C$3:$F$216,2,0)</f>
        <v>GUINNES 325ML</v>
      </c>
      <c r="Y53" s="18">
        <v>1</v>
      </c>
      <c r="Z53" s="19">
        <f>VLOOKUP(W53,'DATABASE F&amp;B'!$C$3:$F$216,4,0)</f>
        <v>40000</v>
      </c>
      <c r="AA53" s="19">
        <f t="shared" si="133"/>
        <v>40000</v>
      </c>
      <c r="AB53" s="16"/>
      <c r="AC53" s="17">
        <f>VLOOKUP(AB53,'DATABASE F&amp;B'!$C$3:$F$216,2,0)</f>
        <v>0</v>
      </c>
      <c r="AD53" s="18">
        <v>1</v>
      </c>
      <c r="AE53" s="19">
        <f>VLOOKUP(AB53,'DATABASE F&amp;B'!$C$3:$F$216,4,0)</f>
        <v>0</v>
      </c>
      <c r="AF53" s="19">
        <f t="shared" si="134"/>
        <v>0</v>
      </c>
      <c r="AG53" s="16"/>
      <c r="AH53" s="17">
        <f>VLOOKUP(AG53,'DATABASE F&amp;B'!$C$3:$F$216,2,0)</f>
        <v>0</v>
      </c>
      <c r="AI53" s="18">
        <v>1</v>
      </c>
      <c r="AJ53" s="19">
        <f>VLOOKUP(AG53,'DATABASE F&amp;B'!$C$3:$F$216,4,0)</f>
        <v>0</v>
      </c>
      <c r="AK53" s="19">
        <f t="shared" si="135"/>
        <v>0</v>
      </c>
      <c r="AL53" s="16"/>
      <c r="AM53" s="17">
        <f>VLOOKUP(AL53,'DATABASE F&amp;B'!$C$3:$F$216,2,0)</f>
        <v>0</v>
      </c>
      <c r="AN53" s="18">
        <v>1</v>
      </c>
      <c r="AO53" s="19">
        <f>VLOOKUP(AL53,'DATABASE F&amp;B'!$C$3:$F$216,4,0)</f>
        <v>0</v>
      </c>
      <c r="AP53" s="19">
        <f t="shared" si="136"/>
        <v>0</v>
      </c>
      <c r="AQ53" s="16"/>
      <c r="AR53" s="17">
        <f>VLOOKUP(AQ53,'DATABASE F&amp;B'!$C$3:$F$216,2,0)</f>
        <v>0</v>
      </c>
      <c r="AS53" s="18">
        <v>1</v>
      </c>
      <c r="AT53" s="19">
        <f>VLOOKUP(AQ53,'DATABASE F&amp;B'!$C$3:$F$216,4,0)</f>
        <v>0</v>
      </c>
      <c r="AU53" s="19">
        <f t="shared" si="137"/>
        <v>0</v>
      </c>
      <c r="AV53" s="16"/>
      <c r="AW53" s="17">
        <f>VLOOKUP(AV53,'DATABASE F&amp;B'!$C$3:$F$216,2,0)</f>
        <v>0</v>
      </c>
      <c r="AX53" s="18"/>
      <c r="AY53" s="19">
        <f>VLOOKUP(AV53,'DATABASE F&amp;B'!$C$3:$F$216,4,0)</f>
        <v>0</v>
      </c>
      <c r="AZ53" s="19">
        <f t="shared" si="138"/>
        <v>0</v>
      </c>
      <c r="BA53" s="16"/>
      <c r="BB53" s="17">
        <f>VLOOKUP(BA53,'DATABASE F&amp;B'!$C$3:$F$216,2,0)</f>
        <v>0</v>
      </c>
      <c r="BC53" s="18"/>
      <c r="BD53" s="19">
        <f>VLOOKUP(BA53,'DATABASE F&amp;B'!$C$3:$F$216,4,0)</f>
        <v>0</v>
      </c>
      <c r="BE53" s="19">
        <f t="shared" si="139"/>
        <v>0</v>
      </c>
      <c r="BF53" s="16"/>
      <c r="BG53" s="17">
        <f>VLOOKUP(BF53,'DATABASE F&amp;B'!$C$3:$F$216,2,0)</f>
        <v>0</v>
      </c>
      <c r="BH53" s="18"/>
      <c r="BI53" s="19">
        <f>VLOOKUP(BF53,'DATABASE F&amp;B'!$C$3:$F$216,4,0)</f>
        <v>0</v>
      </c>
      <c r="BJ53" s="19">
        <f t="shared" si="140"/>
        <v>0</v>
      </c>
      <c r="BK53" s="16"/>
      <c r="BL53" s="17">
        <f>VLOOKUP(BK53,'DATABASE F&amp;B'!$C$3:$F$210,2,0)</f>
        <v>0</v>
      </c>
      <c r="BM53" s="18"/>
      <c r="BN53" s="19">
        <f>VLOOKUP(BK53,'DATABASE F&amp;B'!$C$3:$F$210,4,0)</f>
        <v>0</v>
      </c>
      <c r="BO53" s="19">
        <f t="shared" si="141"/>
        <v>0</v>
      </c>
      <c r="BP53" s="16"/>
      <c r="BQ53" s="17">
        <f>VLOOKUP(BP53,'DATABASE F&amp;B'!$C$3:$F$210,2,0)</f>
        <v>0</v>
      </c>
      <c r="BR53" s="18"/>
      <c r="BS53" s="19">
        <f>VLOOKUP(BP53,'DATABASE F&amp;B'!$C$3:$F$210,4,0)</f>
        <v>0</v>
      </c>
      <c r="BT53" s="19">
        <f t="shared" si="142"/>
        <v>0</v>
      </c>
      <c r="BU53" s="16"/>
      <c r="BV53" s="17">
        <f>VLOOKUP(BU53,'DATABASE F&amp;B'!$C$3:$F$210,2,0)</f>
        <v>0</v>
      </c>
      <c r="BW53" s="18"/>
      <c r="BX53" s="19">
        <f>VLOOKUP(BU53,'DATABASE F&amp;B'!$C$3:$F$210,4,0)</f>
        <v>0</v>
      </c>
      <c r="BY53" s="19">
        <f t="shared" si="143"/>
        <v>0</v>
      </c>
      <c r="BZ53" s="16"/>
      <c r="CA53" s="17">
        <f>VLOOKUP(BZ53,'DATABASE F&amp;B'!$C$3:$F$210,2,0)</f>
        <v>0</v>
      </c>
      <c r="CB53" s="18"/>
      <c r="CC53" s="19">
        <f>VLOOKUP(BZ53,'DATABASE F&amp;B'!$C$3:$F$210,4,0)</f>
        <v>0</v>
      </c>
      <c r="CD53" s="19">
        <f t="shared" si="144"/>
        <v>0</v>
      </c>
    </row>
    <row r="54" spans="1:82" ht="13.5" x14ac:dyDescent="0.25">
      <c r="A54" s="32" t="str">
        <f t="shared" si="125"/>
        <v>05-'09-2026</v>
      </c>
      <c r="B54" s="22">
        <f t="shared" si="43"/>
        <v>50</v>
      </c>
      <c r="C54" s="22">
        <f t="shared" si="44"/>
        <v>50</v>
      </c>
      <c r="D54" s="34">
        <v>46151</v>
      </c>
      <c r="E54" s="35" t="s">
        <v>59</v>
      </c>
      <c r="F54" s="35" t="s">
        <v>202</v>
      </c>
      <c r="G54" s="52" t="s">
        <v>81</v>
      </c>
      <c r="H54" s="36" t="str">
        <f t="shared" si="23"/>
        <v>RJ-'090526-50</v>
      </c>
      <c r="I54" s="36" t="str">
        <f t="shared" si="126"/>
        <v>'09-05-2026</v>
      </c>
      <c r="J54" s="37" t="str">
        <f>VLOOKUP(D54,Laporan!$C$4:$D$34,2,0)</f>
        <v>Sabtu</v>
      </c>
      <c r="K54" s="48"/>
      <c r="L54" s="13" t="s">
        <v>33</v>
      </c>
      <c r="M54" s="19">
        <f>SUMIF('DATABASE Room'!$B$3:$B$7,L54,'DATABASE Room'!$D$3:$D$7)</f>
        <v>0</v>
      </c>
      <c r="N54" s="13">
        <v>1</v>
      </c>
      <c r="O54" s="21">
        <f t="shared" si="127"/>
        <v>0</v>
      </c>
      <c r="P54" s="38"/>
      <c r="Q54" s="19">
        <f t="shared" si="128"/>
        <v>0</v>
      </c>
      <c r="R54" s="21">
        <f t="shared" si="129"/>
        <v>0</v>
      </c>
      <c r="S54" s="19">
        <f t="shared" si="130"/>
        <v>5</v>
      </c>
      <c r="T54" s="19">
        <f t="shared" si="131"/>
        <v>45000</v>
      </c>
      <c r="U54" s="21">
        <f t="shared" si="132"/>
        <v>45000</v>
      </c>
      <c r="V54" s="39"/>
      <c r="W54" s="16">
        <v>74</v>
      </c>
      <c r="X54" s="17" t="str">
        <f>VLOOKUP(W54,'DATABASE F&amp;B'!$C$3:$F$216,2,0)</f>
        <v>SAN MIGUEL NEGRA 330ML</v>
      </c>
      <c r="Y54" s="18">
        <v>1</v>
      </c>
      <c r="Z54" s="19">
        <f>VLOOKUP(W54,'DATABASE F&amp;B'!$C$3:$F$216,4,0)</f>
        <v>45000</v>
      </c>
      <c r="AA54" s="19">
        <f t="shared" si="133"/>
        <v>45000</v>
      </c>
      <c r="AB54" s="16"/>
      <c r="AC54" s="17">
        <f>VLOOKUP(AB54,'DATABASE F&amp;B'!$C$3:$F$216,2,0)</f>
        <v>0</v>
      </c>
      <c r="AD54" s="18">
        <v>1</v>
      </c>
      <c r="AE54" s="19">
        <f>VLOOKUP(AB54,'DATABASE F&amp;B'!$C$3:$F$216,4,0)</f>
        <v>0</v>
      </c>
      <c r="AF54" s="19">
        <f t="shared" si="134"/>
        <v>0</v>
      </c>
      <c r="AG54" s="16"/>
      <c r="AH54" s="17">
        <f>VLOOKUP(AG54,'DATABASE F&amp;B'!$C$3:$F$216,2,0)</f>
        <v>0</v>
      </c>
      <c r="AI54" s="18">
        <v>1</v>
      </c>
      <c r="AJ54" s="19">
        <f>VLOOKUP(AG54,'DATABASE F&amp;B'!$C$3:$F$216,4,0)</f>
        <v>0</v>
      </c>
      <c r="AK54" s="19">
        <f t="shared" si="135"/>
        <v>0</v>
      </c>
      <c r="AL54" s="16"/>
      <c r="AM54" s="17">
        <f>VLOOKUP(AL54,'DATABASE F&amp;B'!$C$3:$F$216,2,0)</f>
        <v>0</v>
      </c>
      <c r="AN54" s="18">
        <v>1</v>
      </c>
      <c r="AO54" s="19">
        <f>VLOOKUP(AL54,'DATABASE F&amp;B'!$C$3:$F$216,4,0)</f>
        <v>0</v>
      </c>
      <c r="AP54" s="19">
        <f t="shared" si="136"/>
        <v>0</v>
      </c>
      <c r="AQ54" s="16"/>
      <c r="AR54" s="17">
        <f>VLOOKUP(AQ54,'DATABASE F&amp;B'!$C$3:$F$216,2,0)</f>
        <v>0</v>
      </c>
      <c r="AS54" s="18">
        <v>1</v>
      </c>
      <c r="AT54" s="19">
        <f>VLOOKUP(AQ54,'DATABASE F&amp;B'!$C$3:$F$216,4,0)</f>
        <v>0</v>
      </c>
      <c r="AU54" s="19">
        <f t="shared" si="137"/>
        <v>0</v>
      </c>
      <c r="AV54" s="16"/>
      <c r="AW54" s="17">
        <f>VLOOKUP(AV54,'DATABASE F&amp;B'!$C$3:$F$216,2,0)</f>
        <v>0</v>
      </c>
      <c r="AX54" s="18"/>
      <c r="AY54" s="19">
        <f>VLOOKUP(AV54,'DATABASE F&amp;B'!$C$3:$F$216,4,0)</f>
        <v>0</v>
      </c>
      <c r="AZ54" s="19">
        <f t="shared" si="138"/>
        <v>0</v>
      </c>
      <c r="BA54" s="16"/>
      <c r="BB54" s="17">
        <f>VLOOKUP(BA54,'DATABASE F&amp;B'!$C$3:$F$216,2,0)</f>
        <v>0</v>
      </c>
      <c r="BC54" s="18"/>
      <c r="BD54" s="19">
        <f>VLOOKUP(BA54,'DATABASE F&amp;B'!$C$3:$F$216,4,0)</f>
        <v>0</v>
      </c>
      <c r="BE54" s="19">
        <f t="shared" si="139"/>
        <v>0</v>
      </c>
      <c r="BF54" s="16"/>
      <c r="BG54" s="17">
        <f>VLOOKUP(BF54,'DATABASE F&amp;B'!$C$3:$F$216,2,0)</f>
        <v>0</v>
      </c>
      <c r="BH54" s="18"/>
      <c r="BI54" s="19">
        <f>VLOOKUP(BF54,'DATABASE F&amp;B'!$C$3:$F$216,4,0)</f>
        <v>0</v>
      </c>
      <c r="BJ54" s="19">
        <f t="shared" si="140"/>
        <v>0</v>
      </c>
      <c r="BK54" s="16"/>
      <c r="BL54" s="17">
        <f>VLOOKUP(BK54,'DATABASE F&amp;B'!$C$3:$F$210,2,0)</f>
        <v>0</v>
      </c>
      <c r="BM54" s="18"/>
      <c r="BN54" s="19">
        <f>VLOOKUP(BK54,'DATABASE F&amp;B'!$C$3:$F$210,4,0)</f>
        <v>0</v>
      </c>
      <c r="BO54" s="19">
        <f t="shared" si="141"/>
        <v>0</v>
      </c>
      <c r="BP54" s="16"/>
      <c r="BQ54" s="17">
        <f>VLOOKUP(BP54,'DATABASE F&amp;B'!$C$3:$F$210,2,0)</f>
        <v>0</v>
      </c>
      <c r="BR54" s="18"/>
      <c r="BS54" s="19">
        <f>VLOOKUP(BP54,'DATABASE F&amp;B'!$C$3:$F$210,4,0)</f>
        <v>0</v>
      </c>
      <c r="BT54" s="19">
        <f t="shared" si="142"/>
        <v>0</v>
      </c>
      <c r="BU54" s="16"/>
      <c r="BV54" s="17">
        <f>VLOOKUP(BU54,'DATABASE F&amp;B'!$C$3:$F$210,2,0)</f>
        <v>0</v>
      </c>
      <c r="BW54" s="18"/>
      <c r="BX54" s="19">
        <f>VLOOKUP(BU54,'DATABASE F&amp;B'!$C$3:$F$210,4,0)</f>
        <v>0</v>
      </c>
      <c r="BY54" s="19">
        <f t="shared" si="143"/>
        <v>0</v>
      </c>
      <c r="BZ54" s="16"/>
      <c r="CA54" s="17">
        <f>VLOOKUP(BZ54,'DATABASE F&amp;B'!$C$3:$F$210,2,0)</f>
        <v>0</v>
      </c>
      <c r="CB54" s="18"/>
      <c r="CC54" s="19">
        <f>VLOOKUP(BZ54,'DATABASE F&amp;B'!$C$3:$F$210,4,0)</f>
        <v>0</v>
      </c>
      <c r="CD54" s="19">
        <f t="shared" si="144"/>
        <v>0</v>
      </c>
    </row>
    <row r="55" spans="1:82" ht="13.5" x14ac:dyDescent="0.25">
      <c r="A55" s="32" t="str">
        <f t="shared" si="125"/>
        <v>05-'09-2026</v>
      </c>
      <c r="B55" s="22">
        <f t="shared" si="43"/>
        <v>51</v>
      </c>
      <c r="C55" s="22">
        <f t="shared" si="44"/>
        <v>51</v>
      </c>
      <c r="D55" s="34">
        <v>46151</v>
      </c>
      <c r="E55" s="35" t="s">
        <v>59</v>
      </c>
      <c r="F55" s="35" t="s">
        <v>202</v>
      </c>
      <c r="G55" s="52" t="s">
        <v>81</v>
      </c>
      <c r="H55" s="36" t="str">
        <f t="shared" si="23"/>
        <v>RJ-'090526-51</v>
      </c>
      <c r="I55" s="36" t="str">
        <f t="shared" si="126"/>
        <v>'09-05-2026</v>
      </c>
      <c r="J55" s="37" t="str">
        <f>VLOOKUP(D55,Laporan!$C$4:$D$34,2,0)</f>
        <v>Sabtu</v>
      </c>
      <c r="K55" s="48"/>
      <c r="L55" s="13" t="s">
        <v>33</v>
      </c>
      <c r="M55" s="19">
        <f>SUMIF('DATABASE Room'!$B$3:$B$7,L55,'DATABASE Room'!$D$3:$D$7)</f>
        <v>0</v>
      </c>
      <c r="N55" s="13">
        <v>1</v>
      </c>
      <c r="O55" s="21">
        <f t="shared" si="127"/>
        <v>0</v>
      </c>
      <c r="P55" s="38"/>
      <c r="Q55" s="19">
        <f t="shared" si="128"/>
        <v>0</v>
      </c>
      <c r="R55" s="21">
        <f t="shared" si="129"/>
        <v>0</v>
      </c>
      <c r="S55" s="19">
        <f t="shared" si="130"/>
        <v>5</v>
      </c>
      <c r="T55" s="19">
        <f t="shared" si="131"/>
        <v>60000</v>
      </c>
      <c r="U55" s="21">
        <f t="shared" si="132"/>
        <v>60000</v>
      </c>
      <c r="V55" s="39"/>
      <c r="W55" s="16">
        <v>75</v>
      </c>
      <c r="X55" s="17" t="str">
        <f>VLOOKUP(W55,'DATABASE F&amp;B'!$C$3:$F$216,2,0)</f>
        <v>BEER KURA KURA EASY ALE</v>
      </c>
      <c r="Y55" s="18">
        <v>1</v>
      </c>
      <c r="Z55" s="19">
        <f>VLOOKUP(W55,'DATABASE F&amp;B'!$C$3:$F$216,4,0)</f>
        <v>60000</v>
      </c>
      <c r="AA55" s="19">
        <f t="shared" si="133"/>
        <v>60000</v>
      </c>
      <c r="AB55" s="16"/>
      <c r="AC55" s="17">
        <f>VLOOKUP(AB55,'DATABASE F&amp;B'!$C$3:$F$216,2,0)</f>
        <v>0</v>
      </c>
      <c r="AD55" s="18">
        <v>1</v>
      </c>
      <c r="AE55" s="19">
        <f>VLOOKUP(AB55,'DATABASE F&amp;B'!$C$3:$F$216,4,0)</f>
        <v>0</v>
      </c>
      <c r="AF55" s="19">
        <f t="shared" si="134"/>
        <v>0</v>
      </c>
      <c r="AG55" s="16"/>
      <c r="AH55" s="17">
        <f>VLOOKUP(AG55,'DATABASE F&amp;B'!$C$3:$F$216,2,0)</f>
        <v>0</v>
      </c>
      <c r="AI55" s="18">
        <v>1</v>
      </c>
      <c r="AJ55" s="19">
        <f>VLOOKUP(AG55,'DATABASE F&amp;B'!$C$3:$F$216,4,0)</f>
        <v>0</v>
      </c>
      <c r="AK55" s="19">
        <f t="shared" si="135"/>
        <v>0</v>
      </c>
      <c r="AL55" s="16"/>
      <c r="AM55" s="17">
        <f>VLOOKUP(AL55,'DATABASE F&amp;B'!$C$3:$F$216,2,0)</f>
        <v>0</v>
      </c>
      <c r="AN55" s="18">
        <v>1</v>
      </c>
      <c r="AO55" s="19">
        <f>VLOOKUP(AL55,'DATABASE F&amp;B'!$C$3:$F$216,4,0)</f>
        <v>0</v>
      </c>
      <c r="AP55" s="19">
        <f t="shared" si="136"/>
        <v>0</v>
      </c>
      <c r="AQ55" s="16"/>
      <c r="AR55" s="17">
        <f>VLOOKUP(AQ55,'DATABASE F&amp;B'!$C$3:$F$216,2,0)</f>
        <v>0</v>
      </c>
      <c r="AS55" s="18">
        <v>1</v>
      </c>
      <c r="AT55" s="19">
        <f>VLOOKUP(AQ55,'DATABASE F&amp;B'!$C$3:$F$216,4,0)</f>
        <v>0</v>
      </c>
      <c r="AU55" s="19">
        <f t="shared" si="137"/>
        <v>0</v>
      </c>
      <c r="AV55" s="16"/>
      <c r="AW55" s="17">
        <f>VLOOKUP(AV55,'DATABASE F&amp;B'!$C$3:$F$216,2,0)</f>
        <v>0</v>
      </c>
      <c r="AX55" s="18"/>
      <c r="AY55" s="19">
        <f>VLOOKUP(AV55,'DATABASE F&amp;B'!$C$3:$F$216,4,0)</f>
        <v>0</v>
      </c>
      <c r="AZ55" s="19">
        <f t="shared" si="138"/>
        <v>0</v>
      </c>
      <c r="BA55" s="16"/>
      <c r="BB55" s="17">
        <f>VLOOKUP(BA55,'DATABASE F&amp;B'!$C$3:$F$216,2,0)</f>
        <v>0</v>
      </c>
      <c r="BC55" s="18"/>
      <c r="BD55" s="19">
        <f>VLOOKUP(BA55,'DATABASE F&amp;B'!$C$3:$F$216,4,0)</f>
        <v>0</v>
      </c>
      <c r="BE55" s="19">
        <f t="shared" si="139"/>
        <v>0</v>
      </c>
      <c r="BF55" s="16"/>
      <c r="BG55" s="17">
        <f>VLOOKUP(BF55,'DATABASE F&amp;B'!$C$3:$F$216,2,0)</f>
        <v>0</v>
      </c>
      <c r="BH55" s="18"/>
      <c r="BI55" s="19">
        <f>VLOOKUP(BF55,'DATABASE F&amp;B'!$C$3:$F$216,4,0)</f>
        <v>0</v>
      </c>
      <c r="BJ55" s="19">
        <f t="shared" si="140"/>
        <v>0</v>
      </c>
      <c r="BK55" s="16"/>
      <c r="BL55" s="17">
        <f>VLOOKUP(BK55,'DATABASE F&amp;B'!$C$3:$F$210,2,0)</f>
        <v>0</v>
      </c>
      <c r="BM55" s="18"/>
      <c r="BN55" s="19">
        <f>VLOOKUP(BK55,'DATABASE F&amp;B'!$C$3:$F$210,4,0)</f>
        <v>0</v>
      </c>
      <c r="BO55" s="19">
        <f t="shared" si="141"/>
        <v>0</v>
      </c>
      <c r="BP55" s="16"/>
      <c r="BQ55" s="17">
        <f>VLOOKUP(BP55,'DATABASE F&amp;B'!$C$3:$F$210,2,0)</f>
        <v>0</v>
      </c>
      <c r="BR55" s="18"/>
      <c r="BS55" s="19">
        <f>VLOOKUP(BP55,'DATABASE F&amp;B'!$C$3:$F$210,4,0)</f>
        <v>0</v>
      </c>
      <c r="BT55" s="19">
        <f t="shared" si="142"/>
        <v>0</v>
      </c>
      <c r="BU55" s="16"/>
      <c r="BV55" s="17">
        <f>VLOOKUP(BU55,'DATABASE F&amp;B'!$C$3:$F$210,2,0)</f>
        <v>0</v>
      </c>
      <c r="BW55" s="18"/>
      <c r="BX55" s="19">
        <f>VLOOKUP(BU55,'DATABASE F&amp;B'!$C$3:$F$210,4,0)</f>
        <v>0</v>
      </c>
      <c r="BY55" s="19">
        <f t="shared" si="143"/>
        <v>0</v>
      </c>
      <c r="BZ55" s="16"/>
      <c r="CA55" s="17">
        <f>VLOOKUP(BZ55,'DATABASE F&amp;B'!$C$3:$F$210,2,0)</f>
        <v>0</v>
      </c>
      <c r="CB55" s="18"/>
      <c r="CC55" s="19">
        <f>VLOOKUP(BZ55,'DATABASE F&amp;B'!$C$3:$F$210,4,0)</f>
        <v>0</v>
      </c>
      <c r="CD55" s="19">
        <f t="shared" si="144"/>
        <v>0</v>
      </c>
    </row>
    <row r="56" spans="1:82" ht="13.5" x14ac:dyDescent="0.25">
      <c r="A56" s="32" t="str">
        <f t="shared" si="125"/>
        <v>05-'09-2026</v>
      </c>
      <c r="B56" s="22">
        <f t="shared" si="43"/>
        <v>52</v>
      </c>
      <c r="C56" s="22">
        <f t="shared" si="44"/>
        <v>52</v>
      </c>
      <c r="D56" s="34">
        <v>46151</v>
      </c>
      <c r="E56" s="35" t="s">
        <v>59</v>
      </c>
      <c r="F56" s="35" t="s">
        <v>202</v>
      </c>
      <c r="G56" s="52" t="s">
        <v>81</v>
      </c>
      <c r="H56" s="36" t="str">
        <f t="shared" si="23"/>
        <v>RJ-'090526-52</v>
      </c>
      <c r="I56" s="36" t="str">
        <f t="shared" si="126"/>
        <v>'09-05-2026</v>
      </c>
      <c r="J56" s="37" t="str">
        <f>VLOOKUP(D56,Laporan!$C$4:$D$34,2,0)</f>
        <v>Sabtu</v>
      </c>
      <c r="K56" s="48"/>
      <c r="L56" s="13" t="s">
        <v>33</v>
      </c>
      <c r="M56" s="19">
        <f>SUMIF('DATABASE Room'!$B$3:$B$7,L56,'DATABASE Room'!$D$3:$D$7)</f>
        <v>0</v>
      </c>
      <c r="N56" s="13">
        <v>1</v>
      </c>
      <c r="O56" s="21">
        <f t="shared" si="127"/>
        <v>0</v>
      </c>
      <c r="P56" s="38"/>
      <c r="Q56" s="19">
        <f t="shared" si="128"/>
        <v>0</v>
      </c>
      <c r="R56" s="21">
        <f t="shared" si="129"/>
        <v>0</v>
      </c>
      <c r="S56" s="19">
        <f t="shared" si="130"/>
        <v>5</v>
      </c>
      <c r="T56" s="19">
        <f t="shared" si="131"/>
        <v>68000</v>
      </c>
      <c r="U56" s="21">
        <f t="shared" si="132"/>
        <v>68000</v>
      </c>
      <c r="V56" s="39"/>
      <c r="W56" s="16">
        <v>76</v>
      </c>
      <c r="X56" s="17" t="str">
        <f>VLOOKUP(W56,'DATABASE F&amp;B'!$C$3:$F$216,2,0)</f>
        <v>BEER KURA KURA LAGER</v>
      </c>
      <c r="Y56" s="18">
        <v>1</v>
      </c>
      <c r="Z56" s="19">
        <f>VLOOKUP(W56,'DATABASE F&amp;B'!$C$3:$F$216,4,0)</f>
        <v>60000</v>
      </c>
      <c r="AA56" s="19">
        <f t="shared" si="133"/>
        <v>60000</v>
      </c>
      <c r="AB56" s="16">
        <v>45</v>
      </c>
      <c r="AC56" s="17" t="str">
        <f>VLOOKUP(AB56,'DATABASE F&amp;B'!$C$3:$F$216,2,0)</f>
        <v>LE MINERAL 330ML</v>
      </c>
      <c r="AD56" s="18">
        <v>1</v>
      </c>
      <c r="AE56" s="19">
        <f>VLOOKUP(AB56,'DATABASE F&amp;B'!$C$3:$F$216,4,0)</f>
        <v>8000</v>
      </c>
      <c r="AF56" s="19">
        <f t="shared" si="134"/>
        <v>8000</v>
      </c>
      <c r="AG56" s="16"/>
      <c r="AH56" s="17">
        <f>VLOOKUP(AG56,'DATABASE F&amp;B'!$C$3:$F$216,2,0)</f>
        <v>0</v>
      </c>
      <c r="AI56" s="18">
        <v>1</v>
      </c>
      <c r="AJ56" s="19">
        <f>VLOOKUP(AG56,'DATABASE F&amp;B'!$C$3:$F$216,4,0)</f>
        <v>0</v>
      </c>
      <c r="AK56" s="19">
        <f t="shared" si="135"/>
        <v>0</v>
      </c>
      <c r="AL56" s="16"/>
      <c r="AM56" s="17">
        <f>VLOOKUP(AL56,'DATABASE F&amp;B'!$C$3:$F$216,2,0)</f>
        <v>0</v>
      </c>
      <c r="AN56" s="18">
        <v>1</v>
      </c>
      <c r="AO56" s="19">
        <f>VLOOKUP(AL56,'DATABASE F&amp;B'!$C$3:$F$216,4,0)</f>
        <v>0</v>
      </c>
      <c r="AP56" s="19">
        <f t="shared" si="136"/>
        <v>0</v>
      </c>
      <c r="AQ56" s="16"/>
      <c r="AR56" s="17">
        <f>VLOOKUP(AQ56,'DATABASE F&amp;B'!$C$3:$F$216,2,0)</f>
        <v>0</v>
      </c>
      <c r="AS56" s="18">
        <v>1</v>
      </c>
      <c r="AT56" s="19">
        <f>VLOOKUP(AQ56,'DATABASE F&amp;B'!$C$3:$F$216,4,0)</f>
        <v>0</v>
      </c>
      <c r="AU56" s="19">
        <f t="shared" si="137"/>
        <v>0</v>
      </c>
      <c r="AV56" s="16"/>
      <c r="AW56" s="17">
        <f>VLOOKUP(AV56,'DATABASE F&amp;B'!$C$3:$F$216,2,0)</f>
        <v>0</v>
      </c>
      <c r="AX56" s="18"/>
      <c r="AY56" s="19">
        <f>VLOOKUP(AV56,'DATABASE F&amp;B'!$C$3:$F$216,4,0)</f>
        <v>0</v>
      </c>
      <c r="AZ56" s="19">
        <f t="shared" si="138"/>
        <v>0</v>
      </c>
      <c r="BA56" s="16"/>
      <c r="BB56" s="17">
        <f>VLOOKUP(BA56,'DATABASE F&amp;B'!$C$3:$F$216,2,0)</f>
        <v>0</v>
      </c>
      <c r="BC56" s="18"/>
      <c r="BD56" s="19">
        <f>VLOOKUP(BA56,'DATABASE F&amp;B'!$C$3:$F$216,4,0)</f>
        <v>0</v>
      </c>
      <c r="BE56" s="19">
        <f t="shared" si="139"/>
        <v>0</v>
      </c>
      <c r="BF56" s="16"/>
      <c r="BG56" s="17">
        <f>VLOOKUP(BF56,'DATABASE F&amp;B'!$C$3:$F$216,2,0)</f>
        <v>0</v>
      </c>
      <c r="BH56" s="18"/>
      <c r="BI56" s="19">
        <f>VLOOKUP(BF56,'DATABASE F&amp;B'!$C$3:$F$216,4,0)</f>
        <v>0</v>
      </c>
      <c r="BJ56" s="19">
        <f t="shared" si="140"/>
        <v>0</v>
      </c>
      <c r="BK56" s="16"/>
      <c r="BL56" s="17">
        <f>VLOOKUP(BK56,'DATABASE F&amp;B'!$C$3:$F$210,2,0)</f>
        <v>0</v>
      </c>
      <c r="BM56" s="18"/>
      <c r="BN56" s="19">
        <f>VLOOKUP(BK56,'DATABASE F&amp;B'!$C$3:$F$210,4,0)</f>
        <v>0</v>
      </c>
      <c r="BO56" s="19">
        <f t="shared" si="141"/>
        <v>0</v>
      </c>
      <c r="BP56" s="16"/>
      <c r="BQ56" s="17">
        <f>VLOOKUP(BP56,'DATABASE F&amp;B'!$C$3:$F$210,2,0)</f>
        <v>0</v>
      </c>
      <c r="BR56" s="18"/>
      <c r="BS56" s="19">
        <f>VLOOKUP(BP56,'DATABASE F&amp;B'!$C$3:$F$210,4,0)</f>
        <v>0</v>
      </c>
      <c r="BT56" s="19">
        <f t="shared" si="142"/>
        <v>0</v>
      </c>
      <c r="BU56" s="16"/>
      <c r="BV56" s="17">
        <f>VLOOKUP(BU56,'DATABASE F&amp;B'!$C$3:$F$210,2,0)</f>
        <v>0</v>
      </c>
      <c r="BW56" s="18"/>
      <c r="BX56" s="19">
        <f>VLOOKUP(BU56,'DATABASE F&amp;B'!$C$3:$F$210,4,0)</f>
        <v>0</v>
      </c>
      <c r="BY56" s="19">
        <f t="shared" si="143"/>
        <v>0</v>
      </c>
      <c r="BZ56" s="16"/>
      <c r="CA56" s="17">
        <f>VLOOKUP(BZ56,'DATABASE F&amp;B'!$C$3:$F$210,2,0)</f>
        <v>0</v>
      </c>
      <c r="CB56" s="18"/>
      <c r="CC56" s="19">
        <f>VLOOKUP(BZ56,'DATABASE F&amp;B'!$C$3:$F$210,4,0)</f>
        <v>0</v>
      </c>
      <c r="CD56" s="19">
        <f t="shared" si="144"/>
        <v>0</v>
      </c>
    </row>
    <row r="57" spans="1:82" ht="13.5" x14ac:dyDescent="0.25">
      <c r="A57" s="32" t="str">
        <f t="shared" si="125"/>
        <v>05-'09-2026</v>
      </c>
      <c r="B57" s="22">
        <f t="shared" si="43"/>
        <v>53</v>
      </c>
      <c r="C57" s="22">
        <f t="shared" si="44"/>
        <v>53</v>
      </c>
      <c r="D57" s="34">
        <v>46151</v>
      </c>
      <c r="E57" s="35" t="s">
        <v>59</v>
      </c>
      <c r="F57" s="35" t="s">
        <v>202</v>
      </c>
      <c r="G57" s="52" t="s">
        <v>81</v>
      </c>
      <c r="H57" s="36" t="str">
        <f t="shared" si="23"/>
        <v>RJ-'090526-53</v>
      </c>
      <c r="I57" s="36" t="str">
        <f t="shared" si="126"/>
        <v>'09-05-2026</v>
      </c>
      <c r="J57" s="37" t="str">
        <f>VLOOKUP(D57,Laporan!$C$4:$D$34,2,0)</f>
        <v>Sabtu</v>
      </c>
      <c r="K57" s="48"/>
      <c r="L57" s="13" t="s">
        <v>33</v>
      </c>
      <c r="M57" s="19">
        <f>SUMIF('DATABASE Room'!$B$3:$B$7,L57,'DATABASE Room'!$D$3:$D$7)</f>
        <v>0</v>
      </c>
      <c r="N57" s="13">
        <v>1</v>
      </c>
      <c r="O57" s="21">
        <f t="shared" si="127"/>
        <v>0</v>
      </c>
      <c r="P57" s="38"/>
      <c r="Q57" s="19">
        <f t="shared" si="128"/>
        <v>0</v>
      </c>
      <c r="R57" s="21">
        <f t="shared" si="129"/>
        <v>0</v>
      </c>
      <c r="S57" s="19">
        <f t="shared" si="130"/>
        <v>5</v>
      </c>
      <c r="T57" s="19">
        <f t="shared" si="131"/>
        <v>70000</v>
      </c>
      <c r="U57" s="21">
        <f t="shared" si="132"/>
        <v>70000</v>
      </c>
      <c r="V57" s="39"/>
      <c r="W57" s="16">
        <v>77</v>
      </c>
      <c r="X57" s="17" t="str">
        <f>VLOOKUP(W57,'DATABASE F&amp;B'!$C$3:$F$216,2,0)</f>
        <v>BEER KURA KURA SESSION HAZY</v>
      </c>
      <c r="Y57" s="18">
        <v>1</v>
      </c>
      <c r="Z57" s="19">
        <f>VLOOKUP(W57,'DATABASE F&amp;B'!$C$3:$F$216,4,0)</f>
        <v>70000</v>
      </c>
      <c r="AA57" s="19">
        <f t="shared" si="133"/>
        <v>70000</v>
      </c>
      <c r="AB57" s="16"/>
      <c r="AC57" s="17">
        <f>VLOOKUP(AB57,'DATABASE F&amp;B'!$C$3:$F$216,2,0)</f>
        <v>0</v>
      </c>
      <c r="AD57" s="18">
        <v>1</v>
      </c>
      <c r="AE57" s="19">
        <f>VLOOKUP(AB57,'DATABASE F&amp;B'!$C$3:$F$216,4,0)</f>
        <v>0</v>
      </c>
      <c r="AF57" s="19">
        <f t="shared" si="134"/>
        <v>0</v>
      </c>
      <c r="AG57" s="16"/>
      <c r="AH57" s="17">
        <f>VLOOKUP(AG57,'DATABASE F&amp;B'!$C$3:$F$216,2,0)</f>
        <v>0</v>
      </c>
      <c r="AI57" s="18">
        <v>1</v>
      </c>
      <c r="AJ57" s="19">
        <f>VLOOKUP(AG57,'DATABASE F&amp;B'!$C$3:$F$216,4,0)</f>
        <v>0</v>
      </c>
      <c r="AK57" s="19">
        <f t="shared" si="135"/>
        <v>0</v>
      </c>
      <c r="AL57" s="16"/>
      <c r="AM57" s="17">
        <f>VLOOKUP(AL57,'DATABASE F&amp;B'!$C$3:$F$216,2,0)</f>
        <v>0</v>
      </c>
      <c r="AN57" s="18">
        <v>1</v>
      </c>
      <c r="AO57" s="19">
        <f>VLOOKUP(AL57,'DATABASE F&amp;B'!$C$3:$F$216,4,0)</f>
        <v>0</v>
      </c>
      <c r="AP57" s="19">
        <f t="shared" si="136"/>
        <v>0</v>
      </c>
      <c r="AQ57" s="16"/>
      <c r="AR57" s="17">
        <f>VLOOKUP(AQ57,'DATABASE F&amp;B'!$C$3:$F$216,2,0)</f>
        <v>0</v>
      </c>
      <c r="AS57" s="18">
        <v>1</v>
      </c>
      <c r="AT57" s="19">
        <f>VLOOKUP(AQ57,'DATABASE F&amp;B'!$C$3:$F$216,4,0)</f>
        <v>0</v>
      </c>
      <c r="AU57" s="19">
        <f t="shared" si="137"/>
        <v>0</v>
      </c>
      <c r="AV57" s="16"/>
      <c r="AW57" s="17">
        <f>VLOOKUP(AV57,'DATABASE F&amp;B'!$C$3:$F$216,2,0)</f>
        <v>0</v>
      </c>
      <c r="AX57" s="18"/>
      <c r="AY57" s="19">
        <f>VLOOKUP(AV57,'DATABASE F&amp;B'!$C$3:$F$216,4,0)</f>
        <v>0</v>
      </c>
      <c r="AZ57" s="19">
        <f t="shared" si="138"/>
        <v>0</v>
      </c>
      <c r="BA57" s="16"/>
      <c r="BB57" s="17">
        <f>VLOOKUP(BA57,'DATABASE F&amp;B'!$C$3:$F$216,2,0)</f>
        <v>0</v>
      </c>
      <c r="BC57" s="18"/>
      <c r="BD57" s="19">
        <f>VLOOKUP(BA57,'DATABASE F&amp;B'!$C$3:$F$216,4,0)</f>
        <v>0</v>
      </c>
      <c r="BE57" s="19">
        <f t="shared" si="139"/>
        <v>0</v>
      </c>
      <c r="BF57" s="16"/>
      <c r="BG57" s="17">
        <f>VLOOKUP(BF57,'DATABASE F&amp;B'!$C$3:$F$216,2,0)</f>
        <v>0</v>
      </c>
      <c r="BH57" s="18"/>
      <c r="BI57" s="19">
        <f>VLOOKUP(BF57,'DATABASE F&amp;B'!$C$3:$F$216,4,0)</f>
        <v>0</v>
      </c>
      <c r="BJ57" s="19">
        <f t="shared" si="140"/>
        <v>0</v>
      </c>
      <c r="BK57" s="16"/>
      <c r="BL57" s="17">
        <f>VLOOKUP(BK57,'DATABASE F&amp;B'!$C$3:$F$210,2,0)</f>
        <v>0</v>
      </c>
      <c r="BM57" s="18"/>
      <c r="BN57" s="19">
        <f>VLOOKUP(BK57,'DATABASE F&amp;B'!$C$3:$F$210,4,0)</f>
        <v>0</v>
      </c>
      <c r="BO57" s="19">
        <f t="shared" si="141"/>
        <v>0</v>
      </c>
      <c r="BP57" s="16"/>
      <c r="BQ57" s="17">
        <f>VLOOKUP(BP57,'DATABASE F&amp;B'!$C$3:$F$210,2,0)</f>
        <v>0</v>
      </c>
      <c r="BR57" s="18"/>
      <c r="BS57" s="19">
        <f>VLOOKUP(BP57,'DATABASE F&amp;B'!$C$3:$F$210,4,0)</f>
        <v>0</v>
      </c>
      <c r="BT57" s="19">
        <f t="shared" si="142"/>
        <v>0</v>
      </c>
      <c r="BU57" s="16"/>
      <c r="BV57" s="17">
        <f>VLOOKUP(BU57,'DATABASE F&amp;B'!$C$3:$F$210,2,0)</f>
        <v>0</v>
      </c>
      <c r="BW57" s="18"/>
      <c r="BX57" s="19">
        <f>VLOOKUP(BU57,'DATABASE F&amp;B'!$C$3:$F$210,4,0)</f>
        <v>0</v>
      </c>
      <c r="BY57" s="19">
        <f t="shared" si="143"/>
        <v>0</v>
      </c>
      <c r="BZ57" s="16"/>
      <c r="CA57" s="17">
        <f>VLOOKUP(BZ57,'DATABASE F&amp;B'!$C$3:$F$210,2,0)</f>
        <v>0</v>
      </c>
      <c r="CB57" s="18"/>
      <c r="CC57" s="19">
        <f>VLOOKUP(BZ57,'DATABASE F&amp;B'!$C$3:$F$210,4,0)</f>
        <v>0</v>
      </c>
      <c r="CD57" s="19">
        <f t="shared" si="144"/>
        <v>0</v>
      </c>
    </row>
    <row r="58" spans="1:82" ht="13.5" x14ac:dyDescent="0.25">
      <c r="A58" s="32" t="str">
        <f t="shared" si="125"/>
        <v>05-'09-2026</v>
      </c>
      <c r="B58" s="22">
        <f t="shared" si="43"/>
        <v>54</v>
      </c>
      <c r="C58" s="22">
        <f t="shared" si="44"/>
        <v>54</v>
      </c>
      <c r="D58" s="34">
        <v>46151</v>
      </c>
      <c r="E58" s="35" t="s">
        <v>59</v>
      </c>
      <c r="F58" s="35" t="s">
        <v>202</v>
      </c>
      <c r="G58" s="52" t="s">
        <v>81</v>
      </c>
      <c r="H58" s="36" t="str">
        <f t="shared" si="23"/>
        <v>RJ-'090526-54</v>
      </c>
      <c r="I58" s="36" t="str">
        <f t="shared" si="126"/>
        <v>'09-05-2026</v>
      </c>
      <c r="J58" s="37" t="str">
        <f>VLOOKUP(D58,Laporan!$C$4:$D$34,2,0)</f>
        <v>Sabtu</v>
      </c>
      <c r="K58" s="48"/>
      <c r="L58" s="13" t="s">
        <v>33</v>
      </c>
      <c r="M58" s="19">
        <f>SUMIF('DATABASE Room'!$B$3:$B$7,L58,'DATABASE Room'!$D$3:$D$7)</f>
        <v>0</v>
      </c>
      <c r="N58" s="13">
        <v>1</v>
      </c>
      <c r="O58" s="21">
        <f t="shared" si="127"/>
        <v>0</v>
      </c>
      <c r="P58" s="38"/>
      <c r="Q58" s="19">
        <f t="shared" si="128"/>
        <v>0</v>
      </c>
      <c r="R58" s="21">
        <f t="shared" si="129"/>
        <v>0</v>
      </c>
      <c r="S58" s="19">
        <f t="shared" si="130"/>
        <v>5</v>
      </c>
      <c r="T58" s="19">
        <f t="shared" si="131"/>
        <v>75000</v>
      </c>
      <c r="U58" s="21">
        <f t="shared" si="132"/>
        <v>75000</v>
      </c>
      <c r="V58" s="39"/>
      <c r="W58" s="16">
        <v>78</v>
      </c>
      <c r="X58" s="17" t="str">
        <f>VLOOKUP(W58,'DATABASE F&amp;B'!$C$3:$F$216,2,0)</f>
        <v>ASAHI DRY PINT 330ML</v>
      </c>
      <c r="Y58" s="18">
        <v>1</v>
      </c>
      <c r="Z58" s="19">
        <f>VLOOKUP(W58,'DATABASE F&amp;B'!$C$3:$F$216,4,0)</f>
        <v>75000</v>
      </c>
      <c r="AA58" s="19">
        <f t="shared" si="133"/>
        <v>75000</v>
      </c>
      <c r="AB58" s="16"/>
      <c r="AC58" s="17">
        <f>VLOOKUP(AB58,'DATABASE F&amp;B'!$C$3:$F$216,2,0)</f>
        <v>0</v>
      </c>
      <c r="AD58" s="18">
        <v>1</v>
      </c>
      <c r="AE58" s="19">
        <f>VLOOKUP(AB58,'DATABASE F&amp;B'!$C$3:$F$216,4,0)</f>
        <v>0</v>
      </c>
      <c r="AF58" s="19">
        <f t="shared" si="134"/>
        <v>0</v>
      </c>
      <c r="AG58" s="16"/>
      <c r="AH58" s="17">
        <f>VLOOKUP(AG58,'DATABASE F&amp;B'!$C$3:$F$216,2,0)</f>
        <v>0</v>
      </c>
      <c r="AI58" s="18">
        <v>1</v>
      </c>
      <c r="AJ58" s="19">
        <f>VLOOKUP(AG58,'DATABASE F&amp;B'!$C$3:$F$216,4,0)</f>
        <v>0</v>
      </c>
      <c r="AK58" s="19">
        <f t="shared" si="135"/>
        <v>0</v>
      </c>
      <c r="AL58" s="16"/>
      <c r="AM58" s="17">
        <f>VLOOKUP(AL58,'DATABASE F&amp;B'!$C$3:$F$216,2,0)</f>
        <v>0</v>
      </c>
      <c r="AN58" s="18">
        <v>1</v>
      </c>
      <c r="AO58" s="19">
        <f>VLOOKUP(AL58,'DATABASE F&amp;B'!$C$3:$F$216,4,0)</f>
        <v>0</v>
      </c>
      <c r="AP58" s="19">
        <f t="shared" si="136"/>
        <v>0</v>
      </c>
      <c r="AQ58" s="16"/>
      <c r="AR58" s="17">
        <f>VLOOKUP(AQ58,'DATABASE F&amp;B'!$C$3:$F$216,2,0)</f>
        <v>0</v>
      </c>
      <c r="AS58" s="18">
        <v>1</v>
      </c>
      <c r="AT58" s="19">
        <f>VLOOKUP(AQ58,'DATABASE F&amp;B'!$C$3:$F$216,4,0)</f>
        <v>0</v>
      </c>
      <c r="AU58" s="19">
        <f t="shared" si="137"/>
        <v>0</v>
      </c>
      <c r="AV58" s="16"/>
      <c r="AW58" s="17">
        <f>VLOOKUP(AV58,'DATABASE F&amp;B'!$C$3:$F$216,2,0)</f>
        <v>0</v>
      </c>
      <c r="AX58" s="18"/>
      <c r="AY58" s="19">
        <f>VLOOKUP(AV58,'DATABASE F&amp;B'!$C$3:$F$216,4,0)</f>
        <v>0</v>
      </c>
      <c r="AZ58" s="19">
        <f t="shared" si="138"/>
        <v>0</v>
      </c>
      <c r="BA58" s="16"/>
      <c r="BB58" s="17">
        <f>VLOOKUP(BA58,'DATABASE F&amp;B'!$C$3:$F$216,2,0)</f>
        <v>0</v>
      </c>
      <c r="BC58" s="18"/>
      <c r="BD58" s="19">
        <f>VLOOKUP(BA58,'DATABASE F&amp;B'!$C$3:$F$216,4,0)</f>
        <v>0</v>
      </c>
      <c r="BE58" s="19">
        <f t="shared" si="139"/>
        <v>0</v>
      </c>
      <c r="BF58" s="16"/>
      <c r="BG58" s="17">
        <f>VLOOKUP(BF58,'DATABASE F&amp;B'!$C$3:$F$216,2,0)</f>
        <v>0</v>
      </c>
      <c r="BH58" s="18"/>
      <c r="BI58" s="19">
        <f>VLOOKUP(BF58,'DATABASE F&amp;B'!$C$3:$F$216,4,0)</f>
        <v>0</v>
      </c>
      <c r="BJ58" s="19">
        <f t="shared" si="140"/>
        <v>0</v>
      </c>
      <c r="BK58" s="16"/>
      <c r="BL58" s="17">
        <f>VLOOKUP(BK58,'DATABASE F&amp;B'!$C$3:$F$210,2,0)</f>
        <v>0</v>
      </c>
      <c r="BM58" s="18"/>
      <c r="BN58" s="19">
        <f>VLOOKUP(BK58,'DATABASE F&amp;B'!$C$3:$F$210,4,0)</f>
        <v>0</v>
      </c>
      <c r="BO58" s="19">
        <f t="shared" si="141"/>
        <v>0</v>
      </c>
      <c r="BP58" s="16"/>
      <c r="BQ58" s="17">
        <f>VLOOKUP(BP58,'DATABASE F&amp;B'!$C$3:$F$210,2,0)</f>
        <v>0</v>
      </c>
      <c r="BR58" s="18"/>
      <c r="BS58" s="19">
        <f>VLOOKUP(BP58,'DATABASE F&amp;B'!$C$3:$F$210,4,0)</f>
        <v>0</v>
      </c>
      <c r="BT58" s="19">
        <f t="shared" si="142"/>
        <v>0</v>
      </c>
      <c r="BU58" s="16"/>
      <c r="BV58" s="17">
        <f>VLOOKUP(BU58,'DATABASE F&amp;B'!$C$3:$F$210,2,0)</f>
        <v>0</v>
      </c>
      <c r="BW58" s="18"/>
      <c r="BX58" s="19">
        <f>VLOOKUP(BU58,'DATABASE F&amp;B'!$C$3:$F$210,4,0)</f>
        <v>0</v>
      </c>
      <c r="BY58" s="19">
        <f t="shared" si="143"/>
        <v>0</v>
      </c>
      <c r="BZ58" s="16"/>
      <c r="CA58" s="17">
        <f>VLOOKUP(BZ58,'DATABASE F&amp;B'!$C$3:$F$210,2,0)</f>
        <v>0</v>
      </c>
      <c r="CB58" s="18"/>
      <c r="CC58" s="19">
        <f>VLOOKUP(BZ58,'DATABASE F&amp;B'!$C$3:$F$210,4,0)</f>
        <v>0</v>
      </c>
      <c r="CD58" s="19">
        <f t="shared" si="144"/>
        <v>0</v>
      </c>
    </row>
    <row r="59" spans="1:82" ht="13.5" x14ac:dyDescent="0.25">
      <c r="A59" s="32" t="str">
        <f t="shared" si="125"/>
        <v>05-'10-2026</v>
      </c>
      <c r="B59" s="22">
        <f t="shared" si="43"/>
        <v>55</v>
      </c>
      <c r="C59" s="22">
        <f t="shared" si="44"/>
        <v>55</v>
      </c>
      <c r="D59" s="34">
        <v>46152</v>
      </c>
      <c r="E59" s="35" t="s">
        <v>78</v>
      </c>
      <c r="F59" s="35" t="s">
        <v>202</v>
      </c>
      <c r="G59" s="52" t="s">
        <v>81</v>
      </c>
      <c r="H59" s="36" t="str">
        <f t="shared" si="23"/>
        <v>RJ-'100526-55</v>
      </c>
      <c r="I59" s="36" t="str">
        <f t="shared" si="126"/>
        <v>'10-05-2026</v>
      </c>
      <c r="J59" s="37" t="str">
        <f>VLOOKUP(D59,Laporan!$C$4:$D$34,2,0)</f>
        <v>Minggu</v>
      </c>
      <c r="K59" s="48"/>
      <c r="L59" s="13" t="s">
        <v>33</v>
      </c>
      <c r="M59" s="19">
        <f>SUMIF('DATABASE Room'!$B$3:$B$7,L59,'DATABASE Room'!$D$3:$D$7)</f>
        <v>0</v>
      </c>
      <c r="N59" s="13">
        <v>1</v>
      </c>
      <c r="O59" s="21">
        <f t="shared" si="127"/>
        <v>0</v>
      </c>
      <c r="P59" s="38"/>
      <c r="Q59" s="19">
        <f t="shared" si="128"/>
        <v>0</v>
      </c>
      <c r="R59" s="21">
        <f t="shared" si="129"/>
        <v>0</v>
      </c>
      <c r="S59" s="19">
        <f t="shared" si="130"/>
        <v>5</v>
      </c>
      <c r="T59" s="19">
        <f t="shared" si="131"/>
        <v>80000</v>
      </c>
      <c r="U59" s="21">
        <f t="shared" si="132"/>
        <v>80000</v>
      </c>
      <c r="V59" s="39"/>
      <c r="W59" s="16">
        <v>79</v>
      </c>
      <c r="X59" s="17" t="str">
        <f>VLOOKUP(W59,'DATABASE F&amp;B'!$C$3:$F$216,2,0)</f>
        <v>ERDINGER HELLES LAGER 330ML</v>
      </c>
      <c r="Y59" s="18">
        <v>1</v>
      </c>
      <c r="Z59" s="19">
        <f>VLOOKUP(W59,'DATABASE F&amp;B'!$C$3:$F$216,4,0)</f>
        <v>80000</v>
      </c>
      <c r="AA59" s="19">
        <f t="shared" si="133"/>
        <v>80000</v>
      </c>
      <c r="AB59" s="16"/>
      <c r="AC59" s="17">
        <f>VLOOKUP(AB59,'DATABASE F&amp;B'!$C$3:$F$216,2,0)</f>
        <v>0</v>
      </c>
      <c r="AD59" s="18">
        <v>1</v>
      </c>
      <c r="AE59" s="19">
        <f>VLOOKUP(AB59,'DATABASE F&amp;B'!$C$3:$F$216,4,0)</f>
        <v>0</v>
      </c>
      <c r="AF59" s="19">
        <f t="shared" si="134"/>
        <v>0</v>
      </c>
      <c r="AG59" s="16"/>
      <c r="AH59" s="17">
        <f>VLOOKUP(AG59,'DATABASE F&amp;B'!$C$3:$F$216,2,0)</f>
        <v>0</v>
      </c>
      <c r="AI59" s="18">
        <v>1</v>
      </c>
      <c r="AJ59" s="19">
        <f>VLOOKUP(AG59,'DATABASE F&amp;B'!$C$3:$F$216,4,0)</f>
        <v>0</v>
      </c>
      <c r="AK59" s="19">
        <f t="shared" si="135"/>
        <v>0</v>
      </c>
      <c r="AL59" s="16"/>
      <c r="AM59" s="17">
        <f>VLOOKUP(AL59,'DATABASE F&amp;B'!$C$3:$F$216,2,0)</f>
        <v>0</v>
      </c>
      <c r="AN59" s="18">
        <v>1</v>
      </c>
      <c r="AO59" s="19">
        <f>VLOOKUP(AL59,'DATABASE F&amp;B'!$C$3:$F$216,4,0)</f>
        <v>0</v>
      </c>
      <c r="AP59" s="19">
        <f t="shared" si="136"/>
        <v>0</v>
      </c>
      <c r="AQ59" s="16"/>
      <c r="AR59" s="17">
        <f>VLOOKUP(AQ59,'DATABASE F&amp;B'!$C$3:$F$216,2,0)</f>
        <v>0</v>
      </c>
      <c r="AS59" s="18">
        <v>1</v>
      </c>
      <c r="AT59" s="19">
        <f>VLOOKUP(AQ59,'DATABASE F&amp;B'!$C$3:$F$216,4,0)</f>
        <v>0</v>
      </c>
      <c r="AU59" s="19">
        <f t="shared" si="137"/>
        <v>0</v>
      </c>
      <c r="AV59" s="16"/>
      <c r="AW59" s="17">
        <f>VLOOKUP(AV59,'DATABASE F&amp;B'!$C$3:$F$216,2,0)</f>
        <v>0</v>
      </c>
      <c r="AX59" s="18"/>
      <c r="AY59" s="19">
        <f>VLOOKUP(AV59,'DATABASE F&amp;B'!$C$3:$F$216,4,0)</f>
        <v>0</v>
      </c>
      <c r="AZ59" s="19">
        <f t="shared" si="138"/>
        <v>0</v>
      </c>
      <c r="BA59" s="16"/>
      <c r="BB59" s="17">
        <f>VLOOKUP(BA59,'DATABASE F&amp;B'!$C$3:$F$216,2,0)</f>
        <v>0</v>
      </c>
      <c r="BC59" s="18"/>
      <c r="BD59" s="19">
        <f>VLOOKUP(BA59,'DATABASE F&amp;B'!$C$3:$F$216,4,0)</f>
        <v>0</v>
      </c>
      <c r="BE59" s="19">
        <f t="shared" si="139"/>
        <v>0</v>
      </c>
      <c r="BF59" s="16"/>
      <c r="BG59" s="17">
        <f>VLOOKUP(BF59,'DATABASE F&amp;B'!$C$3:$F$216,2,0)</f>
        <v>0</v>
      </c>
      <c r="BH59" s="18"/>
      <c r="BI59" s="19">
        <f>VLOOKUP(BF59,'DATABASE F&amp;B'!$C$3:$F$216,4,0)</f>
        <v>0</v>
      </c>
      <c r="BJ59" s="19">
        <f t="shared" si="140"/>
        <v>0</v>
      </c>
      <c r="BK59" s="16"/>
      <c r="BL59" s="17">
        <f>VLOOKUP(BK59,'DATABASE F&amp;B'!$C$3:$F$210,2,0)</f>
        <v>0</v>
      </c>
      <c r="BM59" s="18"/>
      <c r="BN59" s="19">
        <f>VLOOKUP(BK59,'DATABASE F&amp;B'!$C$3:$F$210,4,0)</f>
        <v>0</v>
      </c>
      <c r="BO59" s="19">
        <f t="shared" si="141"/>
        <v>0</v>
      </c>
      <c r="BP59" s="16"/>
      <c r="BQ59" s="17">
        <f>VLOOKUP(BP59,'DATABASE F&amp;B'!$C$3:$F$210,2,0)</f>
        <v>0</v>
      </c>
      <c r="BR59" s="18"/>
      <c r="BS59" s="19">
        <f>VLOOKUP(BP59,'DATABASE F&amp;B'!$C$3:$F$210,4,0)</f>
        <v>0</v>
      </c>
      <c r="BT59" s="19">
        <f t="shared" si="142"/>
        <v>0</v>
      </c>
      <c r="BU59" s="16"/>
      <c r="BV59" s="17">
        <f>VLOOKUP(BU59,'DATABASE F&amp;B'!$C$3:$F$210,2,0)</f>
        <v>0</v>
      </c>
      <c r="BW59" s="18"/>
      <c r="BX59" s="19">
        <f>VLOOKUP(BU59,'DATABASE F&amp;B'!$C$3:$F$210,4,0)</f>
        <v>0</v>
      </c>
      <c r="BY59" s="19">
        <f t="shared" si="143"/>
        <v>0</v>
      </c>
      <c r="BZ59" s="16"/>
      <c r="CA59" s="17">
        <f>VLOOKUP(BZ59,'DATABASE F&amp;B'!$C$3:$F$210,2,0)</f>
        <v>0</v>
      </c>
      <c r="CB59" s="18"/>
      <c r="CC59" s="19">
        <f>VLOOKUP(BZ59,'DATABASE F&amp;B'!$C$3:$F$210,4,0)</f>
        <v>0</v>
      </c>
      <c r="CD59" s="19">
        <f t="shared" si="144"/>
        <v>0</v>
      </c>
    </row>
    <row r="60" spans="1:82" ht="13.5" x14ac:dyDescent="0.25">
      <c r="A60" s="32" t="str">
        <f t="shared" si="125"/>
        <v>05-'10-2026</v>
      </c>
      <c r="B60" s="22">
        <f t="shared" si="43"/>
        <v>56</v>
      </c>
      <c r="C60" s="22">
        <f t="shared" si="44"/>
        <v>56</v>
      </c>
      <c r="D60" s="34">
        <v>46152</v>
      </c>
      <c r="E60" s="35" t="s">
        <v>78</v>
      </c>
      <c r="F60" s="35" t="s">
        <v>202</v>
      </c>
      <c r="G60" s="52" t="s">
        <v>81</v>
      </c>
      <c r="H60" s="36" t="str">
        <f t="shared" si="23"/>
        <v>RJ-'100526-56</v>
      </c>
      <c r="I60" s="36" t="str">
        <f t="shared" si="126"/>
        <v>'10-05-2026</v>
      </c>
      <c r="J60" s="37" t="str">
        <f>VLOOKUP(D60,Laporan!$C$4:$D$34,2,0)</f>
        <v>Minggu</v>
      </c>
      <c r="K60" s="48"/>
      <c r="L60" s="13" t="s">
        <v>33</v>
      </c>
      <c r="M60" s="19">
        <f>SUMIF('DATABASE Room'!$B$3:$B$7,L60,'DATABASE Room'!$D$3:$D$7)</f>
        <v>0</v>
      </c>
      <c r="N60" s="13">
        <v>1</v>
      </c>
      <c r="O60" s="21">
        <f t="shared" si="127"/>
        <v>0</v>
      </c>
      <c r="P60" s="38"/>
      <c r="Q60" s="19">
        <f t="shared" si="128"/>
        <v>0</v>
      </c>
      <c r="R60" s="21">
        <f t="shared" si="129"/>
        <v>0</v>
      </c>
      <c r="S60" s="19">
        <f t="shared" si="130"/>
        <v>5</v>
      </c>
      <c r="T60" s="19">
        <f t="shared" si="131"/>
        <v>80000</v>
      </c>
      <c r="U60" s="21">
        <f t="shared" si="132"/>
        <v>80000</v>
      </c>
      <c r="V60" s="39"/>
      <c r="W60" s="16">
        <v>80</v>
      </c>
      <c r="X60" s="17" t="str">
        <f>VLOOKUP(W60,'DATABASE F&amp;B'!$C$3:$F$216,2,0)</f>
        <v>CORONA 330ML</v>
      </c>
      <c r="Y60" s="18">
        <v>1</v>
      </c>
      <c r="Z60" s="19">
        <f>VLOOKUP(W60,'DATABASE F&amp;B'!$C$3:$F$216,4,0)</f>
        <v>80000</v>
      </c>
      <c r="AA60" s="19">
        <f t="shared" si="133"/>
        <v>80000</v>
      </c>
      <c r="AB60" s="16"/>
      <c r="AC60" s="17">
        <f>VLOOKUP(AB60,'DATABASE F&amp;B'!$C$3:$F$216,2,0)</f>
        <v>0</v>
      </c>
      <c r="AD60" s="18">
        <v>1</v>
      </c>
      <c r="AE60" s="19">
        <f>VLOOKUP(AB60,'DATABASE F&amp;B'!$C$3:$F$216,4,0)</f>
        <v>0</v>
      </c>
      <c r="AF60" s="19">
        <f t="shared" si="134"/>
        <v>0</v>
      </c>
      <c r="AG60" s="16"/>
      <c r="AH60" s="17">
        <f>VLOOKUP(AG60,'DATABASE F&amp;B'!$C$3:$F$216,2,0)</f>
        <v>0</v>
      </c>
      <c r="AI60" s="18">
        <v>1</v>
      </c>
      <c r="AJ60" s="19">
        <f>VLOOKUP(AG60,'DATABASE F&amp;B'!$C$3:$F$216,4,0)</f>
        <v>0</v>
      </c>
      <c r="AK60" s="19">
        <f t="shared" si="135"/>
        <v>0</v>
      </c>
      <c r="AL60" s="16"/>
      <c r="AM60" s="17">
        <f>VLOOKUP(AL60,'DATABASE F&amp;B'!$C$3:$F$216,2,0)</f>
        <v>0</v>
      </c>
      <c r="AN60" s="18">
        <v>1</v>
      </c>
      <c r="AO60" s="19">
        <f>VLOOKUP(AL60,'DATABASE F&amp;B'!$C$3:$F$216,4,0)</f>
        <v>0</v>
      </c>
      <c r="AP60" s="19">
        <f t="shared" si="136"/>
        <v>0</v>
      </c>
      <c r="AQ60" s="16"/>
      <c r="AR60" s="17">
        <f>VLOOKUP(AQ60,'DATABASE F&amp;B'!$C$3:$F$216,2,0)</f>
        <v>0</v>
      </c>
      <c r="AS60" s="18">
        <v>1</v>
      </c>
      <c r="AT60" s="19">
        <f>VLOOKUP(AQ60,'DATABASE F&amp;B'!$C$3:$F$216,4,0)</f>
        <v>0</v>
      </c>
      <c r="AU60" s="19">
        <f t="shared" si="137"/>
        <v>0</v>
      </c>
      <c r="AV60" s="16"/>
      <c r="AW60" s="17">
        <f>VLOOKUP(AV60,'DATABASE F&amp;B'!$C$3:$F$216,2,0)</f>
        <v>0</v>
      </c>
      <c r="AX60" s="18"/>
      <c r="AY60" s="19">
        <f>VLOOKUP(AV60,'DATABASE F&amp;B'!$C$3:$F$216,4,0)</f>
        <v>0</v>
      </c>
      <c r="AZ60" s="19">
        <f t="shared" si="138"/>
        <v>0</v>
      </c>
      <c r="BA60" s="16"/>
      <c r="BB60" s="17">
        <f>VLOOKUP(BA60,'DATABASE F&amp;B'!$C$3:$F$216,2,0)</f>
        <v>0</v>
      </c>
      <c r="BC60" s="18"/>
      <c r="BD60" s="19">
        <f>VLOOKUP(BA60,'DATABASE F&amp;B'!$C$3:$F$216,4,0)</f>
        <v>0</v>
      </c>
      <c r="BE60" s="19">
        <f t="shared" si="139"/>
        <v>0</v>
      </c>
      <c r="BF60" s="16"/>
      <c r="BG60" s="17">
        <f>VLOOKUP(BF60,'DATABASE F&amp;B'!$C$3:$F$216,2,0)</f>
        <v>0</v>
      </c>
      <c r="BH60" s="18"/>
      <c r="BI60" s="19">
        <f>VLOOKUP(BF60,'DATABASE F&amp;B'!$C$3:$F$216,4,0)</f>
        <v>0</v>
      </c>
      <c r="BJ60" s="19">
        <f t="shared" si="140"/>
        <v>0</v>
      </c>
      <c r="BK60" s="16"/>
      <c r="BL60" s="17">
        <f>VLOOKUP(BK60,'DATABASE F&amp;B'!$C$3:$F$210,2,0)</f>
        <v>0</v>
      </c>
      <c r="BM60" s="18"/>
      <c r="BN60" s="19">
        <f>VLOOKUP(BK60,'DATABASE F&amp;B'!$C$3:$F$210,4,0)</f>
        <v>0</v>
      </c>
      <c r="BO60" s="19">
        <f t="shared" si="141"/>
        <v>0</v>
      </c>
      <c r="BP60" s="16"/>
      <c r="BQ60" s="17">
        <f>VLOOKUP(BP60,'DATABASE F&amp;B'!$C$3:$F$210,2,0)</f>
        <v>0</v>
      </c>
      <c r="BR60" s="18"/>
      <c r="BS60" s="19">
        <f>VLOOKUP(BP60,'DATABASE F&amp;B'!$C$3:$F$210,4,0)</f>
        <v>0</v>
      </c>
      <c r="BT60" s="19">
        <f t="shared" si="142"/>
        <v>0</v>
      </c>
      <c r="BU60" s="16"/>
      <c r="BV60" s="17">
        <f>VLOOKUP(BU60,'DATABASE F&amp;B'!$C$3:$F$210,2,0)</f>
        <v>0</v>
      </c>
      <c r="BW60" s="18"/>
      <c r="BX60" s="19">
        <f>VLOOKUP(BU60,'DATABASE F&amp;B'!$C$3:$F$210,4,0)</f>
        <v>0</v>
      </c>
      <c r="BY60" s="19">
        <f t="shared" si="143"/>
        <v>0</v>
      </c>
      <c r="BZ60" s="16"/>
      <c r="CA60" s="17">
        <f>VLOOKUP(BZ60,'DATABASE F&amp;B'!$C$3:$F$210,2,0)</f>
        <v>0</v>
      </c>
      <c r="CB60" s="18"/>
      <c r="CC60" s="19">
        <f>VLOOKUP(BZ60,'DATABASE F&amp;B'!$C$3:$F$210,4,0)</f>
        <v>0</v>
      </c>
      <c r="CD60" s="19">
        <f t="shared" si="144"/>
        <v>0</v>
      </c>
    </row>
    <row r="61" spans="1:82" ht="13.5" x14ac:dyDescent="0.25">
      <c r="A61" s="32" t="str">
        <f t="shared" si="125"/>
        <v>05-'10-2026</v>
      </c>
      <c r="B61" s="22">
        <f t="shared" si="43"/>
        <v>57</v>
      </c>
      <c r="C61" s="22">
        <f t="shared" si="44"/>
        <v>57</v>
      </c>
      <c r="D61" s="34">
        <v>46152</v>
      </c>
      <c r="E61" s="35" t="s">
        <v>78</v>
      </c>
      <c r="F61" s="35" t="s">
        <v>202</v>
      </c>
      <c r="G61" s="52" t="s">
        <v>81</v>
      </c>
      <c r="H61" s="36" t="str">
        <f t="shared" si="23"/>
        <v>RJ-'100526-57</v>
      </c>
      <c r="I61" s="36" t="str">
        <f t="shared" si="126"/>
        <v>'10-05-2026</v>
      </c>
      <c r="J61" s="37" t="str">
        <f>VLOOKUP(D61,Laporan!$C$4:$D$34,2,0)</f>
        <v>Minggu</v>
      </c>
      <c r="K61" s="48"/>
      <c r="L61" s="13" t="s">
        <v>33</v>
      </c>
      <c r="M61" s="19">
        <f>SUMIF('DATABASE Room'!$B$3:$B$7,L61,'DATABASE Room'!$D$3:$D$7)</f>
        <v>0</v>
      </c>
      <c r="N61" s="13">
        <v>1</v>
      </c>
      <c r="O61" s="21">
        <f t="shared" si="127"/>
        <v>0</v>
      </c>
      <c r="P61" s="38"/>
      <c r="Q61" s="19">
        <f t="shared" si="128"/>
        <v>0</v>
      </c>
      <c r="R61" s="21">
        <f t="shared" si="129"/>
        <v>0</v>
      </c>
      <c r="S61" s="19">
        <f t="shared" si="130"/>
        <v>5</v>
      </c>
      <c r="T61" s="19">
        <f t="shared" si="131"/>
        <v>160000</v>
      </c>
      <c r="U61" s="21">
        <f t="shared" si="132"/>
        <v>160000</v>
      </c>
      <c r="V61" s="39"/>
      <c r="W61" s="16">
        <v>81</v>
      </c>
      <c r="X61" s="17" t="str">
        <f>VLOOKUP(W61,'DATABASE F&amp;B'!$C$3:$F$216,2,0)</f>
        <v>CONG YANG 620ML</v>
      </c>
      <c r="Y61" s="18">
        <v>1</v>
      </c>
      <c r="Z61" s="19">
        <f>VLOOKUP(W61,'DATABASE F&amp;B'!$C$3:$F$216,4,0)</f>
        <v>160000</v>
      </c>
      <c r="AA61" s="19">
        <f t="shared" si="133"/>
        <v>160000</v>
      </c>
      <c r="AB61" s="16"/>
      <c r="AC61" s="17">
        <f>VLOOKUP(AB61,'DATABASE F&amp;B'!$C$3:$F$216,2,0)</f>
        <v>0</v>
      </c>
      <c r="AD61" s="18">
        <v>1</v>
      </c>
      <c r="AE61" s="19">
        <f>VLOOKUP(AB61,'DATABASE F&amp;B'!$C$3:$F$216,4,0)</f>
        <v>0</v>
      </c>
      <c r="AF61" s="19">
        <f t="shared" si="134"/>
        <v>0</v>
      </c>
      <c r="AG61" s="16"/>
      <c r="AH61" s="17">
        <f>VLOOKUP(AG61,'DATABASE F&amp;B'!$C$3:$F$216,2,0)</f>
        <v>0</v>
      </c>
      <c r="AI61" s="18">
        <v>1</v>
      </c>
      <c r="AJ61" s="19">
        <f>VLOOKUP(AG61,'DATABASE F&amp;B'!$C$3:$F$216,4,0)</f>
        <v>0</v>
      </c>
      <c r="AK61" s="19">
        <f t="shared" si="135"/>
        <v>0</v>
      </c>
      <c r="AL61" s="16"/>
      <c r="AM61" s="17">
        <f>VLOOKUP(AL61,'DATABASE F&amp;B'!$C$3:$F$216,2,0)</f>
        <v>0</v>
      </c>
      <c r="AN61" s="18">
        <v>1</v>
      </c>
      <c r="AO61" s="19">
        <f>VLOOKUP(AL61,'DATABASE F&amp;B'!$C$3:$F$216,4,0)</f>
        <v>0</v>
      </c>
      <c r="AP61" s="19">
        <f t="shared" si="136"/>
        <v>0</v>
      </c>
      <c r="AQ61" s="16"/>
      <c r="AR61" s="17">
        <f>VLOOKUP(AQ61,'DATABASE F&amp;B'!$C$3:$F$216,2,0)</f>
        <v>0</v>
      </c>
      <c r="AS61" s="18">
        <v>1</v>
      </c>
      <c r="AT61" s="19">
        <f>VLOOKUP(AQ61,'DATABASE F&amp;B'!$C$3:$F$216,4,0)</f>
        <v>0</v>
      </c>
      <c r="AU61" s="19">
        <f t="shared" si="137"/>
        <v>0</v>
      </c>
      <c r="AV61" s="16"/>
      <c r="AW61" s="17">
        <f>VLOOKUP(AV61,'DATABASE F&amp;B'!$C$3:$F$216,2,0)</f>
        <v>0</v>
      </c>
      <c r="AX61" s="18"/>
      <c r="AY61" s="19">
        <f>VLOOKUP(AV61,'DATABASE F&amp;B'!$C$3:$F$216,4,0)</f>
        <v>0</v>
      </c>
      <c r="AZ61" s="19">
        <f t="shared" si="138"/>
        <v>0</v>
      </c>
      <c r="BA61" s="16"/>
      <c r="BB61" s="17">
        <f>VLOOKUP(BA61,'DATABASE F&amp;B'!$C$3:$F$216,2,0)</f>
        <v>0</v>
      </c>
      <c r="BC61" s="18"/>
      <c r="BD61" s="19">
        <f>VLOOKUP(BA61,'DATABASE F&amp;B'!$C$3:$F$216,4,0)</f>
        <v>0</v>
      </c>
      <c r="BE61" s="19">
        <f t="shared" si="139"/>
        <v>0</v>
      </c>
      <c r="BF61" s="16"/>
      <c r="BG61" s="17">
        <f>VLOOKUP(BF61,'DATABASE F&amp;B'!$C$3:$F$216,2,0)</f>
        <v>0</v>
      </c>
      <c r="BH61" s="18"/>
      <c r="BI61" s="19">
        <f>VLOOKUP(BF61,'DATABASE F&amp;B'!$C$3:$F$216,4,0)</f>
        <v>0</v>
      </c>
      <c r="BJ61" s="19">
        <f t="shared" si="140"/>
        <v>0</v>
      </c>
      <c r="BK61" s="16"/>
      <c r="BL61" s="17">
        <f>VLOOKUP(BK61,'DATABASE F&amp;B'!$C$3:$F$210,2,0)</f>
        <v>0</v>
      </c>
      <c r="BM61" s="18"/>
      <c r="BN61" s="19">
        <f>VLOOKUP(BK61,'DATABASE F&amp;B'!$C$3:$F$210,4,0)</f>
        <v>0</v>
      </c>
      <c r="BO61" s="19">
        <f t="shared" si="141"/>
        <v>0</v>
      </c>
      <c r="BP61" s="16"/>
      <c r="BQ61" s="17">
        <f>VLOOKUP(BP61,'DATABASE F&amp;B'!$C$3:$F$210,2,0)</f>
        <v>0</v>
      </c>
      <c r="BR61" s="18"/>
      <c r="BS61" s="19">
        <f>VLOOKUP(BP61,'DATABASE F&amp;B'!$C$3:$F$210,4,0)</f>
        <v>0</v>
      </c>
      <c r="BT61" s="19">
        <f t="shared" si="142"/>
        <v>0</v>
      </c>
      <c r="BU61" s="16"/>
      <c r="BV61" s="17">
        <f>VLOOKUP(BU61,'DATABASE F&amp;B'!$C$3:$F$210,2,0)</f>
        <v>0</v>
      </c>
      <c r="BW61" s="18"/>
      <c r="BX61" s="19">
        <f>VLOOKUP(BU61,'DATABASE F&amp;B'!$C$3:$F$210,4,0)</f>
        <v>0</v>
      </c>
      <c r="BY61" s="19">
        <f t="shared" si="143"/>
        <v>0</v>
      </c>
      <c r="BZ61" s="16"/>
      <c r="CA61" s="17">
        <f>VLOOKUP(BZ61,'DATABASE F&amp;B'!$C$3:$F$210,2,0)</f>
        <v>0</v>
      </c>
      <c r="CB61" s="18"/>
      <c r="CC61" s="19">
        <f>VLOOKUP(BZ61,'DATABASE F&amp;B'!$C$3:$F$210,4,0)</f>
        <v>0</v>
      </c>
      <c r="CD61" s="19">
        <f t="shared" si="144"/>
        <v>0</v>
      </c>
    </row>
    <row r="62" spans="1:82" ht="13.5" x14ac:dyDescent="0.25">
      <c r="A62" s="32" t="str">
        <f t="shared" si="125"/>
        <v>05-'10-2026</v>
      </c>
      <c r="B62" s="22">
        <f t="shared" si="43"/>
        <v>58</v>
      </c>
      <c r="C62" s="22">
        <f t="shared" si="44"/>
        <v>58</v>
      </c>
      <c r="D62" s="34">
        <v>46152</v>
      </c>
      <c r="E62" s="35" t="s">
        <v>78</v>
      </c>
      <c r="F62" s="35" t="s">
        <v>202</v>
      </c>
      <c r="G62" s="52" t="s">
        <v>81</v>
      </c>
      <c r="H62" s="36" t="str">
        <f t="shared" si="23"/>
        <v>RJ-'100526-58</v>
      </c>
      <c r="I62" s="36" t="str">
        <f t="shared" si="126"/>
        <v>'10-05-2026</v>
      </c>
      <c r="J62" s="37" t="str">
        <f>VLOOKUP(D62,Laporan!$C$4:$D$34,2,0)</f>
        <v>Minggu</v>
      </c>
      <c r="K62" s="48"/>
      <c r="L62" s="13" t="s">
        <v>33</v>
      </c>
      <c r="M62" s="19">
        <f>SUMIF('DATABASE Room'!$B$3:$B$7,L62,'DATABASE Room'!$D$3:$D$7)</f>
        <v>0</v>
      </c>
      <c r="N62" s="13">
        <v>1</v>
      </c>
      <c r="O62" s="21">
        <f t="shared" si="127"/>
        <v>0</v>
      </c>
      <c r="P62" s="38"/>
      <c r="Q62" s="19">
        <f t="shared" si="128"/>
        <v>0</v>
      </c>
      <c r="R62" s="21">
        <f t="shared" si="129"/>
        <v>0</v>
      </c>
      <c r="S62" s="19">
        <f t="shared" si="130"/>
        <v>5</v>
      </c>
      <c r="T62" s="19">
        <f t="shared" si="131"/>
        <v>320000</v>
      </c>
      <c r="U62" s="21">
        <f t="shared" si="132"/>
        <v>320000</v>
      </c>
      <c r="V62" s="39"/>
      <c r="W62" s="16">
        <v>82</v>
      </c>
      <c r="X62" s="17" t="str">
        <f>VLOOKUP(W62,'DATABASE F&amp;B'!$C$3:$F$216,2,0)</f>
        <v>ANI ANGGUR LYCHEE</v>
      </c>
      <c r="Y62" s="18">
        <v>1</v>
      </c>
      <c r="Z62" s="19">
        <f>VLOOKUP(W62,'DATABASE F&amp;B'!$C$3:$F$216,4,0)</f>
        <v>160000</v>
      </c>
      <c r="AA62" s="19">
        <f t="shared" si="133"/>
        <v>160000</v>
      </c>
      <c r="AB62" s="16">
        <v>81</v>
      </c>
      <c r="AC62" s="17" t="str">
        <f>VLOOKUP(AB62,'DATABASE F&amp;B'!$C$3:$F$216,2,0)</f>
        <v>CONG YANG 620ML</v>
      </c>
      <c r="AD62" s="18">
        <v>1</v>
      </c>
      <c r="AE62" s="19">
        <f>VLOOKUP(AB62,'DATABASE F&amp;B'!$C$3:$F$216,4,0)</f>
        <v>160000</v>
      </c>
      <c r="AF62" s="19">
        <f t="shared" si="134"/>
        <v>160000</v>
      </c>
      <c r="AG62" s="16"/>
      <c r="AH62" s="17">
        <f>VLOOKUP(AG62,'DATABASE F&amp;B'!$C$3:$F$216,2,0)</f>
        <v>0</v>
      </c>
      <c r="AI62" s="18">
        <v>1</v>
      </c>
      <c r="AJ62" s="19">
        <f>VLOOKUP(AG62,'DATABASE F&amp;B'!$C$3:$F$216,4,0)</f>
        <v>0</v>
      </c>
      <c r="AK62" s="19">
        <f t="shared" si="135"/>
        <v>0</v>
      </c>
      <c r="AL62" s="16"/>
      <c r="AM62" s="17">
        <f>VLOOKUP(AL62,'DATABASE F&amp;B'!$C$3:$F$216,2,0)</f>
        <v>0</v>
      </c>
      <c r="AN62" s="18">
        <v>1</v>
      </c>
      <c r="AO62" s="19">
        <f>VLOOKUP(AL62,'DATABASE F&amp;B'!$C$3:$F$216,4,0)</f>
        <v>0</v>
      </c>
      <c r="AP62" s="19">
        <f t="shared" si="136"/>
        <v>0</v>
      </c>
      <c r="AQ62" s="16"/>
      <c r="AR62" s="17">
        <f>VLOOKUP(AQ62,'DATABASE F&amp;B'!$C$3:$F$216,2,0)</f>
        <v>0</v>
      </c>
      <c r="AS62" s="18">
        <v>1</v>
      </c>
      <c r="AT62" s="19">
        <f>VLOOKUP(AQ62,'DATABASE F&amp;B'!$C$3:$F$216,4,0)</f>
        <v>0</v>
      </c>
      <c r="AU62" s="19">
        <f t="shared" si="137"/>
        <v>0</v>
      </c>
      <c r="AV62" s="16"/>
      <c r="AW62" s="17">
        <f>VLOOKUP(AV62,'DATABASE F&amp;B'!$C$3:$F$216,2,0)</f>
        <v>0</v>
      </c>
      <c r="AX62" s="18"/>
      <c r="AY62" s="19">
        <f>VLOOKUP(AV62,'DATABASE F&amp;B'!$C$3:$F$216,4,0)</f>
        <v>0</v>
      </c>
      <c r="AZ62" s="19">
        <f t="shared" si="138"/>
        <v>0</v>
      </c>
      <c r="BA62" s="16"/>
      <c r="BB62" s="17">
        <f>VLOOKUP(BA62,'DATABASE F&amp;B'!$C$3:$F$216,2,0)</f>
        <v>0</v>
      </c>
      <c r="BC62" s="18"/>
      <c r="BD62" s="19">
        <f>VLOOKUP(BA62,'DATABASE F&amp;B'!$C$3:$F$216,4,0)</f>
        <v>0</v>
      </c>
      <c r="BE62" s="19">
        <f t="shared" si="139"/>
        <v>0</v>
      </c>
      <c r="BF62" s="16"/>
      <c r="BG62" s="17">
        <f>VLOOKUP(BF62,'DATABASE F&amp;B'!$C$3:$F$216,2,0)</f>
        <v>0</v>
      </c>
      <c r="BH62" s="18"/>
      <c r="BI62" s="19">
        <f>VLOOKUP(BF62,'DATABASE F&amp;B'!$C$3:$F$216,4,0)</f>
        <v>0</v>
      </c>
      <c r="BJ62" s="19">
        <f t="shared" si="140"/>
        <v>0</v>
      </c>
      <c r="BK62" s="16"/>
      <c r="BL62" s="17">
        <f>VLOOKUP(BK62,'DATABASE F&amp;B'!$C$3:$F$210,2,0)</f>
        <v>0</v>
      </c>
      <c r="BM62" s="18"/>
      <c r="BN62" s="19">
        <f>VLOOKUP(BK62,'DATABASE F&amp;B'!$C$3:$F$210,4,0)</f>
        <v>0</v>
      </c>
      <c r="BO62" s="19">
        <f t="shared" si="141"/>
        <v>0</v>
      </c>
      <c r="BP62" s="16"/>
      <c r="BQ62" s="17">
        <f>VLOOKUP(BP62,'DATABASE F&amp;B'!$C$3:$F$210,2,0)</f>
        <v>0</v>
      </c>
      <c r="BR62" s="18"/>
      <c r="BS62" s="19">
        <f>VLOOKUP(BP62,'DATABASE F&amp;B'!$C$3:$F$210,4,0)</f>
        <v>0</v>
      </c>
      <c r="BT62" s="19">
        <f t="shared" si="142"/>
        <v>0</v>
      </c>
      <c r="BU62" s="16"/>
      <c r="BV62" s="17">
        <f>VLOOKUP(BU62,'DATABASE F&amp;B'!$C$3:$F$210,2,0)</f>
        <v>0</v>
      </c>
      <c r="BW62" s="18"/>
      <c r="BX62" s="19">
        <f>VLOOKUP(BU62,'DATABASE F&amp;B'!$C$3:$F$210,4,0)</f>
        <v>0</v>
      </c>
      <c r="BY62" s="19">
        <f t="shared" si="143"/>
        <v>0</v>
      </c>
      <c r="BZ62" s="16"/>
      <c r="CA62" s="17">
        <f>VLOOKUP(BZ62,'DATABASE F&amp;B'!$C$3:$F$210,2,0)</f>
        <v>0</v>
      </c>
      <c r="CB62" s="18"/>
      <c r="CC62" s="19">
        <f>VLOOKUP(BZ62,'DATABASE F&amp;B'!$C$3:$F$210,4,0)</f>
        <v>0</v>
      </c>
      <c r="CD62" s="19">
        <f t="shared" si="144"/>
        <v>0</v>
      </c>
    </row>
    <row r="63" spans="1:82" ht="13.5" x14ac:dyDescent="0.25">
      <c r="A63" s="32" t="str">
        <f t="shared" si="125"/>
        <v>05-'10-2026</v>
      </c>
      <c r="B63" s="22">
        <f t="shared" si="43"/>
        <v>59</v>
      </c>
      <c r="C63" s="22">
        <f t="shared" si="44"/>
        <v>59</v>
      </c>
      <c r="D63" s="34">
        <v>46152</v>
      </c>
      <c r="E63" s="35" t="s">
        <v>78</v>
      </c>
      <c r="F63" s="35" t="s">
        <v>202</v>
      </c>
      <c r="G63" s="52" t="s">
        <v>81</v>
      </c>
      <c r="H63" s="36" t="str">
        <f t="shared" si="23"/>
        <v>RJ-'100526-59</v>
      </c>
      <c r="I63" s="36" t="str">
        <f t="shared" si="126"/>
        <v>'10-05-2026</v>
      </c>
      <c r="J63" s="37" t="str">
        <f>VLOOKUP(D63,Laporan!$C$4:$D$34,2,0)</f>
        <v>Minggu</v>
      </c>
      <c r="K63" s="48"/>
      <c r="L63" s="13" t="s">
        <v>33</v>
      </c>
      <c r="M63" s="19">
        <f>SUMIF('DATABASE Room'!$B$3:$B$7,L63,'DATABASE Room'!$D$3:$D$7)</f>
        <v>0</v>
      </c>
      <c r="N63" s="13">
        <v>1</v>
      </c>
      <c r="O63" s="21">
        <f t="shared" si="127"/>
        <v>0</v>
      </c>
      <c r="P63" s="38"/>
      <c r="Q63" s="19">
        <f t="shared" si="128"/>
        <v>0</v>
      </c>
      <c r="R63" s="21">
        <f t="shared" si="129"/>
        <v>0</v>
      </c>
      <c r="S63" s="19">
        <f t="shared" si="130"/>
        <v>5</v>
      </c>
      <c r="T63" s="19">
        <f t="shared" si="131"/>
        <v>160000</v>
      </c>
      <c r="U63" s="21">
        <f t="shared" si="132"/>
        <v>160000</v>
      </c>
      <c r="V63" s="39"/>
      <c r="W63" s="16">
        <v>83</v>
      </c>
      <c r="X63" s="17" t="str">
        <f>VLOOKUP(W63,'DATABASE F&amp;B'!$C$3:$F$216,2,0)</f>
        <v>ANGGUR MERAH REGULER</v>
      </c>
      <c r="Y63" s="18">
        <v>1</v>
      </c>
      <c r="Z63" s="19">
        <f>VLOOKUP(W63,'DATABASE F&amp;B'!$C$3:$F$216,4,0)</f>
        <v>160000</v>
      </c>
      <c r="AA63" s="19">
        <f t="shared" si="133"/>
        <v>160000</v>
      </c>
      <c r="AB63" s="16"/>
      <c r="AC63" s="17">
        <f>VLOOKUP(AB63,'DATABASE F&amp;B'!$C$3:$F$216,2,0)</f>
        <v>0</v>
      </c>
      <c r="AD63" s="18">
        <v>1</v>
      </c>
      <c r="AE63" s="19">
        <f>VLOOKUP(AB63,'DATABASE F&amp;B'!$C$3:$F$216,4,0)</f>
        <v>0</v>
      </c>
      <c r="AF63" s="19">
        <f t="shared" si="134"/>
        <v>0</v>
      </c>
      <c r="AG63" s="16"/>
      <c r="AH63" s="17">
        <f>VLOOKUP(AG63,'DATABASE F&amp;B'!$C$3:$F$216,2,0)</f>
        <v>0</v>
      </c>
      <c r="AI63" s="18">
        <v>1</v>
      </c>
      <c r="AJ63" s="19">
        <f>VLOOKUP(AG63,'DATABASE F&amp;B'!$C$3:$F$216,4,0)</f>
        <v>0</v>
      </c>
      <c r="AK63" s="19">
        <f t="shared" si="135"/>
        <v>0</v>
      </c>
      <c r="AL63" s="16"/>
      <c r="AM63" s="17">
        <f>VLOOKUP(AL63,'DATABASE F&amp;B'!$C$3:$F$216,2,0)</f>
        <v>0</v>
      </c>
      <c r="AN63" s="18">
        <v>1</v>
      </c>
      <c r="AO63" s="19">
        <f>VLOOKUP(AL63,'DATABASE F&amp;B'!$C$3:$F$216,4,0)</f>
        <v>0</v>
      </c>
      <c r="AP63" s="19">
        <f t="shared" si="136"/>
        <v>0</v>
      </c>
      <c r="AQ63" s="16"/>
      <c r="AR63" s="17">
        <f>VLOOKUP(AQ63,'DATABASE F&amp;B'!$C$3:$F$216,2,0)</f>
        <v>0</v>
      </c>
      <c r="AS63" s="18">
        <v>1</v>
      </c>
      <c r="AT63" s="19">
        <f>VLOOKUP(AQ63,'DATABASE F&amp;B'!$C$3:$F$216,4,0)</f>
        <v>0</v>
      </c>
      <c r="AU63" s="19">
        <f t="shared" si="137"/>
        <v>0</v>
      </c>
      <c r="AV63" s="16"/>
      <c r="AW63" s="17">
        <f>VLOOKUP(AV63,'DATABASE F&amp;B'!$C$3:$F$216,2,0)</f>
        <v>0</v>
      </c>
      <c r="AX63" s="18"/>
      <c r="AY63" s="19">
        <f>VLOOKUP(AV63,'DATABASE F&amp;B'!$C$3:$F$216,4,0)</f>
        <v>0</v>
      </c>
      <c r="AZ63" s="19">
        <f t="shared" si="138"/>
        <v>0</v>
      </c>
      <c r="BA63" s="16"/>
      <c r="BB63" s="17">
        <f>VLOOKUP(BA63,'DATABASE F&amp;B'!$C$3:$F$216,2,0)</f>
        <v>0</v>
      </c>
      <c r="BC63" s="18"/>
      <c r="BD63" s="19">
        <f>VLOOKUP(BA63,'DATABASE F&amp;B'!$C$3:$F$216,4,0)</f>
        <v>0</v>
      </c>
      <c r="BE63" s="19">
        <f t="shared" si="139"/>
        <v>0</v>
      </c>
      <c r="BF63" s="16"/>
      <c r="BG63" s="17">
        <f>VLOOKUP(BF63,'DATABASE F&amp;B'!$C$3:$F$216,2,0)</f>
        <v>0</v>
      </c>
      <c r="BH63" s="18"/>
      <c r="BI63" s="19">
        <f>VLOOKUP(BF63,'DATABASE F&amp;B'!$C$3:$F$216,4,0)</f>
        <v>0</v>
      </c>
      <c r="BJ63" s="19">
        <f t="shared" si="140"/>
        <v>0</v>
      </c>
      <c r="BK63" s="16"/>
      <c r="BL63" s="17">
        <f>VLOOKUP(BK63,'DATABASE F&amp;B'!$C$3:$F$210,2,0)</f>
        <v>0</v>
      </c>
      <c r="BM63" s="18"/>
      <c r="BN63" s="19">
        <f>VLOOKUP(BK63,'DATABASE F&amp;B'!$C$3:$F$210,4,0)</f>
        <v>0</v>
      </c>
      <c r="BO63" s="19">
        <f t="shared" si="141"/>
        <v>0</v>
      </c>
      <c r="BP63" s="16"/>
      <c r="BQ63" s="17">
        <f>VLOOKUP(BP63,'DATABASE F&amp;B'!$C$3:$F$210,2,0)</f>
        <v>0</v>
      </c>
      <c r="BR63" s="18"/>
      <c r="BS63" s="19">
        <f>VLOOKUP(BP63,'DATABASE F&amp;B'!$C$3:$F$210,4,0)</f>
        <v>0</v>
      </c>
      <c r="BT63" s="19">
        <f t="shared" si="142"/>
        <v>0</v>
      </c>
      <c r="BU63" s="16"/>
      <c r="BV63" s="17">
        <f>VLOOKUP(BU63,'DATABASE F&amp;B'!$C$3:$F$210,2,0)</f>
        <v>0</v>
      </c>
      <c r="BW63" s="18"/>
      <c r="BX63" s="19">
        <f>VLOOKUP(BU63,'DATABASE F&amp;B'!$C$3:$F$210,4,0)</f>
        <v>0</v>
      </c>
      <c r="BY63" s="19">
        <f t="shared" si="143"/>
        <v>0</v>
      </c>
      <c r="BZ63" s="16"/>
      <c r="CA63" s="17">
        <f>VLOOKUP(BZ63,'DATABASE F&amp;B'!$C$3:$F$210,2,0)</f>
        <v>0</v>
      </c>
      <c r="CB63" s="18"/>
      <c r="CC63" s="19">
        <f>VLOOKUP(BZ63,'DATABASE F&amp;B'!$C$3:$F$210,4,0)</f>
        <v>0</v>
      </c>
      <c r="CD63" s="19">
        <f t="shared" si="144"/>
        <v>0</v>
      </c>
    </row>
    <row r="64" spans="1:82" ht="13.5" x14ac:dyDescent="0.25">
      <c r="A64" s="32" t="str">
        <f t="shared" si="125"/>
        <v>05-'11-2026</v>
      </c>
      <c r="B64" s="22">
        <f t="shared" si="43"/>
        <v>60</v>
      </c>
      <c r="C64" s="22">
        <f t="shared" si="44"/>
        <v>60</v>
      </c>
      <c r="D64" s="34">
        <v>46153</v>
      </c>
      <c r="E64" s="35" t="s">
        <v>48</v>
      </c>
      <c r="F64" s="35" t="s">
        <v>202</v>
      </c>
      <c r="G64" s="52" t="s">
        <v>81</v>
      </c>
      <c r="H64" s="36" t="str">
        <f t="shared" si="23"/>
        <v>RJ-'110526-60</v>
      </c>
      <c r="I64" s="36" t="str">
        <f t="shared" si="126"/>
        <v>'11-05-2026</v>
      </c>
      <c r="J64" s="37" t="str">
        <f>VLOOKUP(D64,Laporan!$C$4:$D$34,2,0)</f>
        <v>Senin</v>
      </c>
      <c r="K64" s="48"/>
      <c r="L64" s="13" t="s">
        <v>33</v>
      </c>
      <c r="M64" s="19">
        <f>SUMIF('DATABASE Room'!$B$3:$B$7,L64,'DATABASE Room'!$D$3:$D$7)</f>
        <v>0</v>
      </c>
      <c r="N64" s="13">
        <v>1</v>
      </c>
      <c r="O64" s="21">
        <f t="shared" si="127"/>
        <v>0</v>
      </c>
      <c r="P64" s="38"/>
      <c r="Q64" s="19">
        <f t="shared" si="128"/>
        <v>0</v>
      </c>
      <c r="R64" s="21">
        <f t="shared" si="129"/>
        <v>0</v>
      </c>
      <c r="S64" s="19">
        <f t="shared" si="130"/>
        <v>5</v>
      </c>
      <c r="T64" s="19">
        <f t="shared" si="131"/>
        <v>155000</v>
      </c>
      <c r="U64" s="21">
        <f t="shared" si="132"/>
        <v>155000</v>
      </c>
      <c r="V64" s="39"/>
      <c r="W64" s="16">
        <v>84</v>
      </c>
      <c r="X64" s="17" t="str">
        <f>VLOOKUP(W64,'DATABASE F&amp;B'!$C$3:$F$216,2,0)</f>
        <v>ANI ANGGUR HIJAU</v>
      </c>
      <c r="Y64" s="18">
        <v>1</v>
      </c>
      <c r="Z64" s="19">
        <f>VLOOKUP(W64,'DATABASE F&amp;B'!$C$3:$F$216,4,0)</f>
        <v>155000</v>
      </c>
      <c r="AA64" s="19">
        <f t="shared" si="133"/>
        <v>155000</v>
      </c>
      <c r="AB64" s="16"/>
      <c r="AC64" s="17">
        <f>VLOOKUP(AB64,'DATABASE F&amp;B'!$C$3:$F$216,2,0)</f>
        <v>0</v>
      </c>
      <c r="AD64" s="18">
        <v>1</v>
      </c>
      <c r="AE64" s="19">
        <f>VLOOKUP(AB64,'DATABASE F&amp;B'!$C$3:$F$216,4,0)</f>
        <v>0</v>
      </c>
      <c r="AF64" s="19">
        <f t="shared" si="134"/>
        <v>0</v>
      </c>
      <c r="AG64" s="16"/>
      <c r="AH64" s="17">
        <f>VLOOKUP(AG64,'DATABASE F&amp;B'!$C$3:$F$216,2,0)</f>
        <v>0</v>
      </c>
      <c r="AI64" s="18">
        <v>1</v>
      </c>
      <c r="AJ64" s="19">
        <f>VLOOKUP(AG64,'DATABASE F&amp;B'!$C$3:$F$216,4,0)</f>
        <v>0</v>
      </c>
      <c r="AK64" s="19">
        <f t="shared" si="135"/>
        <v>0</v>
      </c>
      <c r="AL64" s="16"/>
      <c r="AM64" s="17">
        <f>VLOOKUP(AL64,'DATABASE F&amp;B'!$C$3:$F$216,2,0)</f>
        <v>0</v>
      </c>
      <c r="AN64" s="18">
        <v>1</v>
      </c>
      <c r="AO64" s="19">
        <f>VLOOKUP(AL64,'DATABASE F&amp;B'!$C$3:$F$216,4,0)</f>
        <v>0</v>
      </c>
      <c r="AP64" s="19">
        <f t="shared" si="136"/>
        <v>0</v>
      </c>
      <c r="AQ64" s="16"/>
      <c r="AR64" s="17">
        <f>VLOOKUP(AQ64,'DATABASE F&amp;B'!$C$3:$F$216,2,0)</f>
        <v>0</v>
      </c>
      <c r="AS64" s="18">
        <v>1</v>
      </c>
      <c r="AT64" s="19">
        <f>VLOOKUP(AQ64,'DATABASE F&amp;B'!$C$3:$F$216,4,0)</f>
        <v>0</v>
      </c>
      <c r="AU64" s="19">
        <f t="shared" si="137"/>
        <v>0</v>
      </c>
      <c r="AV64" s="16"/>
      <c r="AW64" s="17">
        <f>VLOOKUP(AV64,'DATABASE F&amp;B'!$C$3:$F$216,2,0)</f>
        <v>0</v>
      </c>
      <c r="AX64" s="18"/>
      <c r="AY64" s="19">
        <f>VLOOKUP(AV64,'DATABASE F&amp;B'!$C$3:$F$216,4,0)</f>
        <v>0</v>
      </c>
      <c r="AZ64" s="19">
        <f t="shared" si="138"/>
        <v>0</v>
      </c>
      <c r="BA64" s="16"/>
      <c r="BB64" s="17">
        <f>VLOOKUP(BA64,'DATABASE F&amp;B'!$C$3:$F$216,2,0)</f>
        <v>0</v>
      </c>
      <c r="BC64" s="18"/>
      <c r="BD64" s="19">
        <f>VLOOKUP(BA64,'DATABASE F&amp;B'!$C$3:$F$216,4,0)</f>
        <v>0</v>
      </c>
      <c r="BE64" s="19">
        <f t="shared" si="139"/>
        <v>0</v>
      </c>
      <c r="BF64" s="16"/>
      <c r="BG64" s="17">
        <f>VLOOKUP(BF64,'DATABASE F&amp;B'!$C$3:$F$216,2,0)</f>
        <v>0</v>
      </c>
      <c r="BH64" s="18"/>
      <c r="BI64" s="19">
        <f>VLOOKUP(BF64,'DATABASE F&amp;B'!$C$3:$F$216,4,0)</f>
        <v>0</v>
      </c>
      <c r="BJ64" s="19">
        <f t="shared" si="140"/>
        <v>0</v>
      </c>
      <c r="BK64" s="16"/>
      <c r="BL64" s="17">
        <f>VLOOKUP(BK64,'DATABASE F&amp;B'!$C$3:$F$210,2,0)</f>
        <v>0</v>
      </c>
      <c r="BM64" s="18"/>
      <c r="BN64" s="19">
        <f>VLOOKUP(BK64,'DATABASE F&amp;B'!$C$3:$F$210,4,0)</f>
        <v>0</v>
      </c>
      <c r="BO64" s="19">
        <f t="shared" si="141"/>
        <v>0</v>
      </c>
      <c r="BP64" s="16"/>
      <c r="BQ64" s="17">
        <f>VLOOKUP(BP64,'DATABASE F&amp;B'!$C$3:$F$210,2,0)</f>
        <v>0</v>
      </c>
      <c r="BR64" s="18"/>
      <c r="BS64" s="19">
        <f>VLOOKUP(BP64,'DATABASE F&amp;B'!$C$3:$F$210,4,0)</f>
        <v>0</v>
      </c>
      <c r="BT64" s="19">
        <f t="shared" si="142"/>
        <v>0</v>
      </c>
      <c r="BU64" s="16"/>
      <c r="BV64" s="17">
        <f>VLOOKUP(BU64,'DATABASE F&amp;B'!$C$3:$F$210,2,0)</f>
        <v>0</v>
      </c>
      <c r="BW64" s="18"/>
      <c r="BX64" s="19">
        <f>VLOOKUP(BU64,'DATABASE F&amp;B'!$C$3:$F$210,4,0)</f>
        <v>0</v>
      </c>
      <c r="BY64" s="19">
        <f t="shared" si="143"/>
        <v>0</v>
      </c>
      <c r="BZ64" s="16"/>
      <c r="CA64" s="17">
        <f>VLOOKUP(BZ64,'DATABASE F&amp;B'!$C$3:$F$210,2,0)</f>
        <v>0</v>
      </c>
      <c r="CB64" s="18"/>
      <c r="CC64" s="19">
        <f>VLOOKUP(BZ64,'DATABASE F&amp;B'!$C$3:$F$210,4,0)</f>
        <v>0</v>
      </c>
      <c r="CD64" s="19">
        <f t="shared" si="144"/>
        <v>0</v>
      </c>
    </row>
    <row r="65" spans="1:82" ht="13.5" x14ac:dyDescent="0.25">
      <c r="A65" s="32" t="str">
        <f t="shared" si="125"/>
        <v>05-'11-2026</v>
      </c>
      <c r="B65" s="22">
        <f t="shared" si="43"/>
        <v>61</v>
      </c>
      <c r="C65" s="22">
        <f t="shared" si="44"/>
        <v>61</v>
      </c>
      <c r="D65" s="34">
        <v>46153</v>
      </c>
      <c r="E65" s="35" t="s">
        <v>48</v>
      </c>
      <c r="F65" s="35" t="s">
        <v>202</v>
      </c>
      <c r="G65" s="52" t="s">
        <v>81</v>
      </c>
      <c r="H65" s="36" t="str">
        <f t="shared" si="23"/>
        <v>RJ-'110526-61</v>
      </c>
      <c r="I65" s="36" t="str">
        <f t="shared" si="126"/>
        <v>'11-05-2026</v>
      </c>
      <c r="J65" s="37" t="str">
        <f>VLOOKUP(D65,Laporan!$C$4:$D$34,2,0)</f>
        <v>Senin</v>
      </c>
      <c r="K65" s="48"/>
      <c r="L65" s="13" t="s">
        <v>33</v>
      </c>
      <c r="M65" s="19">
        <f>SUMIF('DATABASE Room'!$B$3:$B$7,L65,'DATABASE Room'!$D$3:$D$7)</f>
        <v>0</v>
      </c>
      <c r="N65" s="13">
        <v>1</v>
      </c>
      <c r="O65" s="21">
        <f t="shared" si="127"/>
        <v>0</v>
      </c>
      <c r="P65" s="38"/>
      <c r="Q65" s="19">
        <f t="shared" si="128"/>
        <v>0</v>
      </c>
      <c r="R65" s="21">
        <f t="shared" si="129"/>
        <v>0</v>
      </c>
      <c r="S65" s="19">
        <f t="shared" si="130"/>
        <v>5</v>
      </c>
      <c r="T65" s="19">
        <f t="shared" si="131"/>
        <v>170000</v>
      </c>
      <c r="U65" s="21">
        <f t="shared" si="132"/>
        <v>170000</v>
      </c>
      <c r="V65" s="39"/>
      <c r="W65" s="16">
        <v>85</v>
      </c>
      <c r="X65" s="17" t="str">
        <f>VLOOKUP(W65,'DATABASE F&amp;B'!$C$3:$F$216,2,0)</f>
        <v>KAWA KAWA ANGGUR HIJAU</v>
      </c>
      <c r="Y65" s="18">
        <v>1</v>
      </c>
      <c r="Z65" s="19">
        <f>VLOOKUP(W65,'DATABASE F&amp;B'!$C$3:$F$216,4,0)</f>
        <v>170000</v>
      </c>
      <c r="AA65" s="19">
        <f t="shared" si="133"/>
        <v>170000</v>
      </c>
      <c r="AB65" s="16"/>
      <c r="AC65" s="17">
        <f>VLOOKUP(AB65,'DATABASE F&amp;B'!$C$3:$F$216,2,0)</f>
        <v>0</v>
      </c>
      <c r="AD65" s="18">
        <v>1</v>
      </c>
      <c r="AE65" s="19">
        <f>VLOOKUP(AB65,'DATABASE F&amp;B'!$C$3:$F$216,4,0)</f>
        <v>0</v>
      </c>
      <c r="AF65" s="19">
        <f t="shared" si="134"/>
        <v>0</v>
      </c>
      <c r="AG65" s="16"/>
      <c r="AH65" s="17">
        <f>VLOOKUP(AG65,'DATABASE F&amp;B'!$C$3:$F$216,2,0)</f>
        <v>0</v>
      </c>
      <c r="AI65" s="18">
        <v>1</v>
      </c>
      <c r="AJ65" s="19">
        <f>VLOOKUP(AG65,'DATABASE F&amp;B'!$C$3:$F$216,4,0)</f>
        <v>0</v>
      </c>
      <c r="AK65" s="19">
        <f t="shared" si="135"/>
        <v>0</v>
      </c>
      <c r="AL65" s="16"/>
      <c r="AM65" s="17">
        <f>VLOOKUP(AL65,'DATABASE F&amp;B'!$C$3:$F$216,2,0)</f>
        <v>0</v>
      </c>
      <c r="AN65" s="18">
        <v>1</v>
      </c>
      <c r="AO65" s="19">
        <f>VLOOKUP(AL65,'DATABASE F&amp;B'!$C$3:$F$216,4,0)</f>
        <v>0</v>
      </c>
      <c r="AP65" s="19">
        <f t="shared" si="136"/>
        <v>0</v>
      </c>
      <c r="AQ65" s="16"/>
      <c r="AR65" s="17">
        <f>VLOOKUP(AQ65,'DATABASE F&amp;B'!$C$3:$F$216,2,0)</f>
        <v>0</v>
      </c>
      <c r="AS65" s="18">
        <v>1</v>
      </c>
      <c r="AT65" s="19">
        <f>VLOOKUP(AQ65,'DATABASE F&amp;B'!$C$3:$F$216,4,0)</f>
        <v>0</v>
      </c>
      <c r="AU65" s="19">
        <f t="shared" si="137"/>
        <v>0</v>
      </c>
      <c r="AV65" s="16"/>
      <c r="AW65" s="17">
        <f>VLOOKUP(AV65,'DATABASE F&amp;B'!$C$3:$F$216,2,0)</f>
        <v>0</v>
      </c>
      <c r="AX65" s="18"/>
      <c r="AY65" s="19">
        <f>VLOOKUP(AV65,'DATABASE F&amp;B'!$C$3:$F$216,4,0)</f>
        <v>0</v>
      </c>
      <c r="AZ65" s="19">
        <f t="shared" si="138"/>
        <v>0</v>
      </c>
      <c r="BA65" s="16"/>
      <c r="BB65" s="17">
        <f>VLOOKUP(BA65,'DATABASE F&amp;B'!$C$3:$F$216,2,0)</f>
        <v>0</v>
      </c>
      <c r="BC65" s="18"/>
      <c r="BD65" s="19">
        <f>VLOOKUP(BA65,'DATABASE F&amp;B'!$C$3:$F$216,4,0)</f>
        <v>0</v>
      </c>
      <c r="BE65" s="19">
        <f t="shared" si="139"/>
        <v>0</v>
      </c>
      <c r="BF65" s="16"/>
      <c r="BG65" s="17">
        <f>VLOOKUP(BF65,'DATABASE F&amp;B'!$C$3:$F$216,2,0)</f>
        <v>0</v>
      </c>
      <c r="BH65" s="18"/>
      <c r="BI65" s="19">
        <f>VLOOKUP(BF65,'DATABASE F&amp;B'!$C$3:$F$216,4,0)</f>
        <v>0</v>
      </c>
      <c r="BJ65" s="19">
        <f t="shared" si="140"/>
        <v>0</v>
      </c>
      <c r="BK65" s="16"/>
      <c r="BL65" s="17">
        <f>VLOOKUP(BK65,'DATABASE F&amp;B'!$C$3:$F$210,2,0)</f>
        <v>0</v>
      </c>
      <c r="BM65" s="18"/>
      <c r="BN65" s="19">
        <f>VLOOKUP(BK65,'DATABASE F&amp;B'!$C$3:$F$210,4,0)</f>
        <v>0</v>
      </c>
      <c r="BO65" s="19">
        <f t="shared" si="141"/>
        <v>0</v>
      </c>
      <c r="BP65" s="16"/>
      <c r="BQ65" s="17">
        <f>VLOOKUP(BP65,'DATABASE F&amp;B'!$C$3:$F$210,2,0)</f>
        <v>0</v>
      </c>
      <c r="BR65" s="18"/>
      <c r="BS65" s="19">
        <f>VLOOKUP(BP65,'DATABASE F&amp;B'!$C$3:$F$210,4,0)</f>
        <v>0</v>
      </c>
      <c r="BT65" s="19">
        <f t="shared" si="142"/>
        <v>0</v>
      </c>
      <c r="BU65" s="16"/>
      <c r="BV65" s="17">
        <f>VLOOKUP(BU65,'DATABASE F&amp;B'!$C$3:$F$210,2,0)</f>
        <v>0</v>
      </c>
      <c r="BW65" s="18"/>
      <c r="BX65" s="19">
        <f>VLOOKUP(BU65,'DATABASE F&amp;B'!$C$3:$F$210,4,0)</f>
        <v>0</v>
      </c>
      <c r="BY65" s="19">
        <f t="shared" si="143"/>
        <v>0</v>
      </c>
      <c r="BZ65" s="16"/>
      <c r="CA65" s="17">
        <f>VLOOKUP(BZ65,'DATABASE F&amp;B'!$C$3:$F$210,2,0)</f>
        <v>0</v>
      </c>
      <c r="CB65" s="18"/>
      <c r="CC65" s="19">
        <f>VLOOKUP(BZ65,'DATABASE F&amp;B'!$C$3:$F$210,4,0)</f>
        <v>0</v>
      </c>
      <c r="CD65" s="19">
        <f t="shared" si="144"/>
        <v>0</v>
      </c>
    </row>
    <row r="66" spans="1:82" ht="13.5" x14ac:dyDescent="0.25">
      <c r="A66" s="32" t="str">
        <f t="shared" si="125"/>
        <v>05-'11-2026</v>
      </c>
      <c r="B66" s="22">
        <f t="shared" si="43"/>
        <v>62</v>
      </c>
      <c r="C66" s="22">
        <f t="shared" si="44"/>
        <v>62</v>
      </c>
      <c r="D66" s="34">
        <v>46153</v>
      </c>
      <c r="E66" s="35" t="s">
        <v>48</v>
      </c>
      <c r="F66" s="35" t="s">
        <v>202</v>
      </c>
      <c r="G66" s="52" t="s">
        <v>81</v>
      </c>
      <c r="H66" s="36" t="str">
        <f t="shared" si="23"/>
        <v>RJ-'110526-62</v>
      </c>
      <c r="I66" s="36" t="str">
        <f t="shared" si="126"/>
        <v>'11-05-2026</v>
      </c>
      <c r="J66" s="37" t="str">
        <f>VLOOKUP(D66,Laporan!$C$4:$D$34,2,0)</f>
        <v>Senin</v>
      </c>
      <c r="K66" s="48"/>
      <c r="L66" s="13" t="s">
        <v>33</v>
      </c>
      <c r="M66" s="19">
        <f>SUMIF('DATABASE Room'!$B$3:$B$7,L66,'DATABASE Room'!$D$3:$D$7)</f>
        <v>0</v>
      </c>
      <c r="N66" s="13">
        <v>1</v>
      </c>
      <c r="O66" s="21">
        <f t="shared" si="127"/>
        <v>0</v>
      </c>
      <c r="P66" s="38"/>
      <c r="Q66" s="19">
        <f t="shared" si="128"/>
        <v>0</v>
      </c>
      <c r="R66" s="21">
        <f t="shared" si="129"/>
        <v>0</v>
      </c>
      <c r="S66" s="19">
        <f t="shared" si="130"/>
        <v>5</v>
      </c>
      <c r="T66" s="19">
        <f t="shared" si="131"/>
        <v>125000</v>
      </c>
      <c r="U66" s="21">
        <f t="shared" si="132"/>
        <v>125000</v>
      </c>
      <c r="V66" s="39"/>
      <c r="W66" s="16">
        <v>86</v>
      </c>
      <c r="X66" s="17" t="str">
        <f>VLOOKUP(W66,'DATABASE F&amp;B'!$C$3:$F$216,2,0)</f>
        <v>SOJU GREEN ROYAL APPLE</v>
      </c>
      <c r="Y66" s="18">
        <v>1</v>
      </c>
      <c r="Z66" s="19">
        <f>VLOOKUP(W66,'DATABASE F&amp;B'!$C$3:$F$216,4,0)</f>
        <v>125000</v>
      </c>
      <c r="AA66" s="19">
        <f t="shared" si="133"/>
        <v>125000</v>
      </c>
      <c r="AB66" s="16"/>
      <c r="AC66" s="17">
        <f>VLOOKUP(AB66,'DATABASE F&amp;B'!$C$3:$F$216,2,0)</f>
        <v>0</v>
      </c>
      <c r="AD66" s="18">
        <v>1</v>
      </c>
      <c r="AE66" s="19">
        <f>VLOOKUP(AB66,'DATABASE F&amp;B'!$C$3:$F$216,4,0)</f>
        <v>0</v>
      </c>
      <c r="AF66" s="19">
        <f t="shared" si="134"/>
        <v>0</v>
      </c>
      <c r="AG66" s="16"/>
      <c r="AH66" s="17">
        <f>VLOOKUP(AG66,'DATABASE F&amp;B'!$C$3:$F$216,2,0)</f>
        <v>0</v>
      </c>
      <c r="AI66" s="18">
        <v>1</v>
      </c>
      <c r="AJ66" s="19">
        <f>VLOOKUP(AG66,'DATABASE F&amp;B'!$C$3:$F$216,4,0)</f>
        <v>0</v>
      </c>
      <c r="AK66" s="19">
        <f t="shared" si="135"/>
        <v>0</v>
      </c>
      <c r="AL66" s="16"/>
      <c r="AM66" s="17">
        <f>VLOOKUP(AL66,'DATABASE F&amp;B'!$C$3:$F$216,2,0)</f>
        <v>0</v>
      </c>
      <c r="AN66" s="18">
        <v>1</v>
      </c>
      <c r="AO66" s="19">
        <f>VLOOKUP(AL66,'DATABASE F&amp;B'!$C$3:$F$216,4,0)</f>
        <v>0</v>
      </c>
      <c r="AP66" s="19">
        <f t="shared" si="136"/>
        <v>0</v>
      </c>
      <c r="AQ66" s="16"/>
      <c r="AR66" s="17">
        <f>VLOOKUP(AQ66,'DATABASE F&amp;B'!$C$3:$F$216,2,0)</f>
        <v>0</v>
      </c>
      <c r="AS66" s="18">
        <v>1</v>
      </c>
      <c r="AT66" s="19">
        <f>VLOOKUP(AQ66,'DATABASE F&amp;B'!$C$3:$F$216,4,0)</f>
        <v>0</v>
      </c>
      <c r="AU66" s="19">
        <f t="shared" si="137"/>
        <v>0</v>
      </c>
      <c r="AV66" s="16"/>
      <c r="AW66" s="17">
        <f>VLOOKUP(AV66,'DATABASE F&amp;B'!$C$3:$F$216,2,0)</f>
        <v>0</v>
      </c>
      <c r="AX66" s="18"/>
      <c r="AY66" s="19">
        <f>VLOOKUP(AV66,'DATABASE F&amp;B'!$C$3:$F$216,4,0)</f>
        <v>0</v>
      </c>
      <c r="AZ66" s="19">
        <f t="shared" si="138"/>
        <v>0</v>
      </c>
      <c r="BA66" s="16"/>
      <c r="BB66" s="17">
        <f>VLOOKUP(BA66,'DATABASE F&amp;B'!$C$3:$F$216,2,0)</f>
        <v>0</v>
      </c>
      <c r="BC66" s="18"/>
      <c r="BD66" s="19">
        <f>VLOOKUP(BA66,'DATABASE F&amp;B'!$C$3:$F$216,4,0)</f>
        <v>0</v>
      </c>
      <c r="BE66" s="19">
        <f t="shared" si="139"/>
        <v>0</v>
      </c>
      <c r="BF66" s="16"/>
      <c r="BG66" s="17">
        <f>VLOOKUP(BF66,'DATABASE F&amp;B'!$C$3:$F$216,2,0)</f>
        <v>0</v>
      </c>
      <c r="BH66" s="18"/>
      <c r="BI66" s="19">
        <f>VLOOKUP(BF66,'DATABASE F&amp;B'!$C$3:$F$216,4,0)</f>
        <v>0</v>
      </c>
      <c r="BJ66" s="19">
        <f t="shared" si="140"/>
        <v>0</v>
      </c>
      <c r="BK66" s="16"/>
      <c r="BL66" s="17">
        <f>VLOOKUP(BK66,'DATABASE F&amp;B'!$C$3:$F$210,2,0)</f>
        <v>0</v>
      </c>
      <c r="BM66" s="18"/>
      <c r="BN66" s="19">
        <f>VLOOKUP(BK66,'DATABASE F&amp;B'!$C$3:$F$210,4,0)</f>
        <v>0</v>
      </c>
      <c r="BO66" s="19">
        <f t="shared" si="141"/>
        <v>0</v>
      </c>
      <c r="BP66" s="16"/>
      <c r="BQ66" s="17">
        <f>VLOOKUP(BP66,'DATABASE F&amp;B'!$C$3:$F$210,2,0)</f>
        <v>0</v>
      </c>
      <c r="BR66" s="18"/>
      <c r="BS66" s="19">
        <f>VLOOKUP(BP66,'DATABASE F&amp;B'!$C$3:$F$210,4,0)</f>
        <v>0</v>
      </c>
      <c r="BT66" s="19">
        <f t="shared" si="142"/>
        <v>0</v>
      </c>
      <c r="BU66" s="16"/>
      <c r="BV66" s="17">
        <f>VLOOKUP(BU66,'DATABASE F&amp;B'!$C$3:$F$210,2,0)</f>
        <v>0</v>
      </c>
      <c r="BW66" s="18"/>
      <c r="BX66" s="19">
        <f>VLOOKUP(BU66,'DATABASE F&amp;B'!$C$3:$F$210,4,0)</f>
        <v>0</v>
      </c>
      <c r="BY66" s="19">
        <f t="shared" si="143"/>
        <v>0</v>
      </c>
      <c r="BZ66" s="16"/>
      <c r="CA66" s="17">
        <f>VLOOKUP(BZ66,'DATABASE F&amp;B'!$C$3:$F$210,2,0)</f>
        <v>0</v>
      </c>
      <c r="CB66" s="18"/>
      <c r="CC66" s="19">
        <f>VLOOKUP(BZ66,'DATABASE F&amp;B'!$C$3:$F$210,4,0)</f>
        <v>0</v>
      </c>
      <c r="CD66" s="19">
        <f t="shared" si="144"/>
        <v>0</v>
      </c>
    </row>
    <row r="67" spans="1:82" ht="13.5" x14ac:dyDescent="0.25">
      <c r="A67" s="32" t="str">
        <f t="shared" si="125"/>
        <v>05-'11-2026</v>
      </c>
      <c r="B67" s="22">
        <f t="shared" si="43"/>
        <v>63</v>
      </c>
      <c r="C67" s="22">
        <f t="shared" si="44"/>
        <v>63</v>
      </c>
      <c r="D67" s="34">
        <v>46153</v>
      </c>
      <c r="E67" s="35" t="s">
        <v>48</v>
      </c>
      <c r="F67" s="35" t="s">
        <v>202</v>
      </c>
      <c r="G67" s="52" t="s">
        <v>81</v>
      </c>
      <c r="H67" s="36" t="str">
        <f t="shared" si="23"/>
        <v>RJ-'110526-63</v>
      </c>
      <c r="I67" s="36" t="str">
        <f t="shared" si="126"/>
        <v>'11-05-2026</v>
      </c>
      <c r="J67" s="37" t="str">
        <f>VLOOKUP(D67,Laporan!$C$4:$D$34,2,0)</f>
        <v>Senin</v>
      </c>
      <c r="K67" s="48"/>
      <c r="L67" s="13" t="s">
        <v>33</v>
      </c>
      <c r="M67" s="19">
        <f>SUMIF('DATABASE Room'!$B$3:$B$7,L67,'DATABASE Room'!$D$3:$D$7)</f>
        <v>0</v>
      </c>
      <c r="N67" s="13">
        <v>1</v>
      </c>
      <c r="O67" s="21">
        <f t="shared" si="127"/>
        <v>0</v>
      </c>
      <c r="P67" s="38"/>
      <c r="Q67" s="19">
        <f t="shared" si="128"/>
        <v>0</v>
      </c>
      <c r="R67" s="21">
        <f t="shared" si="129"/>
        <v>0</v>
      </c>
      <c r="S67" s="19">
        <f t="shared" si="130"/>
        <v>5</v>
      </c>
      <c r="T67" s="19">
        <f t="shared" si="131"/>
        <v>700000</v>
      </c>
      <c r="U67" s="21">
        <f t="shared" si="132"/>
        <v>700000</v>
      </c>
      <c r="V67" s="39"/>
      <c r="W67" s="16">
        <v>87</v>
      </c>
      <c r="X67" s="17" t="str">
        <f>VLOOKUP(W67,'DATABASE F&amp;B'!$C$3:$F$216,2,0)</f>
        <v>SOJU GREEN ROYAL LYCHEE</v>
      </c>
      <c r="Y67" s="18">
        <v>1</v>
      </c>
      <c r="Z67" s="19">
        <f>VLOOKUP(W67,'DATABASE F&amp;B'!$C$3:$F$216,4,0)</f>
        <v>125000</v>
      </c>
      <c r="AA67" s="19">
        <f t="shared" si="133"/>
        <v>125000</v>
      </c>
      <c r="AB67" s="16">
        <v>114</v>
      </c>
      <c r="AC67" s="17" t="str">
        <f>VLOOKUP(AB67,'DATABASE F&amp;B'!$C$3:$F$216,2,0)</f>
        <v>JAMESON</v>
      </c>
      <c r="AD67" s="18">
        <v>1</v>
      </c>
      <c r="AE67" s="19">
        <f>VLOOKUP(AB67,'DATABASE F&amp;B'!$C$3:$F$216,4,0)</f>
        <v>575000</v>
      </c>
      <c r="AF67" s="19">
        <f t="shared" si="134"/>
        <v>575000</v>
      </c>
      <c r="AG67" s="16"/>
      <c r="AH67" s="17">
        <f>VLOOKUP(AG67,'DATABASE F&amp;B'!$C$3:$F$216,2,0)</f>
        <v>0</v>
      </c>
      <c r="AI67" s="18">
        <v>1</v>
      </c>
      <c r="AJ67" s="19">
        <f>VLOOKUP(AG67,'DATABASE F&amp;B'!$C$3:$F$216,4,0)</f>
        <v>0</v>
      </c>
      <c r="AK67" s="19">
        <f t="shared" si="135"/>
        <v>0</v>
      </c>
      <c r="AL67" s="16"/>
      <c r="AM67" s="17">
        <f>VLOOKUP(AL67,'DATABASE F&amp;B'!$C$3:$F$216,2,0)</f>
        <v>0</v>
      </c>
      <c r="AN67" s="18">
        <v>1</v>
      </c>
      <c r="AO67" s="19">
        <f>VLOOKUP(AL67,'DATABASE F&amp;B'!$C$3:$F$216,4,0)</f>
        <v>0</v>
      </c>
      <c r="AP67" s="19">
        <f t="shared" si="136"/>
        <v>0</v>
      </c>
      <c r="AQ67" s="16"/>
      <c r="AR67" s="17">
        <f>VLOOKUP(AQ67,'DATABASE F&amp;B'!$C$3:$F$216,2,0)</f>
        <v>0</v>
      </c>
      <c r="AS67" s="18">
        <v>1</v>
      </c>
      <c r="AT67" s="19">
        <f>VLOOKUP(AQ67,'DATABASE F&amp;B'!$C$3:$F$216,4,0)</f>
        <v>0</v>
      </c>
      <c r="AU67" s="19">
        <f t="shared" si="137"/>
        <v>0</v>
      </c>
      <c r="AV67" s="16"/>
      <c r="AW67" s="17">
        <f>VLOOKUP(AV67,'DATABASE F&amp;B'!$C$3:$F$216,2,0)</f>
        <v>0</v>
      </c>
      <c r="AX67" s="18"/>
      <c r="AY67" s="19">
        <f>VLOOKUP(AV67,'DATABASE F&amp;B'!$C$3:$F$216,4,0)</f>
        <v>0</v>
      </c>
      <c r="AZ67" s="19">
        <f t="shared" si="138"/>
        <v>0</v>
      </c>
      <c r="BA67" s="16"/>
      <c r="BB67" s="17">
        <f>VLOOKUP(BA67,'DATABASE F&amp;B'!$C$3:$F$216,2,0)</f>
        <v>0</v>
      </c>
      <c r="BC67" s="18"/>
      <c r="BD67" s="19">
        <f>VLOOKUP(BA67,'DATABASE F&amp;B'!$C$3:$F$216,4,0)</f>
        <v>0</v>
      </c>
      <c r="BE67" s="19">
        <f t="shared" si="139"/>
        <v>0</v>
      </c>
      <c r="BF67" s="16"/>
      <c r="BG67" s="17">
        <f>VLOOKUP(BF67,'DATABASE F&amp;B'!$C$3:$F$216,2,0)</f>
        <v>0</v>
      </c>
      <c r="BH67" s="18"/>
      <c r="BI67" s="19">
        <f>VLOOKUP(BF67,'DATABASE F&amp;B'!$C$3:$F$216,4,0)</f>
        <v>0</v>
      </c>
      <c r="BJ67" s="19">
        <f t="shared" si="140"/>
        <v>0</v>
      </c>
      <c r="BK67" s="16"/>
      <c r="BL67" s="17">
        <f>VLOOKUP(BK67,'DATABASE F&amp;B'!$C$3:$F$210,2,0)</f>
        <v>0</v>
      </c>
      <c r="BM67" s="18"/>
      <c r="BN67" s="19">
        <f>VLOOKUP(BK67,'DATABASE F&amp;B'!$C$3:$F$210,4,0)</f>
        <v>0</v>
      </c>
      <c r="BO67" s="19">
        <f t="shared" si="141"/>
        <v>0</v>
      </c>
      <c r="BP67" s="16"/>
      <c r="BQ67" s="17">
        <f>VLOOKUP(BP67,'DATABASE F&amp;B'!$C$3:$F$210,2,0)</f>
        <v>0</v>
      </c>
      <c r="BR67" s="18"/>
      <c r="BS67" s="19">
        <f>VLOOKUP(BP67,'DATABASE F&amp;B'!$C$3:$F$210,4,0)</f>
        <v>0</v>
      </c>
      <c r="BT67" s="19">
        <f t="shared" si="142"/>
        <v>0</v>
      </c>
      <c r="BU67" s="16"/>
      <c r="BV67" s="17">
        <f>VLOOKUP(BU67,'DATABASE F&amp;B'!$C$3:$F$210,2,0)</f>
        <v>0</v>
      </c>
      <c r="BW67" s="18"/>
      <c r="BX67" s="19">
        <f>VLOOKUP(BU67,'DATABASE F&amp;B'!$C$3:$F$210,4,0)</f>
        <v>0</v>
      </c>
      <c r="BY67" s="19">
        <f t="shared" si="143"/>
        <v>0</v>
      </c>
      <c r="BZ67" s="16"/>
      <c r="CA67" s="17">
        <f>VLOOKUP(BZ67,'DATABASE F&amp;B'!$C$3:$F$210,2,0)</f>
        <v>0</v>
      </c>
      <c r="CB67" s="18"/>
      <c r="CC67" s="19">
        <f>VLOOKUP(BZ67,'DATABASE F&amp;B'!$C$3:$F$210,4,0)</f>
        <v>0</v>
      </c>
      <c r="CD67" s="19">
        <f t="shared" si="144"/>
        <v>0</v>
      </c>
    </row>
    <row r="68" spans="1:82" ht="13.5" x14ac:dyDescent="0.25">
      <c r="A68" s="32" t="str">
        <f t="shared" si="125"/>
        <v>05-'11-2026</v>
      </c>
      <c r="B68" s="22">
        <f t="shared" si="43"/>
        <v>64</v>
      </c>
      <c r="C68" s="22">
        <f t="shared" si="44"/>
        <v>64</v>
      </c>
      <c r="D68" s="34">
        <v>46153</v>
      </c>
      <c r="E68" s="35" t="s">
        <v>48</v>
      </c>
      <c r="F68" s="35" t="s">
        <v>202</v>
      </c>
      <c r="G68" s="52" t="s">
        <v>81</v>
      </c>
      <c r="H68" s="36" t="str">
        <f t="shared" si="23"/>
        <v>RJ-'110526-64</v>
      </c>
      <c r="I68" s="36" t="str">
        <f t="shared" si="126"/>
        <v>'11-05-2026</v>
      </c>
      <c r="J68" s="37" t="str">
        <f>VLOOKUP(D68,Laporan!$C$4:$D$34,2,0)</f>
        <v>Senin</v>
      </c>
      <c r="K68" s="48"/>
      <c r="L68" s="13" t="s">
        <v>33</v>
      </c>
      <c r="M68" s="19">
        <f>SUMIF('DATABASE Room'!$B$3:$B$7,L68,'DATABASE Room'!$D$3:$D$7)</f>
        <v>0</v>
      </c>
      <c r="N68" s="13">
        <v>1</v>
      </c>
      <c r="O68" s="21">
        <f t="shared" si="127"/>
        <v>0</v>
      </c>
      <c r="P68" s="38"/>
      <c r="Q68" s="19">
        <f t="shared" si="128"/>
        <v>0</v>
      </c>
      <c r="R68" s="21">
        <f t="shared" si="129"/>
        <v>0</v>
      </c>
      <c r="S68" s="19">
        <f t="shared" si="130"/>
        <v>5</v>
      </c>
      <c r="T68" s="19">
        <f t="shared" si="131"/>
        <v>125000</v>
      </c>
      <c r="U68" s="21">
        <f t="shared" si="132"/>
        <v>125000</v>
      </c>
      <c r="V68" s="39"/>
      <c r="W68" s="16">
        <v>88</v>
      </c>
      <c r="X68" s="17" t="str">
        <f>VLOOKUP(W68,'DATABASE F&amp;B'!$C$3:$F$216,2,0)</f>
        <v>SOJU GREEN ROYAL MANGO</v>
      </c>
      <c r="Y68" s="18">
        <v>1</v>
      </c>
      <c r="Z68" s="19">
        <f>VLOOKUP(W68,'DATABASE F&amp;B'!$C$3:$F$216,4,0)</f>
        <v>125000</v>
      </c>
      <c r="AA68" s="19">
        <f t="shared" si="133"/>
        <v>125000</v>
      </c>
      <c r="AB68" s="16"/>
      <c r="AC68" s="17">
        <f>VLOOKUP(AB68,'DATABASE F&amp;B'!$C$3:$F$216,2,0)</f>
        <v>0</v>
      </c>
      <c r="AD68" s="18">
        <v>1</v>
      </c>
      <c r="AE68" s="19">
        <f>VLOOKUP(AB68,'DATABASE F&amp;B'!$C$3:$F$216,4,0)</f>
        <v>0</v>
      </c>
      <c r="AF68" s="19">
        <f t="shared" si="134"/>
        <v>0</v>
      </c>
      <c r="AG68" s="16"/>
      <c r="AH68" s="17">
        <f>VLOOKUP(AG68,'DATABASE F&amp;B'!$C$3:$F$216,2,0)</f>
        <v>0</v>
      </c>
      <c r="AI68" s="18">
        <v>1</v>
      </c>
      <c r="AJ68" s="19">
        <f>VLOOKUP(AG68,'DATABASE F&amp;B'!$C$3:$F$216,4,0)</f>
        <v>0</v>
      </c>
      <c r="AK68" s="19">
        <f t="shared" si="135"/>
        <v>0</v>
      </c>
      <c r="AL68" s="16"/>
      <c r="AM68" s="17">
        <f>VLOOKUP(AL68,'DATABASE F&amp;B'!$C$3:$F$216,2,0)</f>
        <v>0</v>
      </c>
      <c r="AN68" s="18">
        <v>1</v>
      </c>
      <c r="AO68" s="19">
        <f>VLOOKUP(AL68,'DATABASE F&amp;B'!$C$3:$F$216,4,0)</f>
        <v>0</v>
      </c>
      <c r="AP68" s="19">
        <f t="shared" si="136"/>
        <v>0</v>
      </c>
      <c r="AQ68" s="16"/>
      <c r="AR68" s="17">
        <f>VLOOKUP(AQ68,'DATABASE F&amp;B'!$C$3:$F$216,2,0)</f>
        <v>0</v>
      </c>
      <c r="AS68" s="18">
        <v>1</v>
      </c>
      <c r="AT68" s="19">
        <f>VLOOKUP(AQ68,'DATABASE F&amp;B'!$C$3:$F$216,4,0)</f>
        <v>0</v>
      </c>
      <c r="AU68" s="19">
        <f t="shared" si="137"/>
        <v>0</v>
      </c>
      <c r="AV68" s="16"/>
      <c r="AW68" s="17">
        <f>VLOOKUP(AV68,'DATABASE F&amp;B'!$C$3:$F$216,2,0)</f>
        <v>0</v>
      </c>
      <c r="AX68" s="18"/>
      <c r="AY68" s="19">
        <f>VLOOKUP(AV68,'DATABASE F&amp;B'!$C$3:$F$216,4,0)</f>
        <v>0</v>
      </c>
      <c r="AZ68" s="19">
        <f t="shared" si="138"/>
        <v>0</v>
      </c>
      <c r="BA68" s="16"/>
      <c r="BB68" s="17">
        <f>VLOOKUP(BA68,'DATABASE F&amp;B'!$C$3:$F$216,2,0)</f>
        <v>0</v>
      </c>
      <c r="BC68" s="18"/>
      <c r="BD68" s="19">
        <f>VLOOKUP(BA68,'DATABASE F&amp;B'!$C$3:$F$216,4,0)</f>
        <v>0</v>
      </c>
      <c r="BE68" s="19">
        <f t="shared" si="139"/>
        <v>0</v>
      </c>
      <c r="BF68" s="16"/>
      <c r="BG68" s="17">
        <f>VLOOKUP(BF68,'DATABASE F&amp;B'!$C$3:$F$216,2,0)</f>
        <v>0</v>
      </c>
      <c r="BH68" s="18"/>
      <c r="BI68" s="19">
        <f>VLOOKUP(BF68,'DATABASE F&amp;B'!$C$3:$F$216,4,0)</f>
        <v>0</v>
      </c>
      <c r="BJ68" s="19">
        <f t="shared" si="140"/>
        <v>0</v>
      </c>
      <c r="BK68" s="16"/>
      <c r="BL68" s="17">
        <f>VLOOKUP(BK68,'DATABASE F&amp;B'!$C$3:$F$210,2,0)</f>
        <v>0</v>
      </c>
      <c r="BM68" s="18"/>
      <c r="BN68" s="19">
        <f>VLOOKUP(BK68,'DATABASE F&amp;B'!$C$3:$F$210,4,0)</f>
        <v>0</v>
      </c>
      <c r="BO68" s="19">
        <f t="shared" si="141"/>
        <v>0</v>
      </c>
      <c r="BP68" s="16"/>
      <c r="BQ68" s="17">
        <f>VLOOKUP(BP68,'DATABASE F&amp;B'!$C$3:$F$210,2,0)</f>
        <v>0</v>
      </c>
      <c r="BR68" s="18"/>
      <c r="BS68" s="19">
        <f>VLOOKUP(BP68,'DATABASE F&amp;B'!$C$3:$F$210,4,0)</f>
        <v>0</v>
      </c>
      <c r="BT68" s="19">
        <f t="shared" si="142"/>
        <v>0</v>
      </c>
      <c r="BU68" s="16"/>
      <c r="BV68" s="17">
        <f>VLOOKUP(BU68,'DATABASE F&amp;B'!$C$3:$F$210,2,0)</f>
        <v>0</v>
      </c>
      <c r="BW68" s="18"/>
      <c r="BX68" s="19">
        <f>VLOOKUP(BU68,'DATABASE F&amp;B'!$C$3:$F$210,4,0)</f>
        <v>0</v>
      </c>
      <c r="BY68" s="19">
        <f t="shared" si="143"/>
        <v>0</v>
      </c>
      <c r="BZ68" s="16"/>
      <c r="CA68" s="17">
        <f>VLOOKUP(BZ68,'DATABASE F&amp;B'!$C$3:$F$210,2,0)</f>
        <v>0</v>
      </c>
      <c r="CB68" s="18"/>
      <c r="CC68" s="19">
        <f>VLOOKUP(BZ68,'DATABASE F&amp;B'!$C$3:$F$210,4,0)</f>
        <v>0</v>
      </c>
      <c r="CD68" s="19">
        <f t="shared" si="144"/>
        <v>0</v>
      </c>
    </row>
    <row r="69" spans="1:82" ht="13.5" x14ac:dyDescent="0.25">
      <c r="A69" s="32" t="str">
        <f t="shared" si="125"/>
        <v>05-'12-2026</v>
      </c>
      <c r="B69" s="22">
        <f t="shared" si="43"/>
        <v>65</v>
      </c>
      <c r="C69" s="22">
        <f t="shared" si="44"/>
        <v>65</v>
      </c>
      <c r="D69" s="34">
        <v>46154</v>
      </c>
      <c r="E69" s="35" t="s">
        <v>68</v>
      </c>
      <c r="F69" s="35" t="s">
        <v>202</v>
      </c>
      <c r="G69" s="52" t="s">
        <v>81</v>
      </c>
      <c r="H69" s="36" t="str">
        <f t="shared" si="23"/>
        <v>RJ-'120526-65</v>
      </c>
      <c r="I69" s="36" t="str">
        <f t="shared" si="126"/>
        <v>'12-05-2026</v>
      </c>
      <c r="J69" s="37" t="str">
        <f>VLOOKUP(D69,Laporan!$C$4:$D$34,2,0)</f>
        <v>Selasa</v>
      </c>
      <c r="K69" s="48"/>
      <c r="L69" s="13" t="s">
        <v>33</v>
      </c>
      <c r="M69" s="19">
        <f>SUMIF('DATABASE Room'!$B$3:$B$7,L69,'DATABASE Room'!$D$3:$D$7)</f>
        <v>0</v>
      </c>
      <c r="N69" s="13">
        <v>1</v>
      </c>
      <c r="O69" s="21">
        <f t="shared" si="127"/>
        <v>0</v>
      </c>
      <c r="P69" s="38"/>
      <c r="Q69" s="19">
        <f t="shared" si="128"/>
        <v>0</v>
      </c>
      <c r="R69" s="21">
        <f t="shared" si="129"/>
        <v>0</v>
      </c>
      <c r="S69" s="19">
        <f t="shared" si="130"/>
        <v>5</v>
      </c>
      <c r="T69" s="19">
        <f t="shared" si="131"/>
        <v>110000</v>
      </c>
      <c r="U69" s="21">
        <f t="shared" si="132"/>
        <v>110000</v>
      </c>
      <c r="V69" s="39"/>
      <c r="W69" s="16">
        <v>89</v>
      </c>
      <c r="X69" s="17" t="str">
        <f>VLOOKUP(W69,'DATABASE F&amp;B'!$C$3:$F$216,2,0)</f>
        <v>ANGGUR MERAH GOLD</v>
      </c>
      <c r="Y69" s="18">
        <v>1</v>
      </c>
      <c r="Z69" s="19">
        <f>VLOOKUP(W69,'DATABASE F&amp;B'!$C$3:$F$216,4,0)</f>
        <v>110000</v>
      </c>
      <c r="AA69" s="19">
        <f t="shared" si="133"/>
        <v>110000</v>
      </c>
      <c r="AB69" s="16"/>
      <c r="AC69" s="17">
        <f>VLOOKUP(AB69,'DATABASE F&amp;B'!$C$3:$F$216,2,0)</f>
        <v>0</v>
      </c>
      <c r="AD69" s="18">
        <v>1</v>
      </c>
      <c r="AE69" s="19">
        <f>VLOOKUP(AB69,'DATABASE F&amp;B'!$C$3:$F$216,4,0)</f>
        <v>0</v>
      </c>
      <c r="AF69" s="19">
        <f t="shared" si="134"/>
        <v>0</v>
      </c>
      <c r="AG69" s="16"/>
      <c r="AH69" s="17">
        <f>VLOOKUP(AG69,'DATABASE F&amp;B'!$C$3:$F$216,2,0)</f>
        <v>0</v>
      </c>
      <c r="AI69" s="18">
        <v>1</v>
      </c>
      <c r="AJ69" s="19">
        <f>VLOOKUP(AG69,'DATABASE F&amp;B'!$C$3:$F$216,4,0)</f>
        <v>0</v>
      </c>
      <c r="AK69" s="19">
        <f t="shared" si="135"/>
        <v>0</v>
      </c>
      <c r="AL69" s="16"/>
      <c r="AM69" s="17">
        <f>VLOOKUP(AL69,'DATABASE F&amp;B'!$C$3:$F$216,2,0)</f>
        <v>0</v>
      </c>
      <c r="AN69" s="18">
        <v>1</v>
      </c>
      <c r="AO69" s="19">
        <f>VLOOKUP(AL69,'DATABASE F&amp;B'!$C$3:$F$216,4,0)</f>
        <v>0</v>
      </c>
      <c r="AP69" s="19">
        <f t="shared" si="136"/>
        <v>0</v>
      </c>
      <c r="AQ69" s="16"/>
      <c r="AR69" s="17">
        <f>VLOOKUP(AQ69,'DATABASE F&amp;B'!$C$3:$F$216,2,0)</f>
        <v>0</v>
      </c>
      <c r="AS69" s="18">
        <v>1</v>
      </c>
      <c r="AT69" s="19">
        <f>VLOOKUP(AQ69,'DATABASE F&amp;B'!$C$3:$F$216,4,0)</f>
        <v>0</v>
      </c>
      <c r="AU69" s="19">
        <f t="shared" si="137"/>
        <v>0</v>
      </c>
      <c r="AV69" s="16"/>
      <c r="AW69" s="17">
        <f>VLOOKUP(AV69,'DATABASE F&amp;B'!$C$3:$F$216,2,0)</f>
        <v>0</v>
      </c>
      <c r="AX69" s="18"/>
      <c r="AY69" s="19">
        <f>VLOOKUP(AV69,'DATABASE F&amp;B'!$C$3:$F$216,4,0)</f>
        <v>0</v>
      </c>
      <c r="AZ69" s="19">
        <f t="shared" si="138"/>
        <v>0</v>
      </c>
      <c r="BA69" s="16"/>
      <c r="BB69" s="17">
        <f>VLOOKUP(BA69,'DATABASE F&amp;B'!$C$3:$F$216,2,0)</f>
        <v>0</v>
      </c>
      <c r="BC69" s="18"/>
      <c r="BD69" s="19">
        <f>VLOOKUP(BA69,'DATABASE F&amp;B'!$C$3:$F$216,4,0)</f>
        <v>0</v>
      </c>
      <c r="BE69" s="19">
        <f t="shared" si="139"/>
        <v>0</v>
      </c>
      <c r="BF69" s="16"/>
      <c r="BG69" s="17">
        <f>VLOOKUP(BF69,'DATABASE F&amp;B'!$C$3:$F$216,2,0)</f>
        <v>0</v>
      </c>
      <c r="BH69" s="18"/>
      <c r="BI69" s="19">
        <f>VLOOKUP(BF69,'DATABASE F&amp;B'!$C$3:$F$216,4,0)</f>
        <v>0</v>
      </c>
      <c r="BJ69" s="19">
        <f t="shared" si="140"/>
        <v>0</v>
      </c>
      <c r="BK69" s="16"/>
      <c r="BL69" s="17">
        <f>VLOOKUP(BK69,'DATABASE F&amp;B'!$C$3:$F$210,2,0)</f>
        <v>0</v>
      </c>
      <c r="BM69" s="18"/>
      <c r="BN69" s="19">
        <f>VLOOKUP(BK69,'DATABASE F&amp;B'!$C$3:$F$210,4,0)</f>
        <v>0</v>
      </c>
      <c r="BO69" s="19">
        <f t="shared" si="141"/>
        <v>0</v>
      </c>
      <c r="BP69" s="16"/>
      <c r="BQ69" s="17">
        <f>VLOOKUP(BP69,'DATABASE F&amp;B'!$C$3:$F$210,2,0)</f>
        <v>0</v>
      </c>
      <c r="BR69" s="18"/>
      <c r="BS69" s="19">
        <f>VLOOKUP(BP69,'DATABASE F&amp;B'!$C$3:$F$210,4,0)</f>
        <v>0</v>
      </c>
      <c r="BT69" s="19">
        <f t="shared" si="142"/>
        <v>0</v>
      </c>
      <c r="BU69" s="16"/>
      <c r="BV69" s="17">
        <f>VLOOKUP(BU69,'DATABASE F&amp;B'!$C$3:$F$210,2,0)</f>
        <v>0</v>
      </c>
      <c r="BW69" s="18"/>
      <c r="BX69" s="19">
        <f>VLOOKUP(BU69,'DATABASE F&amp;B'!$C$3:$F$210,4,0)</f>
        <v>0</v>
      </c>
      <c r="BY69" s="19">
        <f t="shared" si="143"/>
        <v>0</v>
      </c>
      <c r="BZ69" s="16"/>
      <c r="CA69" s="17">
        <f>VLOOKUP(BZ69,'DATABASE F&amp;B'!$C$3:$F$210,2,0)</f>
        <v>0</v>
      </c>
      <c r="CB69" s="18"/>
      <c r="CC69" s="19">
        <f>VLOOKUP(BZ69,'DATABASE F&amp;B'!$C$3:$F$210,4,0)</f>
        <v>0</v>
      </c>
      <c r="CD69" s="19">
        <f t="shared" si="144"/>
        <v>0</v>
      </c>
    </row>
    <row r="70" spans="1:82" ht="13.5" x14ac:dyDescent="0.25">
      <c r="A70" s="32" t="str">
        <f t="shared" si="125"/>
        <v>05-'12-2026</v>
      </c>
      <c r="B70" s="22">
        <f t="shared" si="43"/>
        <v>66</v>
      </c>
      <c r="C70" s="22">
        <f t="shared" si="44"/>
        <v>66</v>
      </c>
      <c r="D70" s="34">
        <v>46154</v>
      </c>
      <c r="E70" s="35" t="s">
        <v>68</v>
      </c>
      <c r="F70" s="35" t="s">
        <v>202</v>
      </c>
      <c r="G70" s="52" t="s">
        <v>81</v>
      </c>
      <c r="H70" s="36" t="str">
        <f t="shared" ref="H70:H133" si="145">CONCATENATE("RJ","-",E70,F70,G70,"-",B70)</f>
        <v>RJ-'120526-66</v>
      </c>
      <c r="I70" s="36" t="str">
        <f t="shared" si="126"/>
        <v>'12-05-2026</v>
      </c>
      <c r="J70" s="37" t="str">
        <f>VLOOKUP(D70,Laporan!$C$4:$D$34,2,0)</f>
        <v>Selasa</v>
      </c>
      <c r="K70" s="48"/>
      <c r="L70" s="13" t="s">
        <v>33</v>
      </c>
      <c r="M70" s="19">
        <f>SUMIF('DATABASE Room'!$B$3:$B$7,L70,'DATABASE Room'!$D$3:$D$7)</f>
        <v>0</v>
      </c>
      <c r="N70" s="13">
        <v>1</v>
      </c>
      <c r="O70" s="21">
        <f t="shared" si="127"/>
        <v>0</v>
      </c>
      <c r="P70" s="38"/>
      <c r="Q70" s="19">
        <f t="shared" si="128"/>
        <v>0</v>
      </c>
      <c r="R70" s="21">
        <f t="shared" si="129"/>
        <v>0</v>
      </c>
      <c r="S70" s="19">
        <f t="shared" si="130"/>
        <v>5</v>
      </c>
      <c r="T70" s="19">
        <f t="shared" si="131"/>
        <v>125000</v>
      </c>
      <c r="U70" s="21">
        <f t="shared" si="132"/>
        <v>125000</v>
      </c>
      <c r="V70" s="39"/>
      <c r="W70" s="16">
        <v>90</v>
      </c>
      <c r="X70" s="17" t="str">
        <f>VLOOKUP(W70,'DATABASE F&amp;B'!$C$3:$F$216,2,0)</f>
        <v>ATLAS ANGGUR LYCHEE</v>
      </c>
      <c r="Y70" s="18">
        <v>1</v>
      </c>
      <c r="Z70" s="19">
        <f>VLOOKUP(W70,'DATABASE F&amp;B'!$C$3:$F$216,4,0)</f>
        <v>125000</v>
      </c>
      <c r="AA70" s="19">
        <f t="shared" si="133"/>
        <v>125000</v>
      </c>
      <c r="AB70" s="16"/>
      <c r="AC70" s="17">
        <f>VLOOKUP(AB70,'DATABASE F&amp;B'!$C$3:$F$216,2,0)</f>
        <v>0</v>
      </c>
      <c r="AD70" s="18">
        <v>1</v>
      </c>
      <c r="AE70" s="19">
        <f>VLOOKUP(AB70,'DATABASE F&amp;B'!$C$3:$F$216,4,0)</f>
        <v>0</v>
      </c>
      <c r="AF70" s="19">
        <f t="shared" si="134"/>
        <v>0</v>
      </c>
      <c r="AG70" s="16"/>
      <c r="AH70" s="17">
        <f>VLOOKUP(AG70,'DATABASE F&amp;B'!$C$3:$F$216,2,0)</f>
        <v>0</v>
      </c>
      <c r="AI70" s="18">
        <v>1</v>
      </c>
      <c r="AJ70" s="19">
        <f>VLOOKUP(AG70,'DATABASE F&amp;B'!$C$3:$F$216,4,0)</f>
        <v>0</v>
      </c>
      <c r="AK70" s="19">
        <f t="shared" si="135"/>
        <v>0</v>
      </c>
      <c r="AL70" s="16"/>
      <c r="AM70" s="17">
        <f>VLOOKUP(AL70,'DATABASE F&amp;B'!$C$3:$F$216,2,0)</f>
        <v>0</v>
      </c>
      <c r="AN70" s="18">
        <v>1</v>
      </c>
      <c r="AO70" s="19">
        <f>VLOOKUP(AL70,'DATABASE F&amp;B'!$C$3:$F$216,4,0)</f>
        <v>0</v>
      </c>
      <c r="AP70" s="19">
        <f t="shared" si="136"/>
        <v>0</v>
      </c>
      <c r="AQ70" s="16"/>
      <c r="AR70" s="17">
        <f>VLOOKUP(AQ70,'DATABASE F&amp;B'!$C$3:$F$216,2,0)</f>
        <v>0</v>
      </c>
      <c r="AS70" s="18">
        <v>1</v>
      </c>
      <c r="AT70" s="19">
        <f>VLOOKUP(AQ70,'DATABASE F&amp;B'!$C$3:$F$216,4,0)</f>
        <v>0</v>
      </c>
      <c r="AU70" s="19">
        <f t="shared" si="137"/>
        <v>0</v>
      </c>
      <c r="AV70" s="16"/>
      <c r="AW70" s="17">
        <f>VLOOKUP(AV70,'DATABASE F&amp;B'!$C$3:$F$216,2,0)</f>
        <v>0</v>
      </c>
      <c r="AX70" s="18"/>
      <c r="AY70" s="19">
        <f>VLOOKUP(AV70,'DATABASE F&amp;B'!$C$3:$F$216,4,0)</f>
        <v>0</v>
      </c>
      <c r="AZ70" s="19">
        <f t="shared" si="138"/>
        <v>0</v>
      </c>
      <c r="BA70" s="16"/>
      <c r="BB70" s="17">
        <f>VLOOKUP(BA70,'DATABASE F&amp;B'!$C$3:$F$216,2,0)</f>
        <v>0</v>
      </c>
      <c r="BC70" s="18"/>
      <c r="BD70" s="19">
        <f>VLOOKUP(BA70,'DATABASE F&amp;B'!$C$3:$F$216,4,0)</f>
        <v>0</v>
      </c>
      <c r="BE70" s="19">
        <f t="shared" si="139"/>
        <v>0</v>
      </c>
      <c r="BF70" s="16"/>
      <c r="BG70" s="17">
        <f>VLOOKUP(BF70,'DATABASE F&amp;B'!$C$3:$F$216,2,0)</f>
        <v>0</v>
      </c>
      <c r="BH70" s="18"/>
      <c r="BI70" s="19">
        <f>VLOOKUP(BF70,'DATABASE F&amp;B'!$C$3:$F$216,4,0)</f>
        <v>0</v>
      </c>
      <c r="BJ70" s="19">
        <f t="shared" si="140"/>
        <v>0</v>
      </c>
      <c r="BK70" s="16"/>
      <c r="BL70" s="17">
        <f>VLOOKUP(BK70,'DATABASE F&amp;B'!$C$3:$F$210,2,0)</f>
        <v>0</v>
      </c>
      <c r="BM70" s="18"/>
      <c r="BN70" s="19">
        <f>VLOOKUP(BK70,'DATABASE F&amp;B'!$C$3:$F$210,4,0)</f>
        <v>0</v>
      </c>
      <c r="BO70" s="19">
        <f t="shared" si="141"/>
        <v>0</v>
      </c>
      <c r="BP70" s="16"/>
      <c r="BQ70" s="17">
        <f>VLOOKUP(BP70,'DATABASE F&amp;B'!$C$3:$F$210,2,0)</f>
        <v>0</v>
      </c>
      <c r="BR70" s="18"/>
      <c r="BS70" s="19">
        <f>VLOOKUP(BP70,'DATABASE F&amp;B'!$C$3:$F$210,4,0)</f>
        <v>0</v>
      </c>
      <c r="BT70" s="19">
        <f t="shared" si="142"/>
        <v>0</v>
      </c>
      <c r="BU70" s="16"/>
      <c r="BV70" s="17">
        <f>VLOOKUP(BU70,'DATABASE F&amp;B'!$C$3:$F$210,2,0)</f>
        <v>0</v>
      </c>
      <c r="BW70" s="18"/>
      <c r="BX70" s="19">
        <f>VLOOKUP(BU70,'DATABASE F&amp;B'!$C$3:$F$210,4,0)</f>
        <v>0</v>
      </c>
      <c r="BY70" s="19">
        <f t="shared" si="143"/>
        <v>0</v>
      </c>
      <c r="BZ70" s="16"/>
      <c r="CA70" s="17">
        <f>VLOOKUP(BZ70,'DATABASE F&amp;B'!$C$3:$F$210,2,0)</f>
        <v>0</v>
      </c>
      <c r="CB70" s="18"/>
      <c r="CC70" s="19">
        <f>VLOOKUP(BZ70,'DATABASE F&amp;B'!$C$3:$F$210,4,0)</f>
        <v>0</v>
      </c>
      <c r="CD70" s="19">
        <f t="shared" si="144"/>
        <v>0</v>
      </c>
    </row>
    <row r="71" spans="1:82" ht="13.5" x14ac:dyDescent="0.25">
      <c r="A71" s="32" t="str">
        <f t="shared" si="125"/>
        <v>05-'12-2026</v>
      </c>
      <c r="B71" s="22">
        <f t="shared" ref="B71:C86" si="146">B70+1</f>
        <v>67</v>
      </c>
      <c r="C71" s="22">
        <f t="shared" si="146"/>
        <v>67</v>
      </c>
      <c r="D71" s="34">
        <v>46154</v>
      </c>
      <c r="E71" s="35" t="s">
        <v>68</v>
      </c>
      <c r="F71" s="35" t="s">
        <v>202</v>
      </c>
      <c r="G71" s="52" t="s">
        <v>81</v>
      </c>
      <c r="H71" s="36" t="str">
        <f t="shared" si="145"/>
        <v>RJ-'120526-67</v>
      </c>
      <c r="I71" s="36" t="str">
        <f t="shared" si="126"/>
        <v>'12-05-2026</v>
      </c>
      <c r="J71" s="37" t="str">
        <f>VLOOKUP(D71,Laporan!$C$4:$D$34,2,0)</f>
        <v>Selasa</v>
      </c>
      <c r="K71" s="48"/>
      <c r="L71" s="13" t="s">
        <v>33</v>
      </c>
      <c r="M71" s="19">
        <f>SUMIF('DATABASE Room'!$B$3:$B$7,L71,'DATABASE Room'!$D$3:$D$7)</f>
        <v>0</v>
      </c>
      <c r="N71" s="13">
        <v>1</v>
      </c>
      <c r="O71" s="21">
        <f t="shared" si="127"/>
        <v>0</v>
      </c>
      <c r="P71" s="38"/>
      <c r="Q71" s="19">
        <f t="shared" si="128"/>
        <v>0</v>
      </c>
      <c r="R71" s="21">
        <f t="shared" si="129"/>
        <v>0</v>
      </c>
      <c r="S71" s="19">
        <f t="shared" si="130"/>
        <v>5</v>
      </c>
      <c r="T71" s="19">
        <f t="shared" si="131"/>
        <v>240000</v>
      </c>
      <c r="U71" s="21">
        <f t="shared" si="132"/>
        <v>240000</v>
      </c>
      <c r="V71" s="39"/>
      <c r="W71" s="16">
        <v>91</v>
      </c>
      <c r="X71" s="17" t="str">
        <f>VLOOKUP(W71,'DATABASE F&amp;B'!$C$3:$F$216,2,0)</f>
        <v>ATLAS ANGGUR PEACH</v>
      </c>
      <c r="Y71" s="18">
        <v>1</v>
      </c>
      <c r="Z71" s="19">
        <f>VLOOKUP(W71,'DATABASE F&amp;B'!$C$3:$F$216,4,0)</f>
        <v>160000</v>
      </c>
      <c r="AA71" s="19">
        <f t="shared" si="133"/>
        <v>160000</v>
      </c>
      <c r="AB71" s="16">
        <v>80</v>
      </c>
      <c r="AC71" s="17" t="str">
        <f>VLOOKUP(AB71,'DATABASE F&amp;B'!$C$3:$F$216,2,0)</f>
        <v>CORONA 330ML</v>
      </c>
      <c r="AD71" s="18">
        <v>1</v>
      </c>
      <c r="AE71" s="19">
        <f>VLOOKUP(AB71,'DATABASE F&amp;B'!$C$3:$F$216,4,0)</f>
        <v>80000</v>
      </c>
      <c r="AF71" s="19">
        <f t="shared" si="134"/>
        <v>80000</v>
      </c>
      <c r="AG71" s="16"/>
      <c r="AH71" s="17">
        <f>VLOOKUP(AG71,'DATABASE F&amp;B'!$C$3:$F$216,2,0)</f>
        <v>0</v>
      </c>
      <c r="AI71" s="18">
        <v>1</v>
      </c>
      <c r="AJ71" s="19">
        <f>VLOOKUP(AG71,'DATABASE F&amp;B'!$C$3:$F$216,4,0)</f>
        <v>0</v>
      </c>
      <c r="AK71" s="19">
        <f t="shared" si="135"/>
        <v>0</v>
      </c>
      <c r="AL71" s="16"/>
      <c r="AM71" s="17">
        <f>VLOOKUP(AL71,'DATABASE F&amp;B'!$C$3:$F$216,2,0)</f>
        <v>0</v>
      </c>
      <c r="AN71" s="18">
        <v>1</v>
      </c>
      <c r="AO71" s="19">
        <f>VLOOKUP(AL71,'DATABASE F&amp;B'!$C$3:$F$216,4,0)</f>
        <v>0</v>
      </c>
      <c r="AP71" s="19">
        <f t="shared" si="136"/>
        <v>0</v>
      </c>
      <c r="AQ71" s="16"/>
      <c r="AR71" s="17">
        <f>VLOOKUP(AQ71,'DATABASE F&amp;B'!$C$3:$F$216,2,0)</f>
        <v>0</v>
      </c>
      <c r="AS71" s="18">
        <v>1</v>
      </c>
      <c r="AT71" s="19">
        <f>VLOOKUP(AQ71,'DATABASE F&amp;B'!$C$3:$F$216,4,0)</f>
        <v>0</v>
      </c>
      <c r="AU71" s="19">
        <f t="shared" si="137"/>
        <v>0</v>
      </c>
      <c r="AV71" s="16"/>
      <c r="AW71" s="17">
        <f>VLOOKUP(AV71,'DATABASE F&amp;B'!$C$3:$F$216,2,0)</f>
        <v>0</v>
      </c>
      <c r="AX71" s="18"/>
      <c r="AY71" s="19">
        <f>VLOOKUP(AV71,'DATABASE F&amp;B'!$C$3:$F$216,4,0)</f>
        <v>0</v>
      </c>
      <c r="AZ71" s="19">
        <f t="shared" si="138"/>
        <v>0</v>
      </c>
      <c r="BA71" s="16"/>
      <c r="BB71" s="17">
        <f>VLOOKUP(BA71,'DATABASE F&amp;B'!$C$3:$F$216,2,0)</f>
        <v>0</v>
      </c>
      <c r="BC71" s="18"/>
      <c r="BD71" s="19">
        <f>VLOOKUP(BA71,'DATABASE F&amp;B'!$C$3:$F$216,4,0)</f>
        <v>0</v>
      </c>
      <c r="BE71" s="19">
        <f t="shared" si="139"/>
        <v>0</v>
      </c>
      <c r="BF71" s="16"/>
      <c r="BG71" s="17">
        <f>VLOOKUP(BF71,'DATABASE F&amp;B'!$C$3:$F$216,2,0)</f>
        <v>0</v>
      </c>
      <c r="BH71" s="18"/>
      <c r="BI71" s="19">
        <f>VLOOKUP(BF71,'DATABASE F&amp;B'!$C$3:$F$216,4,0)</f>
        <v>0</v>
      </c>
      <c r="BJ71" s="19">
        <f t="shared" si="140"/>
        <v>0</v>
      </c>
      <c r="BK71" s="16"/>
      <c r="BL71" s="17">
        <f>VLOOKUP(BK71,'DATABASE F&amp;B'!$C$3:$F$210,2,0)</f>
        <v>0</v>
      </c>
      <c r="BM71" s="18"/>
      <c r="BN71" s="19">
        <f>VLOOKUP(BK71,'DATABASE F&amp;B'!$C$3:$F$210,4,0)</f>
        <v>0</v>
      </c>
      <c r="BO71" s="19">
        <f t="shared" si="141"/>
        <v>0</v>
      </c>
      <c r="BP71" s="16"/>
      <c r="BQ71" s="17">
        <f>VLOOKUP(BP71,'DATABASE F&amp;B'!$C$3:$F$210,2,0)</f>
        <v>0</v>
      </c>
      <c r="BR71" s="18"/>
      <c r="BS71" s="19">
        <f>VLOOKUP(BP71,'DATABASE F&amp;B'!$C$3:$F$210,4,0)</f>
        <v>0</v>
      </c>
      <c r="BT71" s="19">
        <f t="shared" si="142"/>
        <v>0</v>
      </c>
      <c r="BU71" s="16"/>
      <c r="BV71" s="17">
        <f>VLOOKUP(BU71,'DATABASE F&amp;B'!$C$3:$F$210,2,0)</f>
        <v>0</v>
      </c>
      <c r="BW71" s="18"/>
      <c r="BX71" s="19">
        <f>VLOOKUP(BU71,'DATABASE F&amp;B'!$C$3:$F$210,4,0)</f>
        <v>0</v>
      </c>
      <c r="BY71" s="19">
        <f t="shared" si="143"/>
        <v>0</v>
      </c>
      <c r="BZ71" s="16"/>
      <c r="CA71" s="17">
        <f>VLOOKUP(BZ71,'DATABASE F&amp;B'!$C$3:$F$210,2,0)</f>
        <v>0</v>
      </c>
      <c r="CB71" s="18"/>
      <c r="CC71" s="19">
        <f>VLOOKUP(BZ71,'DATABASE F&amp;B'!$C$3:$F$210,4,0)</f>
        <v>0</v>
      </c>
      <c r="CD71" s="19">
        <f t="shared" si="144"/>
        <v>0</v>
      </c>
    </row>
    <row r="72" spans="1:82" ht="13.5" x14ac:dyDescent="0.25">
      <c r="A72" s="32" t="str">
        <f t="shared" si="125"/>
        <v>05-'12-2026</v>
      </c>
      <c r="B72" s="22">
        <f t="shared" si="146"/>
        <v>68</v>
      </c>
      <c r="C72" s="22">
        <f t="shared" si="146"/>
        <v>68</v>
      </c>
      <c r="D72" s="34">
        <v>46154</v>
      </c>
      <c r="E72" s="35" t="s">
        <v>68</v>
      </c>
      <c r="F72" s="35" t="s">
        <v>202</v>
      </c>
      <c r="G72" s="52" t="s">
        <v>81</v>
      </c>
      <c r="H72" s="36" t="str">
        <f t="shared" si="145"/>
        <v>RJ-'120526-68</v>
      </c>
      <c r="I72" s="36" t="str">
        <f t="shared" si="126"/>
        <v>'12-05-2026</v>
      </c>
      <c r="J72" s="37" t="str">
        <f>VLOOKUP(D72,Laporan!$C$4:$D$34,2,0)</f>
        <v>Selasa</v>
      </c>
      <c r="K72" s="48"/>
      <c r="L72" s="13" t="s">
        <v>33</v>
      </c>
      <c r="M72" s="19">
        <f>SUMIF('DATABASE Room'!$B$3:$B$7,L72,'DATABASE Room'!$D$3:$D$7)</f>
        <v>0</v>
      </c>
      <c r="N72" s="13">
        <v>1</v>
      </c>
      <c r="O72" s="21">
        <f t="shared" si="127"/>
        <v>0</v>
      </c>
      <c r="P72" s="38"/>
      <c r="Q72" s="19">
        <f t="shared" si="128"/>
        <v>0</v>
      </c>
      <c r="R72" s="21">
        <f t="shared" si="129"/>
        <v>0</v>
      </c>
      <c r="S72" s="19">
        <f t="shared" si="130"/>
        <v>5</v>
      </c>
      <c r="T72" s="19">
        <f t="shared" si="131"/>
        <v>175000</v>
      </c>
      <c r="U72" s="21">
        <f t="shared" si="132"/>
        <v>175000</v>
      </c>
      <c r="V72" s="39"/>
      <c r="W72" s="16">
        <v>92</v>
      </c>
      <c r="X72" s="17" t="str">
        <f>VLOOKUP(W72,'DATABASE F&amp;B'!$C$3:$F$216,2,0)</f>
        <v>AP ANGGUR HIJAU</v>
      </c>
      <c r="Y72" s="18">
        <v>1</v>
      </c>
      <c r="Z72" s="19">
        <f>VLOOKUP(W72,'DATABASE F&amp;B'!$C$3:$F$216,4,0)</f>
        <v>175000</v>
      </c>
      <c r="AA72" s="19">
        <f t="shared" si="133"/>
        <v>175000</v>
      </c>
      <c r="AB72" s="16"/>
      <c r="AC72" s="17">
        <f>VLOOKUP(AB72,'DATABASE F&amp;B'!$C$3:$F$216,2,0)</f>
        <v>0</v>
      </c>
      <c r="AD72" s="18">
        <v>1</v>
      </c>
      <c r="AE72" s="19">
        <f>VLOOKUP(AB72,'DATABASE F&amp;B'!$C$3:$F$216,4,0)</f>
        <v>0</v>
      </c>
      <c r="AF72" s="19">
        <f t="shared" si="134"/>
        <v>0</v>
      </c>
      <c r="AG72" s="16"/>
      <c r="AH72" s="17">
        <f>VLOOKUP(AG72,'DATABASE F&amp;B'!$C$3:$F$216,2,0)</f>
        <v>0</v>
      </c>
      <c r="AI72" s="18">
        <v>1</v>
      </c>
      <c r="AJ72" s="19">
        <f>VLOOKUP(AG72,'DATABASE F&amp;B'!$C$3:$F$216,4,0)</f>
        <v>0</v>
      </c>
      <c r="AK72" s="19">
        <f t="shared" si="135"/>
        <v>0</v>
      </c>
      <c r="AL72" s="16"/>
      <c r="AM72" s="17">
        <f>VLOOKUP(AL72,'DATABASE F&amp;B'!$C$3:$F$216,2,0)</f>
        <v>0</v>
      </c>
      <c r="AN72" s="18">
        <v>1</v>
      </c>
      <c r="AO72" s="19">
        <f>VLOOKUP(AL72,'DATABASE F&amp;B'!$C$3:$F$216,4,0)</f>
        <v>0</v>
      </c>
      <c r="AP72" s="19">
        <f t="shared" si="136"/>
        <v>0</v>
      </c>
      <c r="AQ72" s="16"/>
      <c r="AR72" s="17">
        <f>VLOOKUP(AQ72,'DATABASE F&amp;B'!$C$3:$F$216,2,0)</f>
        <v>0</v>
      </c>
      <c r="AS72" s="18">
        <v>1</v>
      </c>
      <c r="AT72" s="19">
        <f>VLOOKUP(AQ72,'DATABASE F&amp;B'!$C$3:$F$216,4,0)</f>
        <v>0</v>
      </c>
      <c r="AU72" s="19">
        <f t="shared" si="137"/>
        <v>0</v>
      </c>
      <c r="AV72" s="16"/>
      <c r="AW72" s="17">
        <f>VLOOKUP(AV72,'DATABASE F&amp;B'!$C$3:$F$216,2,0)</f>
        <v>0</v>
      </c>
      <c r="AX72" s="18"/>
      <c r="AY72" s="19">
        <f>VLOOKUP(AV72,'DATABASE F&amp;B'!$C$3:$F$216,4,0)</f>
        <v>0</v>
      </c>
      <c r="AZ72" s="19">
        <f t="shared" si="138"/>
        <v>0</v>
      </c>
      <c r="BA72" s="16"/>
      <c r="BB72" s="17">
        <f>VLOOKUP(BA72,'DATABASE F&amp;B'!$C$3:$F$216,2,0)</f>
        <v>0</v>
      </c>
      <c r="BC72" s="18"/>
      <c r="BD72" s="19">
        <f>VLOOKUP(BA72,'DATABASE F&amp;B'!$C$3:$F$216,4,0)</f>
        <v>0</v>
      </c>
      <c r="BE72" s="19">
        <f t="shared" si="139"/>
        <v>0</v>
      </c>
      <c r="BF72" s="16"/>
      <c r="BG72" s="17">
        <f>VLOOKUP(BF72,'DATABASE F&amp;B'!$C$3:$F$216,2,0)</f>
        <v>0</v>
      </c>
      <c r="BH72" s="18"/>
      <c r="BI72" s="19">
        <f>VLOOKUP(BF72,'DATABASE F&amp;B'!$C$3:$F$216,4,0)</f>
        <v>0</v>
      </c>
      <c r="BJ72" s="19">
        <f t="shared" si="140"/>
        <v>0</v>
      </c>
      <c r="BK72" s="16"/>
      <c r="BL72" s="17">
        <f>VLOOKUP(BK72,'DATABASE F&amp;B'!$C$3:$F$210,2,0)</f>
        <v>0</v>
      </c>
      <c r="BM72" s="18"/>
      <c r="BN72" s="19">
        <f>VLOOKUP(BK72,'DATABASE F&amp;B'!$C$3:$F$210,4,0)</f>
        <v>0</v>
      </c>
      <c r="BO72" s="19">
        <f t="shared" si="141"/>
        <v>0</v>
      </c>
      <c r="BP72" s="16"/>
      <c r="BQ72" s="17">
        <f>VLOOKUP(BP72,'DATABASE F&amp;B'!$C$3:$F$210,2,0)</f>
        <v>0</v>
      </c>
      <c r="BR72" s="18"/>
      <c r="BS72" s="19">
        <f>VLOOKUP(BP72,'DATABASE F&amp;B'!$C$3:$F$210,4,0)</f>
        <v>0</v>
      </c>
      <c r="BT72" s="19">
        <f t="shared" si="142"/>
        <v>0</v>
      </c>
      <c r="BU72" s="16"/>
      <c r="BV72" s="17">
        <f>VLOOKUP(BU72,'DATABASE F&amp;B'!$C$3:$F$210,2,0)</f>
        <v>0</v>
      </c>
      <c r="BW72" s="18"/>
      <c r="BX72" s="19">
        <f>VLOOKUP(BU72,'DATABASE F&amp;B'!$C$3:$F$210,4,0)</f>
        <v>0</v>
      </c>
      <c r="BY72" s="19">
        <f t="shared" si="143"/>
        <v>0</v>
      </c>
      <c r="BZ72" s="16"/>
      <c r="CA72" s="17">
        <f>VLOOKUP(BZ72,'DATABASE F&amp;B'!$C$3:$F$210,2,0)</f>
        <v>0</v>
      </c>
      <c r="CB72" s="18"/>
      <c r="CC72" s="19">
        <f>VLOOKUP(BZ72,'DATABASE F&amp;B'!$C$3:$F$210,4,0)</f>
        <v>0</v>
      </c>
      <c r="CD72" s="19">
        <f t="shared" si="144"/>
        <v>0</v>
      </c>
    </row>
    <row r="73" spans="1:82" ht="13.5" x14ac:dyDescent="0.25">
      <c r="A73" s="32" t="str">
        <f t="shared" si="125"/>
        <v>05-'12-2026</v>
      </c>
      <c r="B73" s="22">
        <f t="shared" si="146"/>
        <v>69</v>
      </c>
      <c r="C73" s="22">
        <f t="shared" si="146"/>
        <v>69</v>
      </c>
      <c r="D73" s="34">
        <v>46154</v>
      </c>
      <c r="E73" s="35" t="s">
        <v>68</v>
      </c>
      <c r="F73" s="35" t="s">
        <v>202</v>
      </c>
      <c r="G73" s="52" t="s">
        <v>81</v>
      </c>
      <c r="H73" s="36" t="str">
        <f t="shared" si="145"/>
        <v>RJ-'120526-69</v>
      </c>
      <c r="I73" s="36" t="str">
        <f t="shared" si="126"/>
        <v>'12-05-2026</v>
      </c>
      <c r="J73" s="37" t="str">
        <f>VLOOKUP(D73,Laporan!$C$4:$D$34,2,0)</f>
        <v>Selasa</v>
      </c>
      <c r="K73" s="48"/>
      <c r="L73" s="13" t="s">
        <v>33</v>
      </c>
      <c r="M73" s="19">
        <f>SUMIF('DATABASE Room'!$B$3:$B$7,L73,'DATABASE Room'!$D$3:$D$7)</f>
        <v>0</v>
      </c>
      <c r="N73" s="13">
        <v>1</v>
      </c>
      <c r="O73" s="21">
        <f t="shared" si="127"/>
        <v>0</v>
      </c>
      <c r="P73" s="38"/>
      <c r="Q73" s="19">
        <f t="shared" si="128"/>
        <v>0</v>
      </c>
      <c r="R73" s="21">
        <f t="shared" si="129"/>
        <v>0</v>
      </c>
      <c r="S73" s="19">
        <f t="shared" si="130"/>
        <v>5</v>
      </c>
      <c r="T73" s="19">
        <f t="shared" si="131"/>
        <v>75000</v>
      </c>
      <c r="U73" s="21">
        <f t="shared" si="132"/>
        <v>75000</v>
      </c>
      <c r="V73" s="39"/>
      <c r="W73" s="16">
        <v>95</v>
      </c>
      <c r="X73" s="17" t="str">
        <f>VLOOKUP(W73,'DATABASE F&amp;B'!$C$3:$F$216,2,0)</f>
        <v>MARLBORO RED</v>
      </c>
      <c r="Y73" s="18">
        <v>1</v>
      </c>
      <c r="Z73" s="19">
        <f>VLOOKUP(W73,'DATABASE F&amp;B'!$C$3:$F$216,4,0)</f>
        <v>75000</v>
      </c>
      <c r="AA73" s="19">
        <f t="shared" si="133"/>
        <v>75000</v>
      </c>
      <c r="AB73" s="16"/>
      <c r="AC73" s="17">
        <f>VLOOKUP(AB73,'DATABASE F&amp;B'!$C$3:$F$216,2,0)</f>
        <v>0</v>
      </c>
      <c r="AD73" s="18">
        <v>1</v>
      </c>
      <c r="AE73" s="19">
        <f>VLOOKUP(AB73,'DATABASE F&amp;B'!$C$3:$F$216,4,0)</f>
        <v>0</v>
      </c>
      <c r="AF73" s="19">
        <f t="shared" si="134"/>
        <v>0</v>
      </c>
      <c r="AG73" s="16"/>
      <c r="AH73" s="17">
        <f>VLOOKUP(AG73,'DATABASE F&amp;B'!$C$3:$F$216,2,0)</f>
        <v>0</v>
      </c>
      <c r="AI73" s="18">
        <v>1</v>
      </c>
      <c r="AJ73" s="19">
        <f>VLOOKUP(AG73,'DATABASE F&amp;B'!$C$3:$F$216,4,0)</f>
        <v>0</v>
      </c>
      <c r="AK73" s="19">
        <f t="shared" si="135"/>
        <v>0</v>
      </c>
      <c r="AL73" s="16"/>
      <c r="AM73" s="17">
        <f>VLOOKUP(AL73,'DATABASE F&amp;B'!$C$3:$F$216,2,0)</f>
        <v>0</v>
      </c>
      <c r="AN73" s="18">
        <v>1</v>
      </c>
      <c r="AO73" s="19">
        <f>VLOOKUP(AL73,'DATABASE F&amp;B'!$C$3:$F$216,4,0)</f>
        <v>0</v>
      </c>
      <c r="AP73" s="19">
        <f t="shared" si="136"/>
        <v>0</v>
      </c>
      <c r="AQ73" s="16"/>
      <c r="AR73" s="17">
        <f>VLOOKUP(AQ73,'DATABASE F&amp;B'!$C$3:$F$216,2,0)</f>
        <v>0</v>
      </c>
      <c r="AS73" s="18">
        <v>1</v>
      </c>
      <c r="AT73" s="19">
        <f>VLOOKUP(AQ73,'DATABASE F&amp;B'!$C$3:$F$216,4,0)</f>
        <v>0</v>
      </c>
      <c r="AU73" s="19">
        <f t="shared" si="137"/>
        <v>0</v>
      </c>
      <c r="AV73" s="16"/>
      <c r="AW73" s="17">
        <f>VLOOKUP(AV73,'DATABASE F&amp;B'!$C$3:$F$216,2,0)</f>
        <v>0</v>
      </c>
      <c r="AX73" s="18"/>
      <c r="AY73" s="19">
        <f>VLOOKUP(AV73,'DATABASE F&amp;B'!$C$3:$F$216,4,0)</f>
        <v>0</v>
      </c>
      <c r="AZ73" s="19">
        <f t="shared" si="138"/>
        <v>0</v>
      </c>
      <c r="BA73" s="16"/>
      <c r="BB73" s="17">
        <f>VLOOKUP(BA73,'DATABASE F&amp;B'!$C$3:$F$216,2,0)</f>
        <v>0</v>
      </c>
      <c r="BC73" s="18"/>
      <c r="BD73" s="19">
        <f>VLOOKUP(BA73,'DATABASE F&amp;B'!$C$3:$F$216,4,0)</f>
        <v>0</v>
      </c>
      <c r="BE73" s="19">
        <f t="shared" si="139"/>
        <v>0</v>
      </c>
      <c r="BF73" s="16"/>
      <c r="BG73" s="17">
        <f>VLOOKUP(BF73,'DATABASE F&amp;B'!$C$3:$F$216,2,0)</f>
        <v>0</v>
      </c>
      <c r="BH73" s="18"/>
      <c r="BI73" s="19">
        <f>VLOOKUP(BF73,'DATABASE F&amp;B'!$C$3:$F$216,4,0)</f>
        <v>0</v>
      </c>
      <c r="BJ73" s="19">
        <f t="shared" si="140"/>
        <v>0</v>
      </c>
      <c r="BK73" s="16"/>
      <c r="BL73" s="17">
        <f>VLOOKUP(BK73,'DATABASE F&amp;B'!$C$3:$F$210,2,0)</f>
        <v>0</v>
      </c>
      <c r="BM73" s="18"/>
      <c r="BN73" s="19">
        <f>VLOOKUP(BK73,'DATABASE F&amp;B'!$C$3:$F$210,4,0)</f>
        <v>0</v>
      </c>
      <c r="BO73" s="19">
        <f t="shared" si="141"/>
        <v>0</v>
      </c>
      <c r="BP73" s="16"/>
      <c r="BQ73" s="17">
        <f>VLOOKUP(BP73,'DATABASE F&amp;B'!$C$3:$F$210,2,0)</f>
        <v>0</v>
      </c>
      <c r="BR73" s="18"/>
      <c r="BS73" s="19">
        <f>VLOOKUP(BP73,'DATABASE F&amp;B'!$C$3:$F$210,4,0)</f>
        <v>0</v>
      </c>
      <c r="BT73" s="19">
        <f t="shared" si="142"/>
        <v>0</v>
      </c>
      <c r="BU73" s="16"/>
      <c r="BV73" s="17">
        <f>VLOOKUP(BU73,'DATABASE F&amp;B'!$C$3:$F$210,2,0)</f>
        <v>0</v>
      </c>
      <c r="BW73" s="18"/>
      <c r="BX73" s="19">
        <f>VLOOKUP(BU73,'DATABASE F&amp;B'!$C$3:$F$210,4,0)</f>
        <v>0</v>
      </c>
      <c r="BY73" s="19">
        <f t="shared" si="143"/>
        <v>0</v>
      </c>
      <c r="BZ73" s="16"/>
      <c r="CA73" s="17">
        <f>VLOOKUP(BZ73,'DATABASE F&amp;B'!$C$3:$F$210,2,0)</f>
        <v>0</v>
      </c>
      <c r="CB73" s="18"/>
      <c r="CC73" s="19">
        <f>VLOOKUP(BZ73,'DATABASE F&amp;B'!$C$3:$F$210,4,0)</f>
        <v>0</v>
      </c>
      <c r="CD73" s="19">
        <f t="shared" si="144"/>
        <v>0</v>
      </c>
    </row>
    <row r="74" spans="1:82" ht="13.5" x14ac:dyDescent="0.25">
      <c r="A74" s="32" t="str">
        <f t="shared" si="125"/>
        <v>05-'13-2026</v>
      </c>
      <c r="B74" s="22">
        <f t="shared" si="146"/>
        <v>70</v>
      </c>
      <c r="C74" s="22">
        <f t="shared" si="146"/>
        <v>70</v>
      </c>
      <c r="D74" s="34">
        <v>46155</v>
      </c>
      <c r="E74" s="35" t="s">
        <v>69</v>
      </c>
      <c r="F74" s="35" t="s">
        <v>202</v>
      </c>
      <c r="G74" s="52" t="s">
        <v>81</v>
      </c>
      <c r="H74" s="36" t="str">
        <f t="shared" si="145"/>
        <v>RJ-'130526-70</v>
      </c>
      <c r="I74" s="36" t="str">
        <f t="shared" si="126"/>
        <v>'13-05-2026</v>
      </c>
      <c r="J74" s="37" t="str">
        <f>VLOOKUP(D74,Laporan!$C$4:$D$34,2,0)</f>
        <v>Rabu</v>
      </c>
      <c r="K74" s="48"/>
      <c r="L74" s="13" t="s">
        <v>33</v>
      </c>
      <c r="M74" s="19">
        <f>SUMIF('DATABASE Room'!$B$3:$B$7,L74,'DATABASE Room'!$D$3:$D$7)</f>
        <v>0</v>
      </c>
      <c r="N74" s="13">
        <v>1</v>
      </c>
      <c r="O74" s="21">
        <f t="shared" si="127"/>
        <v>0</v>
      </c>
      <c r="P74" s="38"/>
      <c r="Q74" s="19">
        <f t="shared" si="128"/>
        <v>0</v>
      </c>
      <c r="R74" s="21">
        <f t="shared" si="129"/>
        <v>0</v>
      </c>
      <c r="S74" s="19">
        <f t="shared" si="130"/>
        <v>5</v>
      </c>
      <c r="T74" s="19">
        <f t="shared" si="131"/>
        <v>75000</v>
      </c>
      <c r="U74" s="21">
        <f t="shared" si="132"/>
        <v>75000</v>
      </c>
      <c r="V74" s="39"/>
      <c r="W74" s="16">
        <v>96</v>
      </c>
      <c r="X74" s="17" t="str">
        <f>VLOOKUP(W74,'DATABASE F&amp;B'!$C$3:$F$216,2,0)</f>
        <v>MARLBORO LIGHT</v>
      </c>
      <c r="Y74" s="18">
        <v>1</v>
      </c>
      <c r="Z74" s="19">
        <f>VLOOKUP(W74,'DATABASE F&amp;B'!$C$3:$F$216,4,0)</f>
        <v>75000</v>
      </c>
      <c r="AA74" s="19">
        <f t="shared" si="133"/>
        <v>75000</v>
      </c>
      <c r="AB74" s="16"/>
      <c r="AC74" s="17">
        <f>VLOOKUP(AB74,'DATABASE F&amp;B'!$C$3:$F$216,2,0)</f>
        <v>0</v>
      </c>
      <c r="AD74" s="18">
        <v>1</v>
      </c>
      <c r="AE74" s="19">
        <f>VLOOKUP(AB74,'DATABASE F&amp;B'!$C$3:$F$216,4,0)</f>
        <v>0</v>
      </c>
      <c r="AF74" s="19">
        <f t="shared" si="134"/>
        <v>0</v>
      </c>
      <c r="AG74" s="16"/>
      <c r="AH74" s="17">
        <f>VLOOKUP(AG74,'DATABASE F&amp;B'!$C$3:$F$216,2,0)</f>
        <v>0</v>
      </c>
      <c r="AI74" s="18">
        <v>1</v>
      </c>
      <c r="AJ74" s="19">
        <f>VLOOKUP(AG74,'DATABASE F&amp;B'!$C$3:$F$216,4,0)</f>
        <v>0</v>
      </c>
      <c r="AK74" s="19">
        <f t="shared" si="135"/>
        <v>0</v>
      </c>
      <c r="AL74" s="16"/>
      <c r="AM74" s="17">
        <f>VLOOKUP(AL74,'DATABASE F&amp;B'!$C$3:$F$216,2,0)</f>
        <v>0</v>
      </c>
      <c r="AN74" s="18">
        <v>1</v>
      </c>
      <c r="AO74" s="19">
        <f>VLOOKUP(AL74,'DATABASE F&amp;B'!$C$3:$F$216,4,0)</f>
        <v>0</v>
      </c>
      <c r="AP74" s="19">
        <f t="shared" si="136"/>
        <v>0</v>
      </c>
      <c r="AQ74" s="16"/>
      <c r="AR74" s="17">
        <f>VLOOKUP(AQ74,'DATABASE F&amp;B'!$C$3:$F$216,2,0)</f>
        <v>0</v>
      </c>
      <c r="AS74" s="18">
        <v>1</v>
      </c>
      <c r="AT74" s="19">
        <f>VLOOKUP(AQ74,'DATABASE F&amp;B'!$C$3:$F$216,4,0)</f>
        <v>0</v>
      </c>
      <c r="AU74" s="19">
        <f t="shared" si="137"/>
        <v>0</v>
      </c>
      <c r="AV74" s="16"/>
      <c r="AW74" s="17">
        <f>VLOOKUP(AV74,'DATABASE F&amp;B'!$C$3:$F$216,2,0)</f>
        <v>0</v>
      </c>
      <c r="AX74" s="18"/>
      <c r="AY74" s="19">
        <f>VLOOKUP(AV74,'DATABASE F&amp;B'!$C$3:$F$216,4,0)</f>
        <v>0</v>
      </c>
      <c r="AZ74" s="19">
        <f t="shared" si="138"/>
        <v>0</v>
      </c>
      <c r="BA74" s="16"/>
      <c r="BB74" s="17">
        <f>VLOOKUP(BA74,'DATABASE F&amp;B'!$C$3:$F$216,2,0)</f>
        <v>0</v>
      </c>
      <c r="BC74" s="18"/>
      <c r="BD74" s="19">
        <f>VLOOKUP(BA74,'DATABASE F&amp;B'!$C$3:$F$216,4,0)</f>
        <v>0</v>
      </c>
      <c r="BE74" s="19">
        <f t="shared" si="139"/>
        <v>0</v>
      </c>
      <c r="BF74" s="16"/>
      <c r="BG74" s="17">
        <f>VLOOKUP(BF74,'DATABASE F&amp;B'!$C$3:$F$216,2,0)</f>
        <v>0</v>
      </c>
      <c r="BH74" s="18"/>
      <c r="BI74" s="19">
        <f>VLOOKUP(BF74,'DATABASE F&amp;B'!$C$3:$F$216,4,0)</f>
        <v>0</v>
      </c>
      <c r="BJ74" s="19">
        <f t="shared" si="140"/>
        <v>0</v>
      </c>
      <c r="BK74" s="16"/>
      <c r="BL74" s="17">
        <f>VLOOKUP(BK74,'DATABASE F&amp;B'!$C$3:$F$210,2,0)</f>
        <v>0</v>
      </c>
      <c r="BM74" s="18"/>
      <c r="BN74" s="19">
        <f>VLOOKUP(BK74,'DATABASE F&amp;B'!$C$3:$F$210,4,0)</f>
        <v>0</v>
      </c>
      <c r="BO74" s="19">
        <f t="shared" si="141"/>
        <v>0</v>
      </c>
      <c r="BP74" s="16"/>
      <c r="BQ74" s="17">
        <f>VLOOKUP(BP74,'DATABASE F&amp;B'!$C$3:$F$210,2,0)</f>
        <v>0</v>
      </c>
      <c r="BR74" s="18"/>
      <c r="BS74" s="19">
        <f>VLOOKUP(BP74,'DATABASE F&amp;B'!$C$3:$F$210,4,0)</f>
        <v>0</v>
      </c>
      <c r="BT74" s="19">
        <f t="shared" si="142"/>
        <v>0</v>
      </c>
      <c r="BU74" s="16"/>
      <c r="BV74" s="17">
        <f>VLOOKUP(BU74,'DATABASE F&amp;B'!$C$3:$F$210,2,0)</f>
        <v>0</v>
      </c>
      <c r="BW74" s="18"/>
      <c r="BX74" s="19">
        <f>VLOOKUP(BU74,'DATABASE F&amp;B'!$C$3:$F$210,4,0)</f>
        <v>0</v>
      </c>
      <c r="BY74" s="19">
        <f t="shared" si="143"/>
        <v>0</v>
      </c>
      <c r="BZ74" s="16"/>
      <c r="CA74" s="17">
        <f>VLOOKUP(BZ74,'DATABASE F&amp;B'!$C$3:$F$210,2,0)</f>
        <v>0</v>
      </c>
      <c r="CB74" s="18"/>
      <c r="CC74" s="19">
        <f>VLOOKUP(BZ74,'DATABASE F&amp;B'!$C$3:$F$210,4,0)</f>
        <v>0</v>
      </c>
      <c r="CD74" s="19">
        <f t="shared" si="144"/>
        <v>0</v>
      </c>
    </row>
    <row r="75" spans="1:82" ht="13.5" x14ac:dyDescent="0.25">
      <c r="A75" s="32" t="str">
        <f t="shared" si="125"/>
        <v>05-'13-2026</v>
      </c>
      <c r="B75" s="22">
        <f t="shared" si="146"/>
        <v>71</v>
      </c>
      <c r="C75" s="22">
        <f t="shared" si="146"/>
        <v>71</v>
      </c>
      <c r="D75" s="34">
        <v>46155</v>
      </c>
      <c r="E75" s="35" t="s">
        <v>69</v>
      </c>
      <c r="F75" s="35" t="s">
        <v>202</v>
      </c>
      <c r="G75" s="52" t="s">
        <v>81</v>
      </c>
      <c r="H75" s="36" t="str">
        <f t="shared" si="145"/>
        <v>RJ-'130526-71</v>
      </c>
      <c r="I75" s="36" t="str">
        <f t="shared" si="126"/>
        <v>'13-05-2026</v>
      </c>
      <c r="J75" s="37" t="str">
        <f>VLOOKUP(D75,Laporan!$C$4:$D$34,2,0)</f>
        <v>Rabu</v>
      </c>
      <c r="K75" s="48"/>
      <c r="L75" s="13" t="s">
        <v>33</v>
      </c>
      <c r="M75" s="19">
        <f>SUMIF('DATABASE Room'!$B$3:$B$7,L75,'DATABASE Room'!$D$3:$D$7)</f>
        <v>0</v>
      </c>
      <c r="N75" s="13">
        <v>1</v>
      </c>
      <c r="O75" s="21">
        <f t="shared" si="127"/>
        <v>0</v>
      </c>
      <c r="P75" s="38"/>
      <c r="Q75" s="19">
        <f t="shared" si="128"/>
        <v>0</v>
      </c>
      <c r="R75" s="21">
        <f t="shared" si="129"/>
        <v>0</v>
      </c>
      <c r="S75" s="19">
        <f t="shared" si="130"/>
        <v>5</v>
      </c>
      <c r="T75" s="19">
        <f t="shared" si="131"/>
        <v>75000</v>
      </c>
      <c r="U75" s="21">
        <f t="shared" si="132"/>
        <v>75000</v>
      </c>
      <c r="V75" s="39"/>
      <c r="W75" s="16">
        <v>97</v>
      </c>
      <c r="X75" s="17" t="str">
        <f>VLOOKUP(W75,'DATABASE F&amp;B'!$C$3:$F$216,2,0)</f>
        <v>MARLBORO ICE BURST</v>
      </c>
      <c r="Y75" s="18">
        <v>1</v>
      </c>
      <c r="Z75" s="19">
        <f>VLOOKUP(W75,'DATABASE F&amp;B'!$C$3:$F$216,4,0)</f>
        <v>75000</v>
      </c>
      <c r="AA75" s="19">
        <f t="shared" si="133"/>
        <v>75000</v>
      </c>
      <c r="AB75" s="16"/>
      <c r="AC75" s="17">
        <f>VLOOKUP(AB75,'DATABASE F&amp;B'!$C$3:$F$216,2,0)</f>
        <v>0</v>
      </c>
      <c r="AD75" s="18">
        <v>1</v>
      </c>
      <c r="AE75" s="19">
        <f>VLOOKUP(AB75,'DATABASE F&amp;B'!$C$3:$F$216,4,0)</f>
        <v>0</v>
      </c>
      <c r="AF75" s="19">
        <f t="shared" si="134"/>
        <v>0</v>
      </c>
      <c r="AG75" s="16"/>
      <c r="AH75" s="17">
        <f>VLOOKUP(AG75,'DATABASE F&amp;B'!$C$3:$F$216,2,0)</f>
        <v>0</v>
      </c>
      <c r="AI75" s="18">
        <v>1</v>
      </c>
      <c r="AJ75" s="19">
        <f>VLOOKUP(AG75,'DATABASE F&amp;B'!$C$3:$F$216,4,0)</f>
        <v>0</v>
      </c>
      <c r="AK75" s="19">
        <f t="shared" si="135"/>
        <v>0</v>
      </c>
      <c r="AL75" s="16"/>
      <c r="AM75" s="17">
        <f>VLOOKUP(AL75,'DATABASE F&amp;B'!$C$3:$F$216,2,0)</f>
        <v>0</v>
      </c>
      <c r="AN75" s="18">
        <v>1</v>
      </c>
      <c r="AO75" s="19">
        <f>VLOOKUP(AL75,'DATABASE F&amp;B'!$C$3:$F$216,4,0)</f>
        <v>0</v>
      </c>
      <c r="AP75" s="19">
        <f t="shared" si="136"/>
        <v>0</v>
      </c>
      <c r="AQ75" s="16"/>
      <c r="AR75" s="17">
        <f>VLOOKUP(AQ75,'DATABASE F&amp;B'!$C$3:$F$216,2,0)</f>
        <v>0</v>
      </c>
      <c r="AS75" s="18">
        <v>1</v>
      </c>
      <c r="AT75" s="19">
        <f>VLOOKUP(AQ75,'DATABASE F&amp;B'!$C$3:$F$216,4,0)</f>
        <v>0</v>
      </c>
      <c r="AU75" s="19">
        <f t="shared" si="137"/>
        <v>0</v>
      </c>
      <c r="AV75" s="16"/>
      <c r="AW75" s="17">
        <f>VLOOKUP(AV75,'DATABASE F&amp;B'!$C$3:$F$216,2,0)</f>
        <v>0</v>
      </c>
      <c r="AX75" s="18"/>
      <c r="AY75" s="19">
        <f>VLOOKUP(AV75,'DATABASE F&amp;B'!$C$3:$F$216,4,0)</f>
        <v>0</v>
      </c>
      <c r="AZ75" s="19">
        <f t="shared" si="138"/>
        <v>0</v>
      </c>
      <c r="BA75" s="16"/>
      <c r="BB75" s="17">
        <f>VLOOKUP(BA75,'DATABASE F&amp;B'!$C$3:$F$216,2,0)</f>
        <v>0</v>
      </c>
      <c r="BC75" s="18"/>
      <c r="BD75" s="19">
        <f>VLOOKUP(BA75,'DATABASE F&amp;B'!$C$3:$F$216,4,0)</f>
        <v>0</v>
      </c>
      <c r="BE75" s="19">
        <f t="shared" si="139"/>
        <v>0</v>
      </c>
      <c r="BF75" s="16"/>
      <c r="BG75" s="17">
        <f>VLOOKUP(BF75,'DATABASE F&amp;B'!$C$3:$F$216,2,0)</f>
        <v>0</v>
      </c>
      <c r="BH75" s="18"/>
      <c r="BI75" s="19">
        <f>VLOOKUP(BF75,'DATABASE F&amp;B'!$C$3:$F$216,4,0)</f>
        <v>0</v>
      </c>
      <c r="BJ75" s="19">
        <f t="shared" si="140"/>
        <v>0</v>
      </c>
      <c r="BK75" s="16"/>
      <c r="BL75" s="17">
        <f>VLOOKUP(BK75,'DATABASE F&amp;B'!$C$3:$F$210,2,0)</f>
        <v>0</v>
      </c>
      <c r="BM75" s="18"/>
      <c r="BN75" s="19">
        <f>VLOOKUP(BK75,'DATABASE F&amp;B'!$C$3:$F$210,4,0)</f>
        <v>0</v>
      </c>
      <c r="BO75" s="19">
        <f t="shared" si="141"/>
        <v>0</v>
      </c>
      <c r="BP75" s="16"/>
      <c r="BQ75" s="17">
        <f>VLOOKUP(BP75,'DATABASE F&amp;B'!$C$3:$F$210,2,0)</f>
        <v>0</v>
      </c>
      <c r="BR75" s="18"/>
      <c r="BS75" s="19">
        <f>VLOOKUP(BP75,'DATABASE F&amp;B'!$C$3:$F$210,4,0)</f>
        <v>0</v>
      </c>
      <c r="BT75" s="19">
        <f t="shared" si="142"/>
        <v>0</v>
      </c>
      <c r="BU75" s="16"/>
      <c r="BV75" s="17">
        <f>VLOOKUP(BU75,'DATABASE F&amp;B'!$C$3:$F$210,2,0)</f>
        <v>0</v>
      </c>
      <c r="BW75" s="18"/>
      <c r="BX75" s="19">
        <f>VLOOKUP(BU75,'DATABASE F&amp;B'!$C$3:$F$210,4,0)</f>
        <v>0</v>
      </c>
      <c r="BY75" s="19">
        <f t="shared" si="143"/>
        <v>0</v>
      </c>
      <c r="BZ75" s="16"/>
      <c r="CA75" s="17">
        <f>VLOOKUP(BZ75,'DATABASE F&amp;B'!$C$3:$F$210,2,0)</f>
        <v>0</v>
      </c>
      <c r="CB75" s="18"/>
      <c r="CC75" s="19">
        <f>VLOOKUP(BZ75,'DATABASE F&amp;B'!$C$3:$F$210,4,0)</f>
        <v>0</v>
      </c>
      <c r="CD75" s="19">
        <f t="shared" si="144"/>
        <v>0</v>
      </c>
    </row>
    <row r="76" spans="1:82" ht="13.5" x14ac:dyDescent="0.25">
      <c r="A76" s="32" t="str">
        <f t="shared" si="125"/>
        <v>05-'13-2026</v>
      </c>
      <c r="B76" s="22">
        <f t="shared" si="146"/>
        <v>72</v>
      </c>
      <c r="C76" s="22">
        <f t="shared" si="146"/>
        <v>72</v>
      </c>
      <c r="D76" s="34">
        <v>46155</v>
      </c>
      <c r="E76" s="35" t="s">
        <v>69</v>
      </c>
      <c r="F76" s="35" t="s">
        <v>202</v>
      </c>
      <c r="G76" s="52" t="s">
        <v>81</v>
      </c>
      <c r="H76" s="36" t="str">
        <f t="shared" si="145"/>
        <v>RJ-'130526-72</v>
      </c>
      <c r="I76" s="36" t="str">
        <f t="shared" si="126"/>
        <v>'13-05-2026</v>
      </c>
      <c r="J76" s="37" t="str">
        <f>VLOOKUP(D76,Laporan!$C$4:$D$34,2,0)</f>
        <v>Rabu</v>
      </c>
      <c r="K76" s="48"/>
      <c r="L76" s="13" t="s">
        <v>33</v>
      </c>
      <c r="M76" s="19">
        <f>SUMIF('DATABASE Room'!$B$3:$B$7,L76,'DATABASE Room'!$D$3:$D$7)</f>
        <v>0</v>
      </c>
      <c r="N76" s="13">
        <v>1</v>
      </c>
      <c r="O76" s="21">
        <f t="shared" si="127"/>
        <v>0</v>
      </c>
      <c r="P76" s="38"/>
      <c r="Q76" s="19">
        <f t="shared" si="128"/>
        <v>0</v>
      </c>
      <c r="R76" s="21">
        <f t="shared" si="129"/>
        <v>0</v>
      </c>
      <c r="S76" s="19">
        <f t="shared" si="130"/>
        <v>5</v>
      </c>
      <c r="T76" s="19">
        <f t="shared" si="131"/>
        <v>55000</v>
      </c>
      <c r="U76" s="21">
        <f t="shared" si="132"/>
        <v>55000</v>
      </c>
      <c r="V76" s="39"/>
      <c r="W76" s="16">
        <v>98</v>
      </c>
      <c r="X76" s="17" t="str">
        <f>VLOOKUP(W76,'DATABASE F&amp;B'!$C$3:$F$216,2,0)</f>
        <v>SAMPOERNA RED</v>
      </c>
      <c r="Y76" s="18">
        <v>1</v>
      </c>
      <c r="Z76" s="19">
        <f>VLOOKUP(W76,'DATABASE F&amp;B'!$C$3:$F$216,4,0)</f>
        <v>55000</v>
      </c>
      <c r="AA76" s="19">
        <f t="shared" si="133"/>
        <v>55000</v>
      </c>
      <c r="AB76" s="16"/>
      <c r="AC76" s="17">
        <f>VLOOKUP(AB76,'DATABASE F&amp;B'!$C$3:$F$216,2,0)</f>
        <v>0</v>
      </c>
      <c r="AD76" s="18">
        <v>1</v>
      </c>
      <c r="AE76" s="19">
        <f>VLOOKUP(AB76,'DATABASE F&amp;B'!$C$3:$F$216,4,0)</f>
        <v>0</v>
      </c>
      <c r="AF76" s="19">
        <f t="shared" si="134"/>
        <v>0</v>
      </c>
      <c r="AG76" s="16"/>
      <c r="AH76" s="17">
        <f>VLOOKUP(AG76,'DATABASE F&amp;B'!$C$3:$F$216,2,0)</f>
        <v>0</v>
      </c>
      <c r="AI76" s="18">
        <v>1</v>
      </c>
      <c r="AJ76" s="19">
        <f>VLOOKUP(AG76,'DATABASE F&amp;B'!$C$3:$F$216,4,0)</f>
        <v>0</v>
      </c>
      <c r="AK76" s="19">
        <f t="shared" si="135"/>
        <v>0</v>
      </c>
      <c r="AL76" s="16"/>
      <c r="AM76" s="17">
        <f>VLOOKUP(AL76,'DATABASE F&amp;B'!$C$3:$F$216,2,0)</f>
        <v>0</v>
      </c>
      <c r="AN76" s="18">
        <v>1</v>
      </c>
      <c r="AO76" s="19">
        <f>VLOOKUP(AL76,'DATABASE F&amp;B'!$C$3:$F$216,4,0)</f>
        <v>0</v>
      </c>
      <c r="AP76" s="19">
        <f t="shared" si="136"/>
        <v>0</v>
      </c>
      <c r="AQ76" s="16"/>
      <c r="AR76" s="17">
        <f>VLOOKUP(AQ76,'DATABASE F&amp;B'!$C$3:$F$216,2,0)</f>
        <v>0</v>
      </c>
      <c r="AS76" s="18">
        <v>1</v>
      </c>
      <c r="AT76" s="19">
        <f>VLOOKUP(AQ76,'DATABASE F&amp;B'!$C$3:$F$216,4,0)</f>
        <v>0</v>
      </c>
      <c r="AU76" s="19">
        <f t="shared" si="137"/>
        <v>0</v>
      </c>
      <c r="AV76" s="16"/>
      <c r="AW76" s="17">
        <f>VLOOKUP(AV76,'DATABASE F&amp;B'!$C$3:$F$216,2,0)</f>
        <v>0</v>
      </c>
      <c r="AX76" s="18"/>
      <c r="AY76" s="19">
        <f>VLOOKUP(AV76,'DATABASE F&amp;B'!$C$3:$F$216,4,0)</f>
        <v>0</v>
      </c>
      <c r="AZ76" s="19">
        <f t="shared" si="138"/>
        <v>0</v>
      </c>
      <c r="BA76" s="16"/>
      <c r="BB76" s="17">
        <f>VLOOKUP(BA76,'DATABASE F&amp;B'!$C$3:$F$216,2,0)</f>
        <v>0</v>
      </c>
      <c r="BC76" s="18"/>
      <c r="BD76" s="19">
        <f>VLOOKUP(BA76,'DATABASE F&amp;B'!$C$3:$F$216,4,0)</f>
        <v>0</v>
      </c>
      <c r="BE76" s="19">
        <f t="shared" si="139"/>
        <v>0</v>
      </c>
      <c r="BF76" s="16"/>
      <c r="BG76" s="17">
        <f>VLOOKUP(BF76,'DATABASE F&amp;B'!$C$3:$F$216,2,0)</f>
        <v>0</v>
      </c>
      <c r="BH76" s="18"/>
      <c r="BI76" s="19">
        <f>VLOOKUP(BF76,'DATABASE F&amp;B'!$C$3:$F$216,4,0)</f>
        <v>0</v>
      </c>
      <c r="BJ76" s="19">
        <f t="shared" si="140"/>
        <v>0</v>
      </c>
      <c r="BK76" s="16"/>
      <c r="BL76" s="17">
        <f>VLOOKUP(BK76,'DATABASE F&amp;B'!$C$3:$F$210,2,0)</f>
        <v>0</v>
      </c>
      <c r="BM76" s="18"/>
      <c r="BN76" s="19">
        <f>VLOOKUP(BK76,'DATABASE F&amp;B'!$C$3:$F$210,4,0)</f>
        <v>0</v>
      </c>
      <c r="BO76" s="19">
        <f t="shared" si="141"/>
        <v>0</v>
      </c>
      <c r="BP76" s="16"/>
      <c r="BQ76" s="17">
        <f>VLOOKUP(BP76,'DATABASE F&amp;B'!$C$3:$F$210,2,0)</f>
        <v>0</v>
      </c>
      <c r="BR76" s="18"/>
      <c r="BS76" s="19">
        <f>VLOOKUP(BP76,'DATABASE F&amp;B'!$C$3:$F$210,4,0)</f>
        <v>0</v>
      </c>
      <c r="BT76" s="19">
        <f t="shared" si="142"/>
        <v>0</v>
      </c>
      <c r="BU76" s="16"/>
      <c r="BV76" s="17">
        <f>VLOOKUP(BU76,'DATABASE F&amp;B'!$C$3:$F$210,2,0)</f>
        <v>0</v>
      </c>
      <c r="BW76" s="18"/>
      <c r="BX76" s="19">
        <f>VLOOKUP(BU76,'DATABASE F&amp;B'!$C$3:$F$210,4,0)</f>
        <v>0</v>
      </c>
      <c r="BY76" s="19">
        <f t="shared" si="143"/>
        <v>0</v>
      </c>
      <c r="BZ76" s="16"/>
      <c r="CA76" s="17">
        <f>VLOOKUP(BZ76,'DATABASE F&amp;B'!$C$3:$F$210,2,0)</f>
        <v>0</v>
      </c>
      <c r="CB76" s="18"/>
      <c r="CC76" s="19">
        <f>VLOOKUP(BZ76,'DATABASE F&amp;B'!$C$3:$F$210,4,0)</f>
        <v>0</v>
      </c>
      <c r="CD76" s="19">
        <f t="shared" si="144"/>
        <v>0</v>
      </c>
    </row>
    <row r="77" spans="1:82" ht="13.5" x14ac:dyDescent="0.25">
      <c r="A77" s="32" t="str">
        <f t="shared" si="125"/>
        <v>05-'13-2026</v>
      </c>
      <c r="B77" s="22">
        <f t="shared" si="146"/>
        <v>73</v>
      </c>
      <c r="C77" s="22">
        <f t="shared" si="146"/>
        <v>73</v>
      </c>
      <c r="D77" s="34">
        <v>46155</v>
      </c>
      <c r="E77" s="35" t="s">
        <v>69</v>
      </c>
      <c r="F77" s="35" t="s">
        <v>202</v>
      </c>
      <c r="G77" s="52" t="s">
        <v>81</v>
      </c>
      <c r="H77" s="36" t="str">
        <f t="shared" si="145"/>
        <v>RJ-'130526-73</v>
      </c>
      <c r="I77" s="36" t="str">
        <f t="shared" si="126"/>
        <v>'13-05-2026</v>
      </c>
      <c r="J77" s="37" t="str">
        <f>VLOOKUP(D77,Laporan!$C$4:$D$34,2,0)</f>
        <v>Rabu</v>
      </c>
      <c r="K77" s="48"/>
      <c r="L77" s="13" t="s">
        <v>33</v>
      </c>
      <c r="M77" s="19">
        <f>SUMIF('DATABASE Room'!$B$3:$B$7,L77,'DATABASE Room'!$D$3:$D$7)</f>
        <v>0</v>
      </c>
      <c r="N77" s="13">
        <v>1</v>
      </c>
      <c r="O77" s="21">
        <f t="shared" si="127"/>
        <v>0</v>
      </c>
      <c r="P77" s="38"/>
      <c r="Q77" s="19">
        <f t="shared" si="128"/>
        <v>0</v>
      </c>
      <c r="R77" s="21">
        <f t="shared" si="129"/>
        <v>0</v>
      </c>
      <c r="S77" s="19">
        <f t="shared" si="130"/>
        <v>5</v>
      </c>
      <c r="T77" s="19">
        <f t="shared" si="131"/>
        <v>125000</v>
      </c>
      <c r="U77" s="21">
        <f t="shared" si="132"/>
        <v>125000</v>
      </c>
      <c r="V77" s="39"/>
      <c r="W77" s="16">
        <v>99</v>
      </c>
      <c r="X77" s="17" t="str">
        <f>VLOOKUP(W77,'DATABASE F&amp;B'!$C$3:$F$216,2,0)</f>
        <v>SAMPOERNA MENTOL</v>
      </c>
      <c r="Y77" s="18">
        <v>1</v>
      </c>
      <c r="Z77" s="19">
        <f>VLOOKUP(W77,'DATABASE F&amp;B'!$C$3:$F$216,4,0)</f>
        <v>55000</v>
      </c>
      <c r="AA77" s="19">
        <f t="shared" si="133"/>
        <v>55000</v>
      </c>
      <c r="AB77" s="16">
        <v>77</v>
      </c>
      <c r="AC77" s="17" t="str">
        <f>VLOOKUP(AB77,'DATABASE F&amp;B'!$C$3:$F$216,2,0)</f>
        <v>BEER KURA KURA SESSION HAZY</v>
      </c>
      <c r="AD77" s="18">
        <v>1</v>
      </c>
      <c r="AE77" s="19">
        <f>VLOOKUP(AB77,'DATABASE F&amp;B'!$C$3:$F$216,4,0)</f>
        <v>70000</v>
      </c>
      <c r="AF77" s="19">
        <f t="shared" si="134"/>
        <v>70000</v>
      </c>
      <c r="AG77" s="16"/>
      <c r="AH77" s="17">
        <f>VLOOKUP(AG77,'DATABASE F&amp;B'!$C$3:$F$216,2,0)</f>
        <v>0</v>
      </c>
      <c r="AI77" s="18">
        <v>1</v>
      </c>
      <c r="AJ77" s="19">
        <f>VLOOKUP(AG77,'DATABASE F&amp;B'!$C$3:$F$216,4,0)</f>
        <v>0</v>
      </c>
      <c r="AK77" s="19">
        <f t="shared" si="135"/>
        <v>0</v>
      </c>
      <c r="AL77" s="16"/>
      <c r="AM77" s="17">
        <f>VLOOKUP(AL77,'DATABASE F&amp;B'!$C$3:$F$216,2,0)</f>
        <v>0</v>
      </c>
      <c r="AN77" s="18">
        <v>1</v>
      </c>
      <c r="AO77" s="19">
        <f>VLOOKUP(AL77,'DATABASE F&amp;B'!$C$3:$F$216,4,0)</f>
        <v>0</v>
      </c>
      <c r="AP77" s="19">
        <f t="shared" si="136"/>
        <v>0</v>
      </c>
      <c r="AQ77" s="16"/>
      <c r="AR77" s="17">
        <f>VLOOKUP(AQ77,'DATABASE F&amp;B'!$C$3:$F$216,2,0)</f>
        <v>0</v>
      </c>
      <c r="AS77" s="18">
        <v>1</v>
      </c>
      <c r="AT77" s="19">
        <f>VLOOKUP(AQ77,'DATABASE F&amp;B'!$C$3:$F$216,4,0)</f>
        <v>0</v>
      </c>
      <c r="AU77" s="19">
        <f t="shared" si="137"/>
        <v>0</v>
      </c>
      <c r="AV77" s="16"/>
      <c r="AW77" s="17">
        <f>VLOOKUP(AV77,'DATABASE F&amp;B'!$C$3:$F$216,2,0)</f>
        <v>0</v>
      </c>
      <c r="AX77" s="18"/>
      <c r="AY77" s="19">
        <f>VLOOKUP(AV77,'DATABASE F&amp;B'!$C$3:$F$216,4,0)</f>
        <v>0</v>
      </c>
      <c r="AZ77" s="19">
        <f t="shared" si="138"/>
        <v>0</v>
      </c>
      <c r="BA77" s="16"/>
      <c r="BB77" s="17">
        <f>VLOOKUP(BA77,'DATABASE F&amp;B'!$C$3:$F$216,2,0)</f>
        <v>0</v>
      </c>
      <c r="BC77" s="18"/>
      <c r="BD77" s="19">
        <f>VLOOKUP(BA77,'DATABASE F&amp;B'!$C$3:$F$216,4,0)</f>
        <v>0</v>
      </c>
      <c r="BE77" s="19">
        <f t="shared" si="139"/>
        <v>0</v>
      </c>
      <c r="BF77" s="16"/>
      <c r="BG77" s="17">
        <f>VLOOKUP(BF77,'DATABASE F&amp;B'!$C$3:$F$216,2,0)</f>
        <v>0</v>
      </c>
      <c r="BH77" s="18"/>
      <c r="BI77" s="19">
        <f>VLOOKUP(BF77,'DATABASE F&amp;B'!$C$3:$F$216,4,0)</f>
        <v>0</v>
      </c>
      <c r="BJ77" s="19">
        <f t="shared" si="140"/>
        <v>0</v>
      </c>
      <c r="BK77" s="16"/>
      <c r="BL77" s="17">
        <f>VLOOKUP(BK77,'DATABASE F&amp;B'!$C$3:$F$210,2,0)</f>
        <v>0</v>
      </c>
      <c r="BM77" s="18"/>
      <c r="BN77" s="19">
        <f>VLOOKUP(BK77,'DATABASE F&amp;B'!$C$3:$F$210,4,0)</f>
        <v>0</v>
      </c>
      <c r="BO77" s="19">
        <f t="shared" si="141"/>
        <v>0</v>
      </c>
      <c r="BP77" s="16"/>
      <c r="BQ77" s="17">
        <f>VLOOKUP(BP77,'DATABASE F&amp;B'!$C$3:$F$210,2,0)</f>
        <v>0</v>
      </c>
      <c r="BR77" s="18"/>
      <c r="BS77" s="19">
        <f>VLOOKUP(BP77,'DATABASE F&amp;B'!$C$3:$F$210,4,0)</f>
        <v>0</v>
      </c>
      <c r="BT77" s="19">
        <f t="shared" si="142"/>
        <v>0</v>
      </c>
      <c r="BU77" s="16"/>
      <c r="BV77" s="17">
        <f>VLOOKUP(BU77,'DATABASE F&amp;B'!$C$3:$F$210,2,0)</f>
        <v>0</v>
      </c>
      <c r="BW77" s="18"/>
      <c r="BX77" s="19">
        <f>VLOOKUP(BU77,'DATABASE F&amp;B'!$C$3:$F$210,4,0)</f>
        <v>0</v>
      </c>
      <c r="BY77" s="19">
        <f t="shared" si="143"/>
        <v>0</v>
      </c>
      <c r="BZ77" s="16"/>
      <c r="CA77" s="17">
        <f>VLOOKUP(BZ77,'DATABASE F&amp;B'!$C$3:$F$210,2,0)</f>
        <v>0</v>
      </c>
      <c r="CB77" s="18"/>
      <c r="CC77" s="19">
        <f>VLOOKUP(BZ77,'DATABASE F&amp;B'!$C$3:$F$210,4,0)</f>
        <v>0</v>
      </c>
      <c r="CD77" s="19">
        <f t="shared" si="144"/>
        <v>0</v>
      </c>
    </row>
    <row r="78" spans="1:82" ht="13.5" x14ac:dyDescent="0.25">
      <c r="A78" s="32" t="str">
        <f t="shared" si="125"/>
        <v>05-'13-2026</v>
      </c>
      <c r="B78" s="22">
        <f t="shared" si="146"/>
        <v>74</v>
      </c>
      <c r="C78" s="22">
        <f t="shared" si="146"/>
        <v>74</v>
      </c>
      <c r="D78" s="34">
        <v>46155</v>
      </c>
      <c r="E78" s="35" t="s">
        <v>69</v>
      </c>
      <c r="F78" s="35" t="s">
        <v>202</v>
      </c>
      <c r="G78" s="52" t="s">
        <v>81</v>
      </c>
      <c r="H78" s="36" t="str">
        <f t="shared" si="145"/>
        <v>RJ-'130526-74</v>
      </c>
      <c r="I78" s="36" t="str">
        <f t="shared" si="126"/>
        <v>'13-05-2026</v>
      </c>
      <c r="J78" s="37" t="str">
        <f>VLOOKUP(D78,Laporan!$C$4:$D$34,2,0)</f>
        <v>Rabu</v>
      </c>
      <c r="K78" s="48"/>
      <c r="L78" s="13" t="s">
        <v>33</v>
      </c>
      <c r="M78" s="19">
        <f>SUMIF('DATABASE Room'!$B$3:$B$7,L78,'DATABASE Room'!$D$3:$D$7)</f>
        <v>0</v>
      </c>
      <c r="N78" s="13">
        <v>1</v>
      </c>
      <c r="O78" s="21">
        <f t="shared" si="127"/>
        <v>0</v>
      </c>
      <c r="P78" s="38"/>
      <c r="Q78" s="19">
        <f t="shared" si="128"/>
        <v>0</v>
      </c>
      <c r="R78" s="21">
        <f t="shared" si="129"/>
        <v>0</v>
      </c>
      <c r="S78" s="19">
        <f t="shared" si="130"/>
        <v>5</v>
      </c>
      <c r="T78" s="19">
        <f t="shared" si="131"/>
        <v>55000</v>
      </c>
      <c r="U78" s="21">
        <f t="shared" si="132"/>
        <v>55000</v>
      </c>
      <c r="V78" s="39"/>
      <c r="W78" s="16">
        <v>100</v>
      </c>
      <c r="X78" s="17" t="str">
        <f>VLOOKUP(W78,'DATABASE F&amp;B'!$C$3:$F$216,2,0)</f>
        <v>GG SURYA 16</v>
      </c>
      <c r="Y78" s="18">
        <v>1</v>
      </c>
      <c r="Z78" s="19">
        <f>VLOOKUP(W78,'DATABASE F&amp;B'!$C$3:$F$216,4,0)</f>
        <v>55000</v>
      </c>
      <c r="AA78" s="19">
        <f t="shared" si="133"/>
        <v>55000</v>
      </c>
      <c r="AB78" s="16"/>
      <c r="AC78" s="17">
        <f>VLOOKUP(AB78,'DATABASE F&amp;B'!$C$3:$F$216,2,0)</f>
        <v>0</v>
      </c>
      <c r="AD78" s="18">
        <v>1</v>
      </c>
      <c r="AE78" s="19">
        <f>VLOOKUP(AB78,'DATABASE F&amp;B'!$C$3:$F$216,4,0)</f>
        <v>0</v>
      </c>
      <c r="AF78" s="19">
        <f t="shared" si="134"/>
        <v>0</v>
      </c>
      <c r="AG78" s="16"/>
      <c r="AH78" s="17">
        <f>VLOOKUP(AG78,'DATABASE F&amp;B'!$C$3:$F$216,2,0)</f>
        <v>0</v>
      </c>
      <c r="AI78" s="18">
        <v>1</v>
      </c>
      <c r="AJ78" s="19">
        <f>VLOOKUP(AG78,'DATABASE F&amp;B'!$C$3:$F$216,4,0)</f>
        <v>0</v>
      </c>
      <c r="AK78" s="19">
        <f t="shared" si="135"/>
        <v>0</v>
      </c>
      <c r="AL78" s="16"/>
      <c r="AM78" s="17">
        <f>VLOOKUP(AL78,'DATABASE F&amp;B'!$C$3:$F$216,2,0)</f>
        <v>0</v>
      </c>
      <c r="AN78" s="18">
        <v>1</v>
      </c>
      <c r="AO78" s="19">
        <f>VLOOKUP(AL78,'DATABASE F&amp;B'!$C$3:$F$216,4,0)</f>
        <v>0</v>
      </c>
      <c r="AP78" s="19">
        <f t="shared" si="136"/>
        <v>0</v>
      </c>
      <c r="AQ78" s="16"/>
      <c r="AR78" s="17">
        <f>VLOOKUP(AQ78,'DATABASE F&amp;B'!$C$3:$F$216,2,0)</f>
        <v>0</v>
      </c>
      <c r="AS78" s="18">
        <v>1</v>
      </c>
      <c r="AT78" s="19">
        <f>VLOOKUP(AQ78,'DATABASE F&amp;B'!$C$3:$F$216,4,0)</f>
        <v>0</v>
      </c>
      <c r="AU78" s="19">
        <f t="shared" si="137"/>
        <v>0</v>
      </c>
      <c r="AV78" s="16"/>
      <c r="AW78" s="17">
        <f>VLOOKUP(AV78,'DATABASE F&amp;B'!$C$3:$F$216,2,0)</f>
        <v>0</v>
      </c>
      <c r="AX78" s="18"/>
      <c r="AY78" s="19">
        <f>VLOOKUP(AV78,'DATABASE F&amp;B'!$C$3:$F$216,4,0)</f>
        <v>0</v>
      </c>
      <c r="AZ78" s="19">
        <f t="shared" si="138"/>
        <v>0</v>
      </c>
      <c r="BA78" s="16"/>
      <c r="BB78" s="17">
        <f>VLOOKUP(BA78,'DATABASE F&amp;B'!$C$3:$F$216,2,0)</f>
        <v>0</v>
      </c>
      <c r="BC78" s="18"/>
      <c r="BD78" s="19">
        <f>VLOOKUP(BA78,'DATABASE F&amp;B'!$C$3:$F$216,4,0)</f>
        <v>0</v>
      </c>
      <c r="BE78" s="19">
        <f t="shared" si="139"/>
        <v>0</v>
      </c>
      <c r="BF78" s="16"/>
      <c r="BG78" s="17">
        <f>VLOOKUP(BF78,'DATABASE F&amp;B'!$C$3:$F$216,2,0)</f>
        <v>0</v>
      </c>
      <c r="BH78" s="18"/>
      <c r="BI78" s="19">
        <f>VLOOKUP(BF78,'DATABASE F&amp;B'!$C$3:$F$216,4,0)</f>
        <v>0</v>
      </c>
      <c r="BJ78" s="19">
        <f t="shared" si="140"/>
        <v>0</v>
      </c>
      <c r="BK78" s="16"/>
      <c r="BL78" s="17">
        <f>VLOOKUP(BK78,'DATABASE F&amp;B'!$C$3:$F$210,2,0)</f>
        <v>0</v>
      </c>
      <c r="BM78" s="18"/>
      <c r="BN78" s="19">
        <f>VLOOKUP(BK78,'DATABASE F&amp;B'!$C$3:$F$210,4,0)</f>
        <v>0</v>
      </c>
      <c r="BO78" s="19">
        <f t="shared" si="141"/>
        <v>0</v>
      </c>
      <c r="BP78" s="16"/>
      <c r="BQ78" s="17">
        <f>VLOOKUP(BP78,'DATABASE F&amp;B'!$C$3:$F$210,2,0)</f>
        <v>0</v>
      </c>
      <c r="BR78" s="18"/>
      <c r="BS78" s="19">
        <f>VLOOKUP(BP78,'DATABASE F&amp;B'!$C$3:$F$210,4,0)</f>
        <v>0</v>
      </c>
      <c r="BT78" s="19">
        <f t="shared" si="142"/>
        <v>0</v>
      </c>
      <c r="BU78" s="16"/>
      <c r="BV78" s="17">
        <f>VLOOKUP(BU78,'DATABASE F&amp;B'!$C$3:$F$210,2,0)</f>
        <v>0</v>
      </c>
      <c r="BW78" s="18"/>
      <c r="BX78" s="19">
        <f>VLOOKUP(BU78,'DATABASE F&amp;B'!$C$3:$F$210,4,0)</f>
        <v>0</v>
      </c>
      <c r="BY78" s="19">
        <f t="shared" si="143"/>
        <v>0</v>
      </c>
      <c r="BZ78" s="16"/>
      <c r="CA78" s="17">
        <f>VLOOKUP(BZ78,'DATABASE F&amp;B'!$C$3:$F$210,2,0)</f>
        <v>0</v>
      </c>
      <c r="CB78" s="18"/>
      <c r="CC78" s="19">
        <f>VLOOKUP(BZ78,'DATABASE F&amp;B'!$C$3:$F$210,4,0)</f>
        <v>0</v>
      </c>
      <c r="CD78" s="19">
        <f t="shared" si="144"/>
        <v>0</v>
      </c>
    </row>
    <row r="79" spans="1:82" ht="13.5" x14ac:dyDescent="0.25">
      <c r="A79" s="32" t="str">
        <f t="shared" si="125"/>
        <v>05-'14-2026</v>
      </c>
      <c r="B79" s="22">
        <f t="shared" si="146"/>
        <v>75</v>
      </c>
      <c r="C79" s="22">
        <f t="shared" si="146"/>
        <v>75</v>
      </c>
      <c r="D79" s="34">
        <v>46156</v>
      </c>
      <c r="E79" s="35" t="s">
        <v>70</v>
      </c>
      <c r="F79" s="35" t="s">
        <v>202</v>
      </c>
      <c r="G79" s="52" t="s">
        <v>81</v>
      </c>
      <c r="H79" s="36" t="str">
        <f t="shared" si="145"/>
        <v>RJ-'140526-75</v>
      </c>
      <c r="I79" s="36" t="str">
        <f t="shared" si="126"/>
        <v>'14-05-2026</v>
      </c>
      <c r="J79" s="37" t="str">
        <f>VLOOKUP(D79,Laporan!$C$4:$D$34,2,0)</f>
        <v>Kamis</v>
      </c>
      <c r="K79" s="48"/>
      <c r="L79" s="13" t="s">
        <v>33</v>
      </c>
      <c r="M79" s="19">
        <f>SUMIF('DATABASE Room'!$B$3:$B$7,L79,'DATABASE Room'!$D$3:$D$7)</f>
        <v>0</v>
      </c>
      <c r="N79" s="13">
        <v>1</v>
      </c>
      <c r="O79" s="21">
        <f t="shared" si="127"/>
        <v>0</v>
      </c>
      <c r="P79" s="38"/>
      <c r="Q79" s="19">
        <f t="shared" si="128"/>
        <v>0</v>
      </c>
      <c r="R79" s="21">
        <f t="shared" si="129"/>
        <v>0</v>
      </c>
      <c r="S79" s="19">
        <f t="shared" si="130"/>
        <v>5</v>
      </c>
      <c r="T79" s="19">
        <f t="shared" si="131"/>
        <v>55000</v>
      </c>
      <c r="U79" s="21">
        <f t="shared" si="132"/>
        <v>55000</v>
      </c>
      <c r="V79" s="39"/>
      <c r="W79" s="16">
        <v>101</v>
      </c>
      <c r="X79" s="17" t="str">
        <f>VLOOKUP(W79,'DATABASE F&amp;B'!$C$3:$F$216,2,0)</f>
        <v>LA ICE</v>
      </c>
      <c r="Y79" s="18">
        <v>1</v>
      </c>
      <c r="Z79" s="19">
        <f>VLOOKUP(W79,'DATABASE F&amp;B'!$C$3:$F$216,4,0)</f>
        <v>55000</v>
      </c>
      <c r="AA79" s="19">
        <f t="shared" si="133"/>
        <v>55000</v>
      </c>
      <c r="AB79" s="16"/>
      <c r="AC79" s="17">
        <f>VLOOKUP(AB79,'DATABASE F&amp;B'!$C$3:$F$216,2,0)</f>
        <v>0</v>
      </c>
      <c r="AD79" s="18">
        <v>1</v>
      </c>
      <c r="AE79" s="19">
        <f>VLOOKUP(AB79,'DATABASE F&amp;B'!$C$3:$F$216,4,0)</f>
        <v>0</v>
      </c>
      <c r="AF79" s="19">
        <f t="shared" si="134"/>
        <v>0</v>
      </c>
      <c r="AG79" s="16"/>
      <c r="AH79" s="17">
        <f>VLOOKUP(AG79,'DATABASE F&amp;B'!$C$3:$F$216,2,0)</f>
        <v>0</v>
      </c>
      <c r="AI79" s="18">
        <v>1</v>
      </c>
      <c r="AJ79" s="19">
        <f>VLOOKUP(AG79,'DATABASE F&amp;B'!$C$3:$F$216,4,0)</f>
        <v>0</v>
      </c>
      <c r="AK79" s="19">
        <f t="shared" si="135"/>
        <v>0</v>
      </c>
      <c r="AL79" s="16"/>
      <c r="AM79" s="17">
        <f>VLOOKUP(AL79,'DATABASE F&amp;B'!$C$3:$F$216,2,0)</f>
        <v>0</v>
      </c>
      <c r="AN79" s="18">
        <v>1</v>
      </c>
      <c r="AO79" s="19">
        <f>VLOOKUP(AL79,'DATABASE F&amp;B'!$C$3:$F$216,4,0)</f>
        <v>0</v>
      </c>
      <c r="AP79" s="19">
        <f t="shared" si="136"/>
        <v>0</v>
      </c>
      <c r="AQ79" s="16"/>
      <c r="AR79" s="17">
        <f>VLOOKUP(AQ79,'DATABASE F&amp;B'!$C$3:$F$216,2,0)</f>
        <v>0</v>
      </c>
      <c r="AS79" s="18">
        <v>1</v>
      </c>
      <c r="AT79" s="19">
        <f>VLOOKUP(AQ79,'DATABASE F&amp;B'!$C$3:$F$216,4,0)</f>
        <v>0</v>
      </c>
      <c r="AU79" s="19">
        <f t="shared" si="137"/>
        <v>0</v>
      </c>
      <c r="AV79" s="16"/>
      <c r="AW79" s="17">
        <f>VLOOKUP(AV79,'DATABASE F&amp;B'!$C$3:$F$216,2,0)</f>
        <v>0</v>
      </c>
      <c r="AX79" s="18"/>
      <c r="AY79" s="19">
        <f>VLOOKUP(AV79,'DATABASE F&amp;B'!$C$3:$F$216,4,0)</f>
        <v>0</v>
      </c>
      <c r="AZ79" s="19">
        <f t="shared" si="138"/>
        <v>0</v>
      </c>
      <c r="BA79" s="16"/>
      <c r="BB79" s="17">
        <f>VLOOKUP(BA79,'DATABASE F&amp;B'!$C$3:$F$216,2,0)</f>
        <v>0</v>
      </c>
      <c r="BC79" s="18"/>
      <c r="BD79" s="19">
        <f>VLOOKUP(BA79,'DATABASE F&amp;B'!$C$3:$F$216,4,0)</f>
        <v>0</v>
      </c>
      <c r="BE79" s="19">
        <f t="shared" si="139"/>
        <v>0</v>
      </c>
      <c r="BF79" s="16"/>
      <c r="BG79" s="17">
        <f>VLOOKUP(BF79,'DATABASE F&amp;B'!$C$3:$F$216,2,0)</f>
        <v>0</v>
      </c>
      <c r="BH79" s="18"/>
      <c r="BI79" s="19">
        <f>VLOOKUP(BF79,'DATABASE F&amp;B'!$C$3:$F$216,4,0)</f>
        <v>0</v>
      </c>
      <c r="BJ79" s="19">
        <f t="shared" si="140"/>
        <v>0</v>
      </c>
      <c r="BK79" s="16"/>
      <c r="BL79" s="17">
        <f>VLOOKUP(BK79,'DATABASE F&amp;B'!$C$3:$F$210,2,0)</f>
        <v>0</v>
      </c>
      <c r="BM79" s="18"/>
      <c r="BN79" s="19">
        <f>VLOOKUP(BK79,'DATABASE F&amp;B'!$C$3:$F$210,4,0)</f>
        <v>0</v>
      </c>
      <c r="BO79" s="19">
        <f t="shared" si="141"/>
        <v>0</v>
      </c>
      <c r="BP79" s="16"/>
      <c r="BQ79" s="17">
        <f>VLOOKUP(BP79,'DATABASE F&amp;B'!$C$3:$F$210,2,0)</f>
        <v>0</v>
      </c>
      <c r="BR79" s="18"/>
      <c r="BS79" s="19">
        <f>VLOOKUP(BP79,'DATABASE F&amp;B'!$C$3:$F$210,4,0)</f>
        <v>0</v>
      </c>
      <c r="BT79" s="19">
        <f t="shared" si="142"/>
        <v>0</v>
      </c>
      <c r="BU79" s="16"/>
      <c r="BV79" s="17">
        <f>VLOOKUP(BU79,'DATABASE F&amp;B'!$C$3:$F$210,2,0)</f>
        <v>0</v>
      </c>
      <c r="BW79" s="18"/>
      <c r="BX79" s="19">
        <f>VLOOKUP(BU79,'DATABASE F&amp;B'!$C$3:$F$210,4,0)</f>
        <v>0</v>
      </c>
      <c r="BY79" s="19">
        <f t="shared" si="143"/>
        <v>0</v>
      </c>
      <c r="BZ79" s="16"/>
      <c r="CA79" s="17">
        <f>VLOOKUP(BZ79,'DATABASE F&amp;B'!$C$3:$F$210,2,0)</f>
        <v>0</v>
      </c>
      <c r="CB79" s="18"/>
      <c r="CC79" s="19">
        <f>VLOOKUP(BZ79,'DATABASE F&amp;B'!$C$3:$F$210,4,0)</f>
        <v>0</v>
      </c>
      <c r="CD79" s="19">
        <f t="shared" si="144"/>
        <v>0</v>
      </c>
    </row>
    <row r="80" spans="1:82" ht="13.5" x14ac:dyDescent="0.25">
      <c r="A80" s="32" t="str">
        <f t="shared" si="125"/>
        <v>05-'14-2026</v>
      </c>
      <c r="B80" s="22">
        <f t="shared" si="146"/>
        <v>76</v>
      </c>
      <c r="C80" s="22">
        <f t="shared" si="146"/>
        <v>76</v>
      </c>
      <c r="D80" s="34">
        <v>46156</v>
      </c>
      <c r="E80" s="35" t="s">
        <v>70</v>
      </c>
      <c r="F80" s="35" t="s">
        <v>202</v>
      </c>
      <c r="G80" s="52" t="s">
        <v>81</v>
      </c>
      <c r="H80" s="36" t="str">
        <f t="shared" si="145"/>
        <v>RJ-'140526-76</v>
      </c>
      <c r="I80" s="36" t="str">
        <f t="shared" si="126"/>
        <v>'14-05-2026</v>
      </c>
      <c r="J80" s="37" t="str">
        <f>VLOOKUP(D80,Laporan!$C$4:$D$34,2,0)</f>
        <v>Kamis</v>
      </c>
      <c r="K80" s="48"/>
      <c r="L80" s="13" t="s">
        <v>33</v>
      </c>
      <c r="M80" s="19">
        <f>SUMIF('DATABASE Room'!$B$3:$B$7,L80,'DATABASE Room'!$D$3:$D$7)</f>
        <v>0</v>
      </c>
      <c r="N80" s="13">
        <v>1</v>
      </c>
      <c r="O80" s="21">
        <f t="shared" si="127"/>
        <v>0</v>
      </c>
      <c r="P80" s="38"/>
      <c r="Q80" s="19">
        <f t="shared" si="128"/>
        <v>0</v>
      </c>
      <c r="R80" s="21">
        <f t="shared" si="129"/>
        <v>0</v>
      </c>
      <c r="S80" s="19">
        <f t="shared" si="130"/>
        <v>5</v>
      </c>
      <c r="T80" s="19">
        <f t="shared" si="131"/>
        <v>55000</v>
      </c>
      <c r="U80" s="21">
        <f t="shared" si="132"/>
        <v>55000</v>
      </c>
      <c r="V80" s="39"/>
      <c r="W80" s="16">
        <v>102</v>
      </c>
      <c r="X80" s="17" t="str">
        <f>VLOOKUP(W80,'DATABASE F&amp;B'!$C$3:$F$216,2,0)</f>
        <v>LA ICE PULPLE</v>
      </c>
      <c r="Y80" s="18">
        <v>1</v>
      </c>
      <c r="Z80" s="19">
        <f>VLOOKUP(W80,'DATABASE F&amp;B'!$C$3:$F$216,4,0)</f>
        <v>55000</v>
      </c>
      <c r="AA80" s="19">
        <f t="shared" si="133"/>
        <v>55000</v>
      </c>
      <c r="AB80" s="16"/>
      <c r="AC80" s="17">
        <f>VLOOKUP(AB80,'DATABASE F&amp;B'!$C$3:$F$216,2,0)</f>
        <v>0</v>
      </c>
      <c r="AD80" s="18">
        <v>1</v>
      </c>
      <c r="AE80" s="19">
        <f>VLOOKUP(AB80,'DATABASE F&amp;B'!$C$3:$F$216,4,0)</f>
        <v>0</v>
      </c>
      <c r="AF80" s="19">
        <f t="shared" si="134"/>
        <v>0</v>
      </c>
      <c r="AG80" s="16"/>
      <c r="AH80" s="17">
        <f>VLOOKUP(AG80,'DATABASE F&amp;B'!$C$3:$F$216,2,0)</f>
        <v>0</v>
      </c>
      <c r="AI80" s="18">
        <v>1</v>
      </c>
      <c r="AJ80" s="19">
        <f>VLOOKUP(AG80,'DATABASE F&amp;B'!$C$3:$F$216,4,0)</f>
        <v>0</v>
      </c>
      <c r="AK80" s="19">
        <f t="shared" si="135"/>
        <v>0</v>
      </c>
      <c r="AL80" s="16"/>
      <c r="AM80" s="17">
        <f>VLOOKUP(AL80,'DATABASE F&amp;B'!$C$3:$F$216,2,0)</f>
        <v>0</v>
      </c>
      <c r="AN80" s="18">
        <v>1</v>
      </c>
      <c r="AO80" s="19">
        <f>VLOOKUP(AL80,'DATABASE F&amp;B'!$C$3:$F$216,4,0)</f>
        <v>0</v>
      </c>
      <c r="AP80" s="19">
        <f t="shared" si="136"/>
        <v>0</v>
      </c>
      <c r="AQ80" s="16"/>
      <c r="AR80" s="17">
        <f>VLOOKUP(AQ80,'DATABASE F&amp;B'!$C$3:$F$216,2,0)</f>
        <v>0</v>
      </c>
      <c r="AS80" s="18">
        <v>1</v>
      </c>
      <c r="AT80" s="19">
        <f>VLOOKUP(AQ80,'DATABASE F&amp;B'!$C$3:$F$216,4,0)</f>
        <v>0</v>
      </c>
      <c r="AU80" s="19">
        <f t="shared" si="137"/>
        <v>0</v>
      </c>
      <c r="AV80" s="16"/>
      <c r="AW80" s="17">
        <f>VLOOKUP(AV80,'DATABASE F&amp;B'!$C$3:$F$216,2,0)</f>
        <v>0</v>
      </c>
      <c r="AX80" s="18"/>
      <c r="AY80" s="19">
        <f>VLOOKUP(AV80,'DATABASE F&amp;B'!$C$3:$F$216,4,0)</f>
        <v>0</v>
      </c>
      <c r="AZ80" s="19">
        <f t="shared" si="138"/>
        <v>0</v>
      </c>
      <c r="BA80" s="16"/>
      <c r="BB80" s="17">
        <f>VLOOKUP(BA80,'DATABASE F&amp;B'!$C$3:$F$216,2,0)</f>
        <v>0</v>
      </c>
      <c r="BC80" s="18"/>
      <c r="BD80" s="19">
        <f>VLOOKUP(BA80,'DATABASE F&amp;B'!$C$3:$F$216,4,0)</f>
        <v>0</v>
      </c>
      <c r="BE80" s="19">
        <f t="shared" si="139"/>
        <v>0</v>
      </c>
      <c r="BF80" s="16"/>
      <c r="BG80" s="17">
        <f>VLOOKUP(BF80,'DATABASE F&amp;B'!$C$3:$F$216,2,0)</f>
        <v>0</v>
      </c>
      <c r="BH80" s="18"/>
      <c r="BI80" s="19">
        <f>VLOOKUP(BF80,'DATABASE F&amp;B'!$C$3:$F$216,4,0)</f>
        <v>0</v>
      </c>
      <c r="BJ80" s="19">
        <f t="shared" si="140"/>
        <v>0</v>
      </c>
      <c r="BK80" s="16"/>
      <c r="BL80" s="17">
        <f>VLOOKUP(BK80,'DATABASE F&amp;B'!$C$3:$F$210,2,0)</f>
        <v>0</v>
      </c>
      <c r="BM80" s="18"/>
      <c r="BN80" s="19">
        <f>VLOOKUP(BK80,'DATABASE F&amp;B'!$C$3:$F$210,4,0)</f>
        <v>0</v>
      </c>
      <c r="BO80" s="19">
        <f t="shared" si="141"/>
        <v>0</v>
      </c>
      <c r="BP80" s="16"/>
      <c r="BQ80" s="17">
        <f>VLOOKUP(BP80,'DATABASE F&amp;B'!$C$3:$F$210,2,0)</f>
        <v>0</v>
      </c>
      <c r="BR80" s="18"/>
      <c r="BS80" s="19">
        <f>VLOOKUP(BP80,'DATABASE F&amp;B'!$C$3:$F$210,4,0)</f>
        <v>0</v>
      </c>
      <c r="BT80" s="19">
        <f t="shared" si="142"/>
        <v>0</v>
      </c>
      <c r="BU80" s="16"/>
      <c r="BV80" s="17">
        <f>VLOOKUP(BU80,'DATABASE F&amp;B'!$C$3:$F$210,2,0)</f>
        <v>0</v>
      </c>
      <c r="BW80" s="18"/>
      <c r="BX80" s="19">
        <f>VLOOKUP(BU80,'DATABASE F&amp;B'!$C$3:$F$210,4,0)</f>
        <v>0</v>
      </c>
      <c r="BY80" s="19">
        <f t="shared" si="143"/>
        <v>0</v>
      </c>
      <c r="BZ80" s="16"/>
      <c r="CA80" s="17">
        <f>VLOOKUP(BZ80,'DATABASE F&amp;B'!$C$3:$F$210,2,0)</f>
        <v>0</v>
      </c>
      <c r="CB80" s="18"/>
      <c r="CC80" s="19">
        <f>VLOOKUP(BZ80,'DATABASE F&amp;B'!$C$3:$F$210,4,0)</f>
        <v>0</v>
      </c>
      <c r="CD80" s="19">
        <f t="shared" si="144"/>
        <v>0</v>
      </c>
    </row>
    <row r="81" spans="1:82" ht="13.5" x14ac:dyDescent="0.25">
      <c r="A81" s="32" t="str">
        <f t="shared" ref="A81:A144" si="147">CONCATENATE(F81,"-",E81,"-20",G81)</f>
        <v>05-'14-2026</v>
      </c>
      <c r="B81" s="22">
        <f t="shared" si="146"/>
        <v>77</v>
      </c>
      <c r="C81" s="22">
        <f t="shared" si="146"/>
        <v>77</v>
      </c>
      <c r="D81" s="34">
        <v>46156</v>
      </c>
      <c r="E81" s="35" t="s">
        <v>70</v>
      </c>
      <c r="F81" s="35" t="s">
        <v>202</v>
      </c>
      <c r="G81" s="52" t="s">
        <v>81</v>
      </c>
      <c r="H81" s="36" t="str">
        <f t="shared" si="145"/>
        <v>RJ-'140526-77</v>
      </c>
      <c r="I81" s="36" t="str">
        <f t="shared" ref="I81:I144" si="148">CONCATENATE(E81,"-",F81,"-20",G81)</f>
        <v>'14-05-2026</v>
      </c>
      <c r="J81" s="37" t="str">
        <f>VLOOKUP(D81,Laporan!$C$4:$D$34,2,0)</f>
        <v>Kamis</v>
      </c>
      <c r="K81" s="48"/>
      <c r="L81" s="13" t="s">
        <v>33</v>
      </c>
      <c r="M81" s="19">
        <f>SUMIF('DATABASE Room'!$B$3:$B$7,L81,'DATABASE Room'!$D$3:$D$7)</f>
        <v>0</v>
      </c>
      <c r="N81" s="13">
        <v>1</v>
      </c>
      <c r="O81" s="21">
        <f t="shared" ref="O81:O144" si="149">N81*M81</f>
        <v>0</v>
      </c>
      <c r="P81" s="38"/>
      <c r="Q81" s="19">
        <f t="shared" ref="Q81:Q144" si="150">P81*M81</f>
        <v>0</v>
      </c>
      <c r="R81" s="21">
        <f t="shared" ref="R81:R144" si="151">O81+Q81</f>
        <v>0</v>
      </c>
      <c r="S81" s="19">
        <f t="shared" ref="S81:S144" si="152">SUMIF($W$4:$CD$4,$S$4,W81:CD81)</f>
        <v>5</v>
      </c>
      <c r="T81" s="19">
        <f t="shared" ref="T81:T144" si="153">SUMIF($W$4:$CD$4,$T$4,W81:CD81)</f>
        <v>55000</v>
      </c>
      <c r="U81" s="21">
        <f t="shared" ref="U81:U144" si="154">R81+T81</f>
        <v>55000</v>
      </c>
      <c r="V81" s="39"/>
      <c r="W81" s="16">
        <v>103</v>
      </c>
      <c r="X81" s="17" t="str">
        <f>VLOOKUP(W81,'DATABASE F&amp;B'!$C$3:$F$216,2,0)</f>
        <v>LA RED</v>
      </c>
      <c r="Y81" s="18">
        <v>1</v>
      </c>
      <c r="Z81" s="19">
        <f>VLOOKUP(W81,'DATABASE F&amp;B'!$C$3:$F$216,4,0)</f>
        <v>55000</v>
      </c>
      <c r="AA81" s="19">
        <f t="shared" ref="AA81:AA144" si="155">Y81*Z81</f>
        <v>55000</v>
      </c>
      <c r="AB81" s="16"/>
      <c r="AC81" s="17">
        <f>VLOOKUP(AB81,'DATABASE F&amp;B'!$C$3:$F$216,2,0)</f>
        <v>0</v>
      </c>
      <c r="AD81" s="18">
        <v>1</v>
      </c>
      <c r="AE81" s="19">
        <f>VLOOKUP(AB81,'DATABASE F&amp;B'!$C$3:$F$216,4,0)</f>
        <v>0</v>
      </c>
      <c r="AF81" s="19">
        <f t="shared" ref="AF81:AF144" si="156">AD81*AE81</f>
        <v>0</v>
      </c>
      <c r="AG81" s="16"/>
      <c r="AH81" s="17">
        <f>VLOOKUP(AG81,'DATABASE F&amp;B'!$C$3:$F$216,2,0)</f>
        <v>0</v>
      </c>
      <c r="AI81" s="18">
        <v>1</v>
      </c>
      <c r="AJ81" s="19">
        <f>VLOOKUP(AG81,'DATABASE F&amp;B'!$C$3:$F$216,4,0)</f>
        <v>0</v>
      </c>
      <c r="AK81" s="19">
        <f t="shared" ref="AK81:AK144" si="157">AI81*AJ81</f>
        <v>0</v>
      </c>
      <c r="AL81" s="16"/>
      <c r="AM81" s="17">
        <f>VLOOKUP(AL81,'DATABASE F&amp;B'!$C$3:$F$216,2,0)</f>
        <v>0</v>
      </c>
      <c r="AN81" s="18">
        <v>1</v>
      </c>
      <c r="AO81" s="19">
        <f>VLOOKUP(AL81,'DATABASE F&amp;B'!$C$3:$F$216,4,0)</f>
        <v>0</v>
      </c>
      <c r="AP81" s="19">
        <f t="shared" ref="AP81:AP144" si="158">AN81*AO81</f>
        <v>0</v>
      </c>
      <c r="AQ81" s="16"/>
      <c r="AR81" s="17">
        <f>VLOOKUP(AQ81,'DATABASE F&amp;B'!$C$3:$F$216,2,0)</f>
        <v>0</v>
      </c>
      <c r="AS81" s="18">
        <v>1</v>
      </c>
      <c r="AT81" s="19">
        <f>VLOOKUP(AQ81,'DATABASE F&amp;B'!$C$3:$F$216,4,0)</f>
        <v>0</v>
      </c>
      <c r="AU81" s="19">
        <f t="shared" ref="AU81:AU144" si="159">AS81*AT81</f>
        <v>0</v>
      </c>
      <c r="AV81" s="16"/>
      <c r="AW81" s="17">
        <f>VLOOKUP(AV81,'DATABASE F&amp;B'!$C$3:$F$216,2,0)</f>
        <v>0</v>
      </c>
      <c r="AX81" s="18"/>
      <c r="AY81" s="19">
        <f>VLOOKUP(AV81,'DATABASE F&amp;B'!$C$3:$F$216,4,0)</f>
        <v>0</v>
      </c>
      <c r="AZ81" s="19">
        <f t="shared" ref="AZ81:AZ144" si="160">AX81*AY81</f>
        <v>0</v>
      </c>
      <c r="BA81" s="16"/>
      <c r="BB81" s="17">
        <f>VLOOKUP(BA81,'DATABASE F&amp;B'!$C$3:$F$216,2,0)</f>
        <v>0</v>
      </c>
      <c r="BC81" s="18"/>
      <c r="BD81" s="19">
        <f>VLOOKUP(BA81,'DATABASE F&amp;B'!$C$3:$F$216,4,0)</f>
        <v>0</v>
      </c>
      <c r="BE81" s="19">
        <f t="shared" ref="BE81:BE144" si="161">BC81*BD81</f>
        <v>0</v>
      </c>
      <c r="BF81" s="16"/>
      <c r="BG81" s="17">
        <f>VLOOKUP(BF81,'DATABASE F&amp;B'!$C$3:$F$216,2,0)</f>
        <v>0</v>
      </c>
      <c r="BH81" s="18"/>
      <c r="BI81" s="19">
        <f>VLOOKUP(BF81,'DATABASE F&amp;B'!$C$3:$F$216,4,0)</f>
        <v>0</v>
      </c>
      <c r="BJ81" s="19">
        <f t="shared" ref="BJ81:BJ144" si="162">BH81*BI81</f>
        <v>0</v>
      </c>
      <c r="BK81" s="16"/>
      <c r="BL81" s="17">
        <f>VLOOKUP(BK81,'DATABASE F&amp;B'!$C$3:$F$210,2,0)</f>
        <v>0</v>
      </c>
      <c r="BM81" s="18"/>
      <c r="BN81" s="19">
        <f>VLOOKUP(BK81,'DATABASE F&amp;B'!$C$3:$F$210,4,0)</f>
        <v>0</v>
      </c>
      <c r="BO81" s="19">
        <f t="shared" ref="BO81:BO144" si="163">BM81*BN81</f>
        <v>0</v>
      </c>
      <c r="BP81" s="16"/>
      <c r="BQ81" s="17">
        <f>VLOOKUP(BP81,'DATABASE F&amp;B'!$C$3:$F$210,2,0)</f>
        <v>0</v>
      </c>
      <c r="BR81" s="18"/>
      <c r="BS81" s="19">
        <f>VLOOKUP(BP81,'DATABASE F&amp;B'!$C$3:$F$210,4,0)</f>
        <v>0</v>
      </c>
      <c r="BT81" s="19">
        <f t="shared" ref="BT81:BT144" si="164">BR81*BS81</f>
        <v>0</v>
      </c>
      <c r="BU81" s="16"/>
      <c r="BV81" s="17">
        <f>VLOOKUP(BU81,'DATABASE F&amp;B'!$C$3:$F$210,2,0)</f>
        <v>0</v>
      </c>
      <c r="BW81" s="18"/>
      <c r="BX81" s="19">
        <f>VLOOKUP(BU81,'DATABASE F&amp;B'!$C$3:$F$210,4,0)</f>
        <v>0</v>
      </c>
      <c r="BY81" s="19">
        <f t="shared" ref="BY81:BY144" si="165">BW81*BX81</f>
        <v>0</v>
      </c>
      <c r="BZ81" s="16"/>
      <c r="CA81" s="17">
        <f>VLOOKUP(BZ81,'DATABASE F&amp;B'!$C$3:$F$210,2,0)</f>
        <v>0</v>
      </c>
      <c r="CB81" s="18"/>
      <c r="CC81" s="19">
        <f>VLOOKUP(BZ81,'DATABASE F&amp;B'!$C$3:$F$210,4,0)</f>
        <v>0</v>
      </c>
      <c r="CD81" s="19">
        <f t="shared" ref="CD81:CD144" si="166">CB81*CC81</f>
        <v>0</v>
      </c>
    </row>
    <row r="82" spans="1:82" ht="13.5" x14ac:dyDescent="0.25">
      <c r="A82" s="32" t="str">
        <f t="shared" si="147"/>
        <v>05-'14-2026</v>
      </c>
      <c r="B82" s="22">
        <f t="shared" si="146"/>
        <v>78</v>
      </c>
      <c r="C82" s="22">
        <f t="shared" si="146"/>
        <v>78</v>
      </c>
      <c r="D82" s="34">
        <v>46156</v>
      </c>
      <c r="E82" s="35" t="s">
        <v>70</v>
      </c>
      <c r="F82" s="35" t="s">
        <v>202</v>
      </c>
      <c r="G82" s="52" t="s">
        <v>81</v>
      </c>
      <c r="H82" s="36" t="str">
        <f t="shared" si="145"/>
        <v>RJ-'140526-78</v>
      </c>
      <c r="I82" s="36" t="str">
        <f t="shared" si="148"/>
        <v>'14-05-2026</v>
      </c>
      <c r="J82" s="37" t="str">
        <f>VLOOKUP(D82,Laporan!$C$4:$D$34,2,0)</f>
        <v>Kamis</v>
      </c>
      <c r="K82" s="48"/>
      <c r="L82" s="13" t="s">
        <v>33</v>
      </c>
      <c r="M82" s="19">
        <f>SUMIF('DATABASE Room'!$B$3:$B$7,L82,'DATABASE Room'!$D$3:$D$7)</f>
        <v>0</v>
      </c>
      <c r="N82" s="13">
        <v>1</v>
      </c>
      <c r="O82" s="21">
        <f t="shared" si="149"/>
        <v>0</v>
      </c>
      <c r="P82" s="38"/>
      <c r="Q82" s="19">
        <f t="shared" si="150"/>
        <v>0</v>
      </c>
      <c r="R82" s="21">
        <f t="shared" si="151"/>
        <v>0</v>
      </c>
      <c r="S82" s="19">
        <f t="shared" si="152"/>
        <v>5</v>
      </c>
      <c r="T82" s="19">
        <f t="shared" si="153"/>
        <v>50000</v>
      </c>
      <c r="U82" s="21">
        <f t="shared" si="154"/>
        <v>50000</v>
      </c>
      <c r="V82" s="39"/>
      <c r="W82" s="16">
        <v>1</v>
      </c>
      <c r="X82" s="17" t="str">
        <f>VLOOKUP(W82,'DATABASE F&amp;B'!$C$3:$F$216,2,0)</f>
        <v>ANGGUR HIJAU</v>
      </c>
      <c r="Y82" s="18">
        <v>1</v>
      </c>
      <c r="Z82" s="19">
        <f>VLOOKUP(W82,'DATABASE F&amp;B'!$C$3:$F$216,4,0)</f>
        <v>50000</v>
      </c>
      <c r="AA82" s="19">
        <f t="shared" si="155"/>
        <v>50000</v>
      </c>
      <c r="AB82" s="16"/>
      <c r="AC82" s="17">
        <f>VLOOKUP(AB82,'DATABASE F&amp;B'!$C$3:$F$216,2,0)</f>
        <v>0</v>
      </c>
      <c r="AD82" s="18">
        <v>1</v>
      </c>
      <c r="AE82" s="19">
        <f>VLOOKUP(AB82,'DATABASE F&amp;B'!$C$3:$F$216,4,0)</f>
        <v>0</v>
      </c>
      <c r="AF82" s="19">
        <f t="shared" si="156"/>
        <v>0</v>
      </c>
      <c r="AG82" s="16"/>
      <c r="AH82" s="17">
        <f>VLOOKUP(AG82,'DATABASE F&amp;B'!$C$3:$F$216,2,0)</f>
        <v>0</v>
      </c>
      <c r="AI82" s="18">
        <v>1</v>
      </c>
      <c r="AJ82" s="19">
        <f>VLOOKUP(AG82,'DATABASE F&amp;B'!$C$3:$F$216,4,0)</f>
        <v>0</v>
      </c>
      <c r="AK82" s="19">
        <f t="shared" si="157"/>
        <v>0</v>
      </c>
      <c r="AL82" s="16"/>
      <c r="AM82" s="17">
        <f>VLOOKUP(AL82,'DATABASE F&amp;B'!$C$3:$F$216,2,0)</f>
        <v>0</v>
      </c>
      <c r="AN82" s="18">
        <v>1</v>
      </c>
      <c r="AO82" s="19">
        <f>VLOOKUP(AL82,'DATABASE F&amp;B'!$C$3:$F$216,4,0)</f>
        <v>0</v>
      </c>
      <c r="AP82" s="19">
        <f t="shared" si="158"/>
        <v>0</v>
      </c>
      <c r="AQ82" s="16"/>
      <c r="AR82" s="17">
        <f>VLOOKUP(AQ82,'DATABASE F&amp;B'!$C$3:$F$216,2,0)</f>
        <v>0</v>
      </c>
      <c r="AS82" s="18">
        <v>1</v>
      </c>
      <c r="AT82" s="19">
        <f>VLOOKUP(AQ82,'DATABASE F&amp;B'!$C$3:$F$216,4,0)</f>
        <v>0</v>
      </c>
      <c r="AU82" s="19">
        <f t="shared" si="159"/>
        <v>0</v>
      </c>
      <c r="AV82" s="16"/>
      <c r="AW82" s="17">
        <f>VLOOKUP(AV82,'DATABASE F&amp;B'!$C$3:$F$216,2,0)</f>
        <v>0</v>
      </c>
      <c r="AX82" s="18"/>
      <c r="AY82" s="19">
        <f>VLOOKUP(AV82,'DATABASE F&amp;B'!$C$3:$F$216,4,0)</f>
        <v>0</v>
      </c>
      <c r="AZ82" s="19">
        <f t="shared" si="160"/>
        <v>0</v>
      </c>
      <c r="BA82" s="16"/>
      <c r="BB82" s="17">
        <f>VLOOKUP(BA82,'DATABASE F&amp;B'!$C$3:$F$216,2,0)</f>
        <v>0</v>
      </c>
      <c r="BC82" s="18"/>
      <c r="BD82" s="19">
        <f>VLOOKUP(BA82,'DATABASE F&amp;B'!$C$3:$F$216,4,0)</f>
        <v>0</v>
      </c>
      <c r="BE82" s="19">
        <f t="shared" si="161"/>
        <v>0</v>
      </c>
      <c r="BF82" s="16"/>
      <c r="BG82" s="17">
        <f>VLOOKUP(BF82,'DATABASE F&amp;B'!$C$3:$F$216,2,0)</f>
        <v>0</v>
      </c>
      <c r="BH82" s="18"/>
      <c r="BI82" s="19">
        <f>VLOOKUP(BF82,'DATABASE F&amp;B'!$C$3:$F$216,4,0)</f>
        <v>0</v>
      </c>
      <c r="BJ82" s="19">
        <f t="shared" si="162"/>
        <v>0</v>
      </c>
      <c r="BK82" s="16"/>
      <c r="BL82" s="17">
        <f>VLOOKUP(BK82,'DATABASE F&amp;B'!$C$3:$F$210,2,0)</f>
        <v>0</v>
      </c>
      <c r="BM82" s="18"/>
      <c r="BN82" s="19">
        <f>VLOOKUP(BK82,'DATABASE F&amp;B'!$C$3:$F$210,4,0)</f>
        <v>0</v>
      </c>
      <c r="BO82" s="19">
        <f t="shared" si="163"/>
        <v>0</v>
      </c>
      <c r="BP82" s="16"/>
      <c r="BQ82" s="17">
        <f>VLOOKUP(BP82,'DATABASE F&amp;B'!$C$3:$F$210,2,0)</f>
        <v>0</v>
      </c>
      <c r="BR82" s="18"/>
      <c r="BS82" s="19">
        <f>VLOOKUP(BP82,'DATABASE F&amp;B'!$C$3:$F$210,4,0)</f>
        <v>0</v>
      </c>
      <c r="BT82" s="19">
        <f t="shared" si="164"/>
        <v>0</v>
      </c>
      <c r="BU82" s="16"/>
      <c r="BV82" s="17">
        <f>VLOOKUP(BU82,'DATABASE F&amp;B'!$C$3:$F$210,2,0)</f>
        <v>0</v>
      </c>
      <c r="BW82" s="18"/>
      <c r="BX82" s="19">
        <f>VLOOKUP(BU82,'DATABASE F&amp;B'!$C$3:$F$210,4,0)</f>
        <v>0</v>
      </c>
      <c r="BY82" s="19">
        <f t="shared" si="165"/>
        <v>0</v>
      </c>
      <c r="BZ82" s="16"/>
      <c r="CA82" s="17">
        <f>VLOOKUP(BZ82,'DATABASE F&amp;B'!$C$3:$F$210,2,0)</f>
        <v>0</v>
      </c>
      <c r="CB82" s="18"/>
      <c r="CC82" s="19">
        <f>VLOOKUP(BZ82,'DATABASE F&amp;B'!$C$3:$F$210,4,0)</f>
        <v>0</v>
      </c>
      <c r="CD82" s="19">
        <f t="shared" si="166"/>
        <v>0</v>
      </c>
    </row>
    <row r="83" spans="1:82" ht="13.5" x14ac:dyDescent="0.25">
      <c r="A83" s="32" t="str">
        <f t="shared" si="147"/>
        <v>05-'14-2026</v>
      </c>
      <c r="B83" s="22">
        <f t="shared" si="146"/>
        <v>79</v>
      </c>
      <c r="C83" s="22">
        <f t="shared" si="146"/>
        <v>79</v>
      </c>
      <c r="D83" s="34">
        <v>46156</v>
      </c>
      <c r="E83" s="35" t="s">
        <v>70</v>
      </c>
      <c r="F83" s="35" t="s">
        <v>202</v>
      </c>
      <c r="G83" s="52" t="s">
        <v>81</v>
      </c>
      <c r="H83" s="36" t="str">
        <f t="shared" si="145"/>
        <v>RJ-'140526-79</v>
      </c>
      <c r="I83" s="36" t="str">
        <f t="shared" si="148"/>
        <v>'14-05-2026</v>
      </c>
      <c r="J83" s="37" t="str">
        <f>VLOOKUP(D83,Laporan!$C$4:$D$34,2,0)</f>
        <v>Kamis</v>
      </c>
      <c r="K83" s="48"/>
      <c r="L83" s="13" t="s">
        <v>33</v>
      </c>
      <c r="M83" s="19">
        <f>SUMIF('DATABASE Room'!$B$3:$B$7,L83,'DATABASE Room'!$D$3:$D$7)</f>
        <v>0</v>
      </c>
      <c r="N83" s="13">
        <v>1</v>
      </c>
      <c r="O83" s="21">
        <f t="shared" si="149"/>
        <v>0</v>
      </c>
      <c r="P83" s="38"/>
      <c r="Q83" s="19">
        <f t="shared" si="150"/>
        <v>0</v>
      </c>
      <c r="R83" s="21">
        <f t="shared" si="151"/>
        <v>0</v>
      </c>
      <c r="S83" s="19">
        <f t="shared" si="152"/>
        <v>5</v>
      </c>
      <c r="T83" s="19">
        <f t="shared" si="153"/>
        <v>115000</v>
      </c>
      <c r="U83" s="21">
        <f t="shared" si="154"/>
        <v>115000</v>
      </c>
      <c r="V83" s="39"/>
      <c r="W83" s="16">
        <v>2</v>
      </c>
      <c r="X83" s="17" t="str">
        <f>VLOOKUP(W83,'DATABASE F&amp;B'!$C$3:$F$216,2,0)</f>
        <v>USUS GORENG ORI</v>
      </c>
      <c r="Y83" s="18">
        <v>1</v>
      </c>
      <c r="Z83" s="19">
        <f>VLOOKUP(W83,'DATABASE F&amp;B'!$C$3:$F$216,4,0)</f>
        <v>35000</v>
      </c>
      <c r="AA83" s="19">
        <f t="shared" si="155"/>
        <v>35000</v>
      </c>
      <c r="AB83" s="16">
        <v>79</v>
      </c>
      <c r="AC83" s="17" t="str">
        <f>VLOOKUP(AB83,'DATABASE F&amp;B'!$C$3:$F$216,2,0)</f>
        <v>ERDINGER HELLES LAGER 330ML</v>
      </c>
      <c r="AD83" s="18">
        <v>1</v>
      </c>
      <c r="AE83" s="19">
        <f>VLOOKUP(AB83,'DATABASE F&amp;B'!$C$3:$F$216,4,0)</f>
        <v>80000</v>
      </c>
      <c r="AF83" s="19">
        <f t="shared" si="156"/>
        <v>80000</v>
      </c>
      <c r="AG83" s="16"/>
      <c r="AH83" s="17">
        <f>VLOOKUP(AG83,'DATABASE F&amp;B'!$C$3:$F$216,2,0)</f>
        <v>0</v>
      </c>
      <c r="AI83" s="18">
        <v>1</v>
      </c>
      <c r="AJ83" s="19">
        <f>VLOOKUP(AG83,'DATABASE F&amp;B'!$C$3:$F$216,4,0)</f>
        <v>0</v>
      </c>
      <c r="AK83" s="19">
        <f t="shared" si="157"/>
        <v>0</v>
      </c>
      <c r="AL83" s="16"/>
      <c r="AM83" s="17">
        <f>VLOOKUP(AL83,'DATABASE F&amp;B'!$C$3:$F$216,2,0)</f>
        <v>0</v>
      </c>
      <c r="AN83" s="18">
        <v>1</v>
      </c>
      <c r="AO83" s="19">
        <f>VLOOKUP(AL83,'DATABASE F&amp;B'!$C$3:$F$216,4,0)</f>
        <v>0</v>
      </c>
      <c r="AP83" s="19">
        <f t="shared" si="158"/>
        <v>0</v>
      </c>
      <c r="AQ83" s="16"/>
      <c r="AR83" s="17">
        <f>VLOOKUP(AQ83,'DATABASE F&amp;B'!$C$3:$F$216,2,0)</f>
        <v>0</v>
      </c>
      <c r="AS83" s="18">
        <v>1</v>
      </c>
      <c r="AT83" s="19">
        <f>VLOOKUP(AQ83,'DATABASE F&amp;B'!$C$3:$F$216,4,0)</f>
        <v>0</v>
      </c>
      <c r="AU83" s="19">
        <f t="shared" si="159"/>
        <v>0</v>
      </c>
      <c r="AV83" s="16"/>
      <c r="AW83" s="17">
        <f>VLOOKUP(AV83,'DATABASE F&amp;B'!$C$3:$F$216,2,0)</f>
        <v>0</v>
      </c>
      <c r="AX83" s="18"/>
      <c r="AY83" s="19">
        <f>VLOOKUP(AV83,'DATABASE F&amp;B'!$C$3:$F$216,4,0)</f>
        <v>0</v>
      </c>
      <c r="AZ83" s="19">
        <f t="shared" si="160"/>
        <v>0</v>
      </c>
      <c r="BA83" s="16"/>
      <c r="BB83" s="17">
        <f>VLOOKUP(BA83,'DATABASE F&amp;B'!$C$3:$F$216,2,0)</f>
        <v>0</v>
      </c>
      <c r="BC83" s="18"/>
      <c r="BD83" s="19">
        <f>VLOOKUP(BA83,'DATABASE F&amp;B'!$C$3:$F$216,4,0)</f>
        <v>0</v>
      </c>
      <c r="BE83" s="19">
        <f t="shared" si="161"/>
        <v>0</v>
      </c>
      <c r="BF83" s="16"/>
      <c r="BG83" s="17">
        <f>VLOOKUP(BF83,'DATABASE F&amp;B'!$C$3:$F$216,2,0)</f>
        <v>0</v>
      </c>
      <c r="BH83" s="18"/>
      <c r="BI83" s="19">
        <f>VLOOKUP(BF83,'DATABASE F&amp;B'!$C$3:$F$216,4,0)</f>
        <v>0</v>
      </c>
      <c r="BJ83" s="19">
        <f t="shared" si="162"/>
        <v>0</v>
      </c>
      <c r="BK83" s="16"/>
      <c r="BL83" s="17">
        <f>VLOOKUP(BK83,'DATABASE F&amp;B'!$C$3:$F$210,2,0)</f>
        <v>0</v>
      </c>
      <c r="BM83" s="18"/>
      <c r="BN83" s="19">
        <f>VLOOKUP(BK83,'DATABASE F&amp;B'!$C$3:$F$210,4,0)</f>
        <v>0</v>
      </c>
      <c r="BO83" s="19">
        <f t="shared" si="163"/>
        <v>0</v>
      </c>
      <c r="BP83" s="16"/>
      <c r="BQ83" s="17">
        <f>VLOOKUP(BP83,'DATABASE F&amp;B'!$C$3:$F$210,2,0)</f>
        <v>0</v>
      </c>
      <c r="BR83" s="18"/>
      <c r="BS83" s="19">
        <f>VLOOKUP(BP83,'DATABASE F&amp;B'!$C$3:$F$210,4,0)</f>
        <v>0</v>
      </c>
      <c r="BT83" s="19">
        <f t="shared" si="164"/>
        <v>0</v>
      </c>
      <c r="BU83" s="16"/>
      <c r="BV83" s="17">
        <f>VLOOKUP(BU83,'DATABASE F&amp;B'!$C$3:$F$210,2,0)</f>
        <v>0</v>
      </c>
      <c r="BW83" s="18"/>
      <c r="BX83" s="19">
        <f>VLOOKUP(BU83,'DATABASE F&amp;B'!$C$3:$F$210,4,0)</f>
        <v>0</v>
      </c>
      <c r="BY83" s="19">
        <f t="shared" si="165"/>
        <v>0</v>
      </c>
      <c r="BZ83" s="16"/>
      <c r="CA83" s="17">
        <f>VLOOKUP(BZ83,'DATABASE F&amp;B'!$C$3:$F$210,2,0)</f>
        <v>0</v>
      </c>
      <c r="CB83" s="18"/>
      <c r="CC83" s="19">
        <f>VLOOKUP(BZ83,'DATABASE F&amp;B'!$C$3:$F$210,4,0)</f>
        <v>0</v>
      </c>
      <c r="CD83" s="19">
        <f t="shared" si="166"/>
        <v>0</v>
      </c>
    </row>
    <row r="84" spans="1:82" ht="13.5" x14ac:dyDescent="0.25">
      <c r="A84" s="32" t="str">
        <f t="shared" si="147"/>
        <v>05-'15-2026</v>
      </c>
      <c r="B84" s="22">
        <f t="shared" si="146"/>
        <v>80</v>
      </c>
      <c r="C84" s="22">
        <f t="shared" si="146"/>
        <v>80</v>
      </c>
      <c r="D84" s="34">
        <v>46157</v>
      </c>
      <c r="E84" s="35" t="s">
        <v>49</v>
      </c>
      <c r="F84" s="35" t="s">
        <v>202</v>
      </c>
      <c r="G84" s="52" t="s">
        <v>81</v>
      </c>
      <c r="H84" s="36" t="str">
        <f t="shared" si="145"/>
        <v>RJ-'150526-80</v>
      </c>
      <c r="I84" s="36" t="str">
        <f t="shared" si="148"/>
        <v>'15-05-2026</v>
      </c>
      <c r="J84" s="37" t="str">
        <f>VLOOKUP(D84,Laporan!$C$4:$D$34,2,0)</f>
        <v>Jumat</v>
      </c>
      <c r="K84" s="48"/>
      <c r="L84" s="13" t="s">
        <v>33</v>
      </c>
      <c r="M84" s="19">
        <f>SUMIF('DATABASE Room'!$B$3:$B$7,L84,'DATABASE Room'!$D$3:$D$7)</f>
        <v>0</v>
      </c>
      <c r="N84" s="13">
        <v>1</v>
      </c>
      <c r="O84" s="21">
        <f t="shared" si="149"/>
        <v>0</v>
      </c>
      <c r="P84" s="38"/>
      <c r="Q84" s="19">
        <f t="shared" si="150"/>
        <v>0</v>
      </c>
      <c r="R84" s="21">
        <f t="shared" si="151"/>
        <v>0</v>
      </c>
      <c r="S84" s="19">
        <f t="shared" si="152"/>
        <v>5</v>
      </c>
      <c r="T84" s="19">
        <f t="shared" si="153"/>
        <v>75000</v>
      </c>
      <c r="U84" s="21">
        <f t="shared" si="154"/>
        <v>75000</v>
      </c>
      <c r="V84" s="39"/>
      <c r="W84" s="16">
        <v>96</v>
      </c>
      <c r="X84" s="17" t="str">
        <f>VLOOKUP(W84,'DATABASE F&amp;B'!$C$3:$F$216,2,0)</f>
        <v>MARLBORO LIGHT</v>
      </c>
      <c r="Y84" s="18">
        <v>1</v>
      </c>
      <c r="Z84" s="19">
        <f>VLOOKUP(W84,'DATABASE F&amp;B'!$C$3:$F$216,4,0)</f>
        <v>75000</v>
      </c>
      <c r="AA84" s="19">
        <f t="shared" si="155"/>
        <v>75000</v>
      </c>
      <c r="AB84" s="16"/>
      <c r="AC84" s="17">
        <f>VLOOKUP(AB84,'DATABASE F&amp;B'!$C$3:$F$216,2,0)</f>
        <v>0</v>
      </c>
      <c r="AD84" s="18">
        <v>1</v>
      </c>
      <c r="AE84" s="19">
        <f>VLOOKUP(AB84,'DATABASE F&amp;B'!$C$3:$F$216,4,0)</f>
        <v>0</v>
      </c>
      <c r="AF84" s="19">
        <f t="shared" si="156"/>
        <v>0</v>
      </c>
      <c r="AG84" s="16"/>
      <c r="AH84" s="17">
        <f>VLOOKUP(AG84,'DATABASE F&amp;B'!$C$3:$F$216,2,0)</f>
        <v>0</v>
      </c>
      <c r="AI84" s="18">
        <v>1</v>
      </c>
      <c r="AJ84" s="19">
        <f>VLOOKUP(AG84,'DATABASE F&amp;B'!$C$3:$F$216,4,0)</f>
        <v>0</v>
      </c>
      <c r="AK84" s="19">
        <f t="shared" si="157"/>
        <v>0</v>
      </c>
      <c r="AL84" s="16"/>
      <c r="AM84" s="17">
        <f>VLOOKUP(AL84,'DATABASE F&amp;B'!$C$3:$F$216,2,0)</f>
        <v>0</v>
      </c>
      <c r="AN84" s="18">
        <v>1</v>
      </c>
      <c r="AO84" s="19">
        <f>VLOOKUP(AL84,'DATABASE F&amp;B'!$C$3:$F$216,4,0)</f>
        <v>0</v>
      </c>
      <c r="AP84" s="19">
        <f t="shared" si="158"/>
        <v>0</v>
      </c>
      <c r="AQ84" s="16"/>
      <c r="AR84" s="17">
        <f>VLOOKUP(AQ84,'DATABASE F&amp;B'!$C$3:$F$216,2,0)</f>
        <v>0</v>
      </c>
      <c r="AS84" s="18">
        <v>1</v>
      </c>
      <c r="AT84" s="19">
        <f>VLOOKUP(AQ84,'DATABASE F&amp;B'!$C$3:$F$216,4,0)</f>
        <v>0</v>
      </c>
      <c r="AU84" s="19">
        <f t="shared" si="159"/>
        <v>0</v>
      </c>
      <c r="AV84" s="16"/>
      <c r="AW84" s="17">
        <f>VLOOKUP(AV84,'DATABASE F&amp;B'!$C$3:$F$216,2,0)</f>
        <v>0</v>
      </c>
      <c r="AX84" s="18"/>
      <c r="AY84" s="19">
        <f>VLOOKUP(AV84,'DATABASE F&amp;B'!$C$3:$F$216,4,0)</f>
        <v>0</v>
      </c>
      <c r="AZ84" s="19">
        <f t="shared" si="160"/>
        <v>0</v>
      </c>
      <c r="BA84" s="16"/>
      <c r="BB84" s="17">
        <f>VLOOKUP(BA84,'DATABASE F&amp;B'!$C$3:$F$216,2,0)</f>
        <v>0</v>
      </c>
      <c r="BC84" s="18"/>
      <c r="BD84" s="19">
        <f>VLOOKUP(BA84,'DATABASE F&amp;B'!$C$3:$F$216,4,0)</f>
        <v>0</v>
      </c>
      <c r="BE84" s="19">
        <f t="shared" si="161"/>
        <v>0</v>
      </c>
      <c r="BF84" s="16"/>
      <c r="BG84" s="17">
        <f>VLOOKUP(BF84,'DATABASE F&amp;B'!$C$3:$F$216,2,0)</f>
        <v>0</v>
      </c>
      <c r="BH84" s="18"/>
      <c r="BI84" s="19">
        <f>VLOOKUP(BF84,'DATABASE F&amp;B'!$C$3:$F$216,4,0)</f>
        <v>0</v>
      </c>
      <c r="BJ84" s="19">
        <f t="shared" si="162"/>
        <v>0</v>
      </c>
      <c r="BK84" s="16"/>
      <c r="BL84" s="17">
        <f>VLOOKUP(BK84,'DATABASE F&amp;B'!$C$3:$F$210,2,0)</f>
        <v>0</v>
      </c>
      <c r="BM84" s="18"/>
      <c r="BN84" s="19">
        <f>VLOOKUP(BK84,'DATABASE F&amp;B'!$C$3:$F$210,4,0)</f>
        <v>0</v>
      </c>
      <c r="BO84" s="19">
        <f t="shared" si="163"/>
        <v>0</v>
      </c>
      <c r="BP84" s="16"/>
      <c r="BQ84" s="17">
        <f>VLOOKUP(BP84,'DATABASE F&amp;B'!$C$3:$F$210,2,0)</f>
        <v>0</v>
      </c>
      <c r="BR84" s="18"/>
      <c r="BS84" s="19">
        <f>VLOOKUP(BP84,'DATABASE F&amp;B'!$C$3:$F$210,4,0)</f>
        <v>0</v>
      </c>
      <c r="BT84" s="19">
        <f t="shared" si="164"/>
        <v>0</v>
      </c>
      <c r="BU84" s="16"/>
      <c r="BV84" s="17">
        <f>VLOOKUP(BU84,'DATABASE F&amp;B'!$C$3:$F$210,2,0)</f>
        <v>0</v>
      </c>
      <c r="BW84" s="18"/>
      <c r="BX84" s="19">
        <f>VLOOKUP(BU84,'DATABASE F&amp;B'!$C$3:$F$210,4,0)</f>
        <v>0</v>
      </c>
      <c r="BY84" s="19">
        <f t="shared" si="165"/>
        <v>0</v>
      </c>
      <c r="BZ84" s="16"/>
      <c r="CA84" s="17">
        <f>VLOOKUP(BZ84,'DATABASE F&amp;B'!$C$3:$F$210,2,0)</f>
        <v>0</v>
      </c>
      <c r="CB84" s="18"/>
      <c r="CC84" s="19">
        <f>VLOOKUP(BZ84,'DATABASE F&amp;B'!$C$3:$F$210,4,0)</f>
        <v>0</v>
      </c>
      <c r="CD84" s="19">
        <f t="shared" si="166"/>
        <v>0</v>
      </c>
    </row>
    <row r="85" spans="1:82" ht="13.5" x14ac:dyDescent="0.25">
      <c r="A85" s="32" t="str">
        <f t="shared" si="147"/>
        <v>05-'15-2026</v>
      </c>
      <c r="B85" s="22">
        <f t="shared" si="146"/>
        <v>81</v>
      </c>
      <c r="C85" s="22">
        <f t="shared" si="146"/>
        <v>81</v>
      </c>
      <c r="D85" s="34">
        <v>46157</v>
      </c>
      <c r="E85" s="35" t="s">
        <v>49</v>
      </c>
      <c r="F85" s="35" t="s">
        <v>202</v>
      </c>
      <c r="G85" s="52" t="s">
        <v>81</v>
      </c>
      <c r="H85" s="36" t="str">
        <f t="shared" si="145"/>
        <v>RJ-'150526-81</v>
      </c>
      <c r="I85" s="36" t="str">
        <f t="shared" si="148"/>
        <v>'15-05-2026</v>
      </c>
      <c r="J85" s="37" t="str">
        <f>VLOOKUP(D85,Laporan!$C$4:$D$34,2,0)</f>
        <v>Jumat</v>
      </c>
      <c r="K85" s="48"/>
      <c r="L85" s="13" t="s">
        <v>33</v>
      </c>
      <c r="M85" s="19">
        <f>SUMIF('DATABASE Room'!$B$3:$B$7,L85,'DATABASE Room'!$D$3:$D$7)</f>
        <v>0</v>
      </c>
      <c r="N85" s="13">
        <v>1</v>
      </c>
      <c r="O85" s="21">
        <f t="shared" si="149"/>
        <v>0</v>
      </c>
      <c r="P85" s="38"/>
      <c r="Q85" s="19">
        <f t="shared" si="150"/>
        <v>0</v>
      </c>
      <c r="R85" s="21">
        <f t="shared" si="151"/>
        <v>0</v>
      </c>
      <c r="S85" s="19">
        <f t="shared" si="152"/>
        <v>5</v>
      </c>
      <c r="T85" s="19">
        <f t="shared" si="153"/>
        <v>30000</v>
      </c>
      <c r="U85" s="21">
        <f t="shared" si="154"/>
        <v>30000</v>
      </c>
      <c r="V85" s="39"/>
      <c r="W85" s="16">
        <v>4</v>
      </c>
      <c r="X85" s="17" t="str">
        <f>VLOOKUP(W85,'DATABASE F&amp;B'!$C$3:$F$216,2,0)</f>
        <v>KERIPIK TEMPE</v>
      </c>
      <c r="Y85" s="18">
        <v>1</v>
      </c>
      <c r="Z85" s="19">
        <f>VLOOKUP(W85,'DATABASE F&amp;B'!$C$3:$F$216,4,0)</f>
        <v>30000</v>
      </c>
      <c r="AA85" s="19">
        <f t="shared" si="155"/>
        <v>30000</v>
      </c>
      <c r="AB85" s="16"/>
      <c r="AC85" s="17">
        <f>VLOOKUP(AB85,'DATABASE F&amp;B'!$C$3:$F$216,2,0)</f>
        <v>0</v>
      </c>
      <c r="AD85" s="18">
        <v>1</v>
      </c>
      <c r="AE85" s="19">
        <f>VLOOKUP(AB85,'DATABASE F&amp;B'!$C$3:$F$216,4,0)</f>
        <v>0</v>
      </c>
      <c r="AF85" s="19">
        <f t="shared" si="156"/>
        <v>0</v>
      </c>
      <c r="AG85" s="16"/>
      <c r="AH85" s="17">
        <f>VLOOKUP(AG85,'DATABASE F&amp;B'!$C$3:$F$216,2,0)</f>
        <v>0</v>
      </c>
      <c r="AI85" s="18">
        <v>1</v>
      </c>
      <c r="AJ85" s="19">
        <f>VLOOKUP(AG85,'DATABASE F&amp;B'!$C$3:$F$216,4,0)</f>
        <v>0</v>
      </c>
      <c r="AK85" s="19">
        <f t="shared" si="157"/>
        <v>0</v>
      </c>
      <c r="AL85" s="16"/>
      <c r="AM85" s="17">
        <f>VLOOKUP(AL85,'DATABASE F&amp;B'!$C$3:$F$216,2,0)</f>
        <v>0</v>
      </c>
      <c r="AN85" s="18">
        <v>1</v>
      </c>
      <c r="AO85" s="19">
        <f>VLOOKUP(AL85,'DATABASE F&amp;B'!$C$3:$F$216,4,0)</f>
        <v>0</v>
      </c>
      <c r="AP85" s="19">
        <f t="shared" si="158"/>
        <v>0</v>
      </c>
      <c r="AQ85" s="16"/>
      <c r="AR85" s="17">
        <f>VLOOKUP(AQ85,'DATABASE F&amp;B'!$C$3:$F$216,2,0)</f>
        <v>0</v>
      </c>
      <c r="AS85" s="18">
        <v>1</v>
      </c>
      <c r="AT85" s="19">
        <f>VLOOKUP(AQ85,'DATABASE F&amp;B'!$C$3:$F$216,4,0)</f>
        <v>0</v>
      </c>
      <c r="AU85" s="19">
        <f t="shared" si="159"/>
        <v>0</v>
      </c>
      <c r="AV85" s="16"/>
      <c r="AW85" s="17">
        <f>VLOOKUP(AV85,'DATABASE F&amp;B'!$C$3:$F$216,2,0)</f>
        <v>0</v>
      </c>
      <c r="AX85" s="18"/>
      <c r="AY85" s="19">
        <f>VLOOKUP(AV85,'DATABASE F&amp;B'!$C$3:$F$216,4,0)</f>
        <v>0</v>
      </c>
      <c r="AZ85" s="19">
        <f t="shared" si="160"/>
        <v>0</v>
      </c>
      <c r="BA85" s="16"/>
      <c r="BB85" s="17">
        <f>VLOOKUP(BA85,'DATABASE F&amp;B'!$C$3:$F$216,2,0)</f>
        <v>0</v>
      </c>
      <c r="BC85" s="18"/>
      <c r="BD85" s="19">
        <f>VLOOKUP(BA85,'DATABASE F&amp;B'!$C$3:$F$216,4,0)</f>
        <v>0</v>
      </c>
      <c r="BE85" s="19">
        <f t="shared" si="161"/>
        <v>0</v>
      </c>
      <c r="BF85" s="16"/>
      <c r="BG85" s="17">
        <f>VLOOKUP(BF85,'DATABASE F&amp;B'!$C$3:$F$216,2,0)</f>
        <v>0</v>
      </c>
      <c r="BH85" s="18"/>
      <c r="BI85" s="19">
        <f>VLOOKUP(BF85,'DATABASE F&amp;B'!$C$3:$F$216,4,0)</f>
        <v>0</v>
      </c>
      <c r="BJ85" s="19">
        <f t="shared" si="162"/>
        <v>0</v>
      </c>
      <c r="BK85" s="16"/>
      <c r="BL85" s="17">
        <f>VLOOKUP(BK85,'DATABASE F&amp;B'!$C$3:$F$210,2,0)</f>
        <v>0</v>
      </c>
      <c r="BM85" s="18"/>
      <c r="BN85" s="19">
        <f>VLOOKUP(BK85,'DATABASE F&amp;B'!$C$3:$F$210,4,0)</f>
        <v>0</v>
      </c>
      <c r="BO85" s="19">
        <f t="shared" si="163"/>
        <v>0</v>
      </c>
      <c r="BP85" s="16"/>
      <c r="BQ85" s="17">
        <f>VLOOKUP(BP85,'DATABASE F&amp;B'!$C$3:$F$210,2,0)</f>
        <v>0</v>
      </c>
      <c r="BR85" s="18"/>
      <c r="BS85" s="19">
        <f>VLOOKUP(BP85,'DATABASE F&amp;B'!$C$3:$F$210,4,0)</f>
        <v>0</v>
      </c>
      <c r="BT85" s="19">
        <f t="shared" si="164"/>
        <v>0</v>
      </c>
      <c r="BU85" s="16"/>
      <c r="BV85" s="17">
        <f>VLOOKUP(BU85,'DATABASE F&amp;B'!$C$3:$F$210,2,0)</f>
        <v>0</v>
      </c>
      <c r="BW85" s="18"/>
      <c r="BX85" s="19">
        <f>VLOOKUP(BU85,'DATABASE F&amp;B'!$C$3:$F$210,4,0)</f>
        <v>0</v>
      </c>
      <c r="BY85" s="19">
        <f t="shared" si="165"/>
        <v>0</v>
      </c>
      <c r="BZ85" s="16"/>
      <c r="CA85" s="17">
        <f>VLOOKUP(BZ85,'DATABASE F&amp;B'!$C$3:$F$210,2,0)</f>
        <v>0</v>
      </c>
      <c r="CB85" s="18"/>
      <c r="CC85" s="19">
        <f>VLOOKUP(BZ85,'DATABASE F&amp;B'!$C$3:$F$210,4,0)</f>
        <v>0</v>
      </c>
      <c r="CD85" s="19">
        <f t="shared" si="166"/>
        <v>0</v>
      </c>
    </row>
    <row r="86" spans="1:82" ht="13.5" x14ac:dyDescent="0.25">
      <c r="A86" s="32" t="str">
        <f t="shared" si="147"/>
        <v>05-'15-2026</v>
      </c>
      <c r="B86" s="22">
        <f t="shared" si="146"/>
        <v>82</v>
      </c>
      <c r="C86" s="22">
        <f t="shared" si="146"/>
        <v>82</v>
      </c>
      <c r="D86" s="34">
        <v>46157</v>
      </c>
      <c r="E86" s="35" t="s">
        <v>49</v>
      </c>
      <c r="F86" s="35" t="s">
        <v>202</v>
      </c>
      <c r="G86" s="52" t="s">
        <v>81</v>
      </c>
      <c r="H86" s="36" t="str">
        <f t="shared" si="145"/>
        <v>RJ-'150526-82</v>
      </c>
      <c r="I86" s="36" t="str">
        <f t="shared" si="148"/>
        <v>'15-05-2026</v>
      </c>
      <c r="J86" s="37" t="str">
        <f>VLOOKUP(D86,Laporan!$C$4:$D$34,2,0)</f>
        <v>Jumat</v>
      </c>
      <c r="K86" s="48"/>
      <c r="L86" s="13" t="s">
        <v>33</v>
      </c>
      <c r="M86" s="19">
        <f>SUMIF('DATABASE Room'!$B$3:$B$7,L86,'DATABASE Room'!$D$3:$D$7)</f>
        <v>0</v>
      </c>
      <c r="N86" s="13">
        <v>1</v>
      </c>
      <c r="O86" s="21">
        <f t="shared" si="149"/>
        <v>0</v>
      </c>
      <c r="P86" s="38"/>
      <c r="Q86" s="19">
        <f t="shared" si="150"/>
        <v>0</v>
      </c>
      <c r="R86" s="21">
        <f t="shared" si="151"/>
        <v>0</v>
      </c>
      <c r="S86" s="19">
        <f t="shared" si="152"/>
        <v>5</v>
      </c>
      <c r="T86" s="19">
        <f t="shared" si="153"/>
        <v>35000</v>
      </c>
      <c r="U86" s="21">
        <f t="shared" si="154"/>
        <v>35000</v>
      </c>
      <c r="V86" s="39"/>
      <c r="W86" s="16">
        <v>5</v>
      </c>
      <c r="X86" s="17" t="str">
        <f>VLOOKUP(W86,'DATABASE F&amp;B'!$C$3:$F$216,2,0)</f>
        <v>BASRENG ORI</v>
      </c>
      <c r="Y86" s="18">
        <v>1</v>
      </c>
      <c r="Z86" s="19">
        <f>VLOOKUP(W86,'DATABASE F&amp;B'!$C$3:$F$216,4,0)</f>
        <v>35000</v>
      </c>
      <c r="AA86" s="19">
        <f t="shared" si="155"/>
        <v>35000</v>
      </c>
      <c r="AB86" s="16"/>
      <c r="AC86" s="17">
        <f>VLOOKUP(AB86,'DATABASE F&amp;B'!$C$3:$F$216,2,0)</f>
        <v>0</v>
      </c>
      <c r="AD86" s="18">
        <v>1</v>
      </c>
      <c r="AE86" s="19">
        <f>VLOOKUP(AB86,'DATABASE F&amp;B'!$C$3:$F$216,4,0)</f>
        <v>0</v>
      </c>
      <c r="AF86" s="19">
        <f t="shared" si="156"/>
        <v>0</v>
      </c>
      <c r="AG86" s="16"/>
      <c r="AH86" s="17">
        <f>VLOOKUP(AG86,'DATABASE F&amp;B'!$C$3:$F$216,2,0)</f>
        <v>0</v>
      </c>
      <c r="AI86" s="18">
        <v>1</v>
      </c>
      <c r="AJ86" s="19">
        <f>VLOOKUP(AG86,'DATABASE F&amp;B'!$C$3:$F$216,4,0)</f>
        <v>0</v>
      </c>
      <c r="AK86" s="19">
        <f t="shared" si="157"/>
        <v>0</v>
      </c>
      <c r="AL86" s="16"/>
      <c r="AM86" s="17">
        <f>VLOOKUP(AL86,'DATABASE F&amp;B'!$C$3:$F$216,2,0)</f>
        <v>0</v>
      </c>
      <c r="AN86" s="18">
        <v>1</v>
      </c>
      <c r="AO86" s="19">
        <f>VLOOKUP(AL86,'DATABASE F&amp;B'!$C$3:$F$216,4,0)</f>
        <v>0</v>
      </c>
      <c r="AP86" s="19">
        <f t="shared" si="158"/>
        <v>0</v>
      </c>
      <c r="AQ86" s="16"/>
      <c r="AR86" s="17">
        <f>VLOOKUP(AQ86,'DATABASE F&amp;B'!$C$3:$F$216,2,0)</f>
        <v>0</v>
      </c>
      <c r="AS86" s="18">
        <v>1</v>
      </c>
      <c r="AT86" s="19">
        <f>VLOOKUP(AQ86,'DATABASE F&amp;B'!$C$3:$F$216,4,0)</f>
        <v>0</v>
      </c>
      <c r="AU86" s="19">
        <f t="shared" si="159"/>
        <v>0</v>
      </c>
      <c r="AV86" s="16"/>
      <c r="AW86" s="17">
        <f>VLOOKUP(AV86,'DATABASE F&amp;B'!$C$3:$F$216,2,0)</f>
        <v>0</v>
      </c>
      <c r="AX86" s="18"/>
      <c r="AY86" s="19">
        <f>VLOOKUP(AV86,'DATABASE F&amp;B'!$C$3:$F$216,4,0)</f>
        <v>0</v>
      </c>
      <c r="AZ86" s="19">
        <f t="shared" si="160"/>
        <v>0</v>
      </c>
      <c r="BA86" s="16"/>
      <c r="BB86" s="17">
        <f>VLOOKUP(BA86,'DATABASE F&amp;B'!$C$3:$F$216,2,0)</f>
        <v>0</v>
      </c>
      <c r="BC86" s="18"/>
      <c r="BD86" s="19">
        <f>VLOOKUP(BA86,'DATABASE F&amp;B'!$C$3:$F$216,4,0)</f>
        <v>0</v>
      </c>
      <c r="BE86" s="19">
        <f t="shared" si="161"/>
        <v>0</v>
      </c>
      <c r="BF86" s="16"/>
      <c r="BG86" s="17">
        <f>VLOOKUP(BF86,'DATABASE F&amp;B'!$C$3:$F$216,2,0)</f>
        <v>0</v>
      </c>
      <c r="BH86" s="18"/>
      <c r="BI86" s="19">
        <f>VLOOKUP(BF86,'DATABASE F&amp;B'!$C$3:$F$216,4,0)</f>
        <v>0</v>
      </c>
      <c r="BJ86" s="19">
        <f t="shared" si="162"/>
        <v>0</v>
      </c>
      <c r="BK86" s="16"/>
      <c r="BL86" s="17">
        <f>VLOOKUP(BK86,'DATABASE F&amp;B'!$C$3:$F$210,2,0)</f>
        <v>0</v>
      </c>
      <c r="BM86" s="18"/>
      <c r="BN86" s="19">
        <f>VLOOKUP(BK86,'DATABASE F&amp;B'!$C$3:$F$210,4,0)</f>
        <v>0</v>
      </c>
      <c r="BO86" s="19">
        <f t="shared" si="163"/>
        <v>0</v>
      </c>
      <c r="BP86" s="16"/>
      <c r="BQ86" s="17">
        <f>VLOOKUP(BP86,'DATABASE F&amp;B'!$C$3:$F$210,2,0)</f>
        <v>0</v>
      </c>
      <c r="BR86" s="18"/>
      <c r="BS86" s="19">
        <f>VLOOKUP(BP86,'DATABASE F&amp;B'!$C$3:$F$210,4,0)</f>
        <v>0</v>
      </c>
      <c r="BT86" s="19">
        <f t="shared" si="164"/>
        <v>0</v>
      </c>
      <c r="BU86" s="16"/>
      <c r="BV86" s="17">
        <f>VLOOKUP(BU86,'DATABASE F&amp;B'!$C$3:$F$210,2,0)</f>
        <v>0</v>
      </c>
      <c r="BW86" s="18"/>
      <c r="BX86" s="19">
        <f>VLOOKUP(BU86,'DATABASE F&amp;B'!$C$3:$F$210,4,0)</f>
        <v>0</v>
      </c>
      <c r="BY86" s="19">
        <f t="shared" si="165"/>
        <v>0</v>
      </c>
      <c r="BZ86" s="16"/>
      <c r="CA86" s="17">
        <f>VLOOKUP(BZ86,'DATABASE F&amp;B'!$C$3:$F$210,2,0)</f>
        <v>0</v>
      </c>
      <c r="CB86" s="18"/>
      <c r="CC86" s="19">
        <f>VLOOKUP(BZ86,'DATABASE F&amp;B'!$C$3:$F$210,4,0)</f>
        <v>0</v>
      </c>
      <c r="CD86" s="19">
        <f t="shared" si="166"/>
        <v>0</v>
      </c>
    </row>
    <row r="87" spans="1:82" ht="13.5" x14ac:dyDescent="0.25">
      <c r="A87" s="32" t="str">
        <f t="shared" si="147"/>
        <v>05-'15-2026</v>
      </c>
      <c r="B87" s="22">
        <f t="shared" ref="B87:C102" si="167">B86+1</f>
        <v>83</v>
      </c>
      <c r="C87" s="22">
        <f t="shared" si="167"/>
        <v>83</v>
      </c>
      <c r="D87" s="34">
        <v>46157</v>
      </c>
      <c r="E87" s="35" t="s">
        <v>49</v>
      </c>
      <c r="F87" s="35" t="s">
        <v>202</v>
      </c>
      <c r="G87" s="52" t="s">
        <v>81</v>
      </c>
      <c r="H87" s="36" t="str">
        <f t="shared" si="145"/>
        <v>RJ-'150526-83</v>
      </c>
      <c r="I87" s="36" t="str">
        <f t="shared" si="148"/>
        <v>'15-05-2026</v>
      </c>
      <c r="J87" s="37" t="str">
        <f>VLOOKUP(D87,Laporan!$C$4:$D$34,2,0)</f>
        <v>Jumat</v>
      </c>
      <c r="K87" s="48"/>
      <c r="L87" s="13" t="s">
        <v>33</v>
      </c>
      <c r="M87" s="19">
        <f>SUMIF('DATABASE Room'!$B$3:$B$7,L87,'DATABASE Room'!$D$3:$D$7)</f>
        <v>0</v>
      </c>
      <c r="N87" s="13">
        <v>1</v>
      </c>
      <c r="O87" s="21">
        <f t="shared" si="149"/>
        <v>0</v>
      </c>
      <c r="P87" s="38"/>
      <c r="Q87" s="19">
        <f t="shared" si="150"/>
        <v>0</v>
      </c>
      <c r="R87" s="21">
        <f t="shared" si="151"/>
        <v>0</v>
      </c>
      <c r="S87" s="19">
        <f t="shared" si="152"/>
        <v>5</v>
      </c>
      <c r="T87" s="19">
        <f t="shared" si="153"/>
        <v>35000</v>
      </c>
      <c r="U87" s="21">
        <f t="shared" si="154"/>
        <v>35000</v>
      </c>
      <c r="V87" s="39"/>
      <c r="W87" s="16">
        <v>6</v>
      </c>
      <c r="X87" s="17" t="str">
        <f>VLOOKUP(W87,'DATABASE F&amp;B'!$C$3:$F$216,2,0)</f>
        <v>BASRENG PEDES</v>
      </c>
      <c r="Y87" s="18">
        <v>1</v>
      </c>
      <c r="Z87" s="19">
        <f>VLOOKUP(W87,'DATABASE F&amp;B'!$C$3:$F$216,4,0)</f>
        <v>35000</v>
      </c>
      <c r="AA87" s="19">
        <f t="shared" si="155"/>
        <v>35000</v>
      </c>
      <c r="AB87" s="16"/>
      <c r="AC87" s="17">
        <f>VLOOKUP(AB87,'DATABASE F&amp;B'!$C$3:$F$216,2,0)</f>
        <v>0</v>
      </c>
      <c r="AD87" s="18">
        <v>1</v>
      </c>
      <c r="AE87" s="19">
        <f>VLOOKUP(AB87,'DATABASE F&amp;B'!$C$3:$F$216,4,0)</f>
        <v>0</v>
      </c>
      <c r="AF87" s="19">
        <f t="shared" si="156"/>
        <v>0</v>
      </c>
      <c r="AG87" s="16"/>
      <c r="AH87" s="17">
        <f>VLOOKUP(AG87,'DATABASE F&amp;B'!$C$3:$F$216,2,0)</f>
        <v>0</v>
      </c>
      <c r="AI87" s="18">
        <v>1</v>
      </c>
      <c r="AJ87" s="19">
        <f>VLOOKUP(AG87,'DATABASE F&amp;B'!$C$3:$F$216,4,0)</f>
        <v>0</v>
      </c>
      <c r="AK87" s="19">
        <f t="shared" si="157"/>
        <v>0</v>
      </c>
      <c r="AL87" s="16"/>
      <c r="AM87" s="17">
        <f>VLOOKUP(AL87,'DATABASE F&amp;B'!$C$3:$F$216,2,0)</f>
        <v>0</v>
      </c>
      <c r="AN87" s="18">
        <v>1</v>
      </c>
      <c r="AO87" s="19">
        <f>VLOOKUP(AL87,'DATABASE F&amp;B'!$C$3:$F$216,4,0)</f>
        <v>0</v>
      </c>
      <c r="AP87" s="19">
        <f t="shared" si="158"/>
        <v>0</v>
      </c>
      <c r="AQ87" s="16"/>
      <c r="AR87" s="17">
        <f>VLOOKUP(AQ87,'DATABASE F&amp;B'!$C$3:$F$216,2,0)</f>
        <v>0</v>
      </c>
      <c r="AS87" s="18">
        <v>1</v>
      </c>
      <c r="AT87" s="19">
        <f>VLOOKUP(AQ87,'DATABASE F&amp;B'!$C$3:$F$216,4,0)</f>
        <v>0</v>
      </c>
      <c r="AU87" s="19">
        <f t="shared" si="159"/>
        <v>0</v>
      </c>
      <c r="AV87" s="16"/>
      <c r="AW87" s="17">
        <f>VLOOKUP(AV87,'DATABASE F&amp;B'!$C$3:$F$216,2,0)</f>
        <v>0</v>
      </c>
      <c r="AX87" s="18"/>
      <c r="AY87" s="19">
        <f>VLOOKUP(AV87,'DATABASE F&amp;B'!$C$3:$F$216,4,0)</f>
        <v>0</v>
      </c>
      <c r="AZ87" s="19">
        <f t="shared" si="160"/>
        <v>0</v>
      </c>
      <c r="BA87" s="16"/>
      <c r="BB87" s="17">
        <f>VLOOKUP(BA87,'DATABASE F&amp;B'!$C$3:$F$216,2,0)</f>
        <v>0</v>
      </c>
      <c r="BC87" s="18"/>
      <c r="BD87" s="19">
        <f>VLOOKUP(BA87,'DATABASE F&amp;B'!$C$3:$F$216,4,0)</f>
        <v>0</v>
      </c>
      <c r="BE87" s="19">
        <f t="shared" si="161"/>
        <v>0</v>
      </c>
      <c r="BF87" s="16"/>
      <c r="BG87" s="17">
        <f>VLOOKUP(BF87,'DATABASE F&amp;B'!$C$3:$F$216,2,0)</f>
        <v>0</v>
      </c>
      <c r="BH87" s="18"/>
      <c r="BI87" s="19">
        <f>VLOOKUP(BF87,'DATABASE F&amp;B'!$C$3:$F$216,4,0)</f>
        <v>0</v>
      </c>
      <c r="BJ87" s="19">
        <f t="shared" si="162"/>
        <v>0</v>
      </c>
      <c r="BK87" s="16"/>
      <c r="BL87" s="17">
        <f>VLOOKUP(BK87,'DATABASE F&amp;B'!$C$3:$F$210,2,0)</f>
        <v>0</v>
      </c>
      <c r="BM87" s="18"/>
      <c r="BN87" s="19">
        <f>VLOOKUP(BK87,'DATABASE F&amp;B'!$C$3:$F$210,4,0)</f>
        <v>0</v>
      </c>
      <c r="BO87" s="19">
        <f t="shared" si="163"/>
        <v>0</v>
      </c>
      <c r="BP87" s="16"/>
      <c r="BQ87" s="17">
        <f>VLOOKUP(BP87,'DATABASE F&amp;B'!$C$3:$F$210,2,0)</f>
        <v>0</v>
      </c>
      <c r="BR87" s="18"/>
      <c r="BS87" s="19">
        <f>VLOOKUP(BP87,'DATABASE F&amp;B'!$C$3:$F$210,4,0)</f>
        <v>0</v>
      </c>
      <c r="BT87" s="19">
        <f t="shared" si="164"/>
        <v>0</v>
      </c>
      <c r="BU87" s="16"/>
      <c r="BV87" s="17">
        <f>VLOOKUP(BU87,'DATABASE F&amp;B'!$C$3:$F$210,2,0)</f>
        <v>0</v>
      </c>
      <c r="BW87" s="18"/>
      <c r="BX87" s="19">
        <f>VLOOKUP(BU87,'DATABASE F&amp;B'!$C$3:$F$210,4,0)</f>
        <v>0</v>
      </c>
      <c r="BY87" s="19">
        <f t="shared" si="165"/>
        <v>0</v>
      </c>
      <c r="BZ87" s="16"/>
      <c r="CA87" s="17">
        <f>VLOOKUP(BZ87,'DATABASE F&amp;B'!$C$3:$F$210,2,0)</f>
        <v>0</v>
      </c>
      <c r="CB87" s="18"/>
      <c r="CC87" s="19">
        <f>VLOOKUP(BZ87,'DATABASE F&amp;B'!$C$3:$F$210,4,0)</f>
        <v>0</v>
      </c>
      <c r="CD87" s="19">
        <f t="shared" si="166"/>
        <v>0</v>
      </c>
    </row>
    <row r="88" spans="1:82" ht="13.5" x14ac:dyDescent="0.25">
      <c r="A88" s="32" t="str">
        <f t="shared" si="147"/>
        <v>05-'15-2026</v>
      </c>
      <c r="B88" s="22">
        <f t="shared" si="167"/>
        <v>84</v>
      </c>
      <c r="C88" s="22">
        <f t="shared" si="167"/>
        <v>84</v>
      </c>
      <c r="D88" s="34">
        <v>46157</v>
      </c>
      <c r="E88" s="35" t="s">
        <v>49</v>
      </c>
      <c r="F88" s="35" t="s">
        <v>202</v>
      </c>
      <c r="G88" s="52" t="s">
        <v>81</v>
      </c>
      <c r="H88" s="36" t="str">
        <f t="shared" si="145"/>
        <v>RJ-'150526-84</v>
      </c>
      <c r="I88" s="36" t="str">
        <f t="shared" si="148"/>
        <v>'15-05-2026</v>
      </c>
      <c r="J88" s="37" t="str">
        <f>VLOOKUP(D88,Laporan!$C$4:$D$34,2,0)</f>
        <v>Jumat</v>
      </c>
      <c r="K88" s="48"/>
      <c r="L88" s="13" t="s">
        <v>33</v>
      </c>
      <c r="M88" s="19">
        <f>SUMIF('DATABASE Room'!$B$3:$B$7,L88,'DATABASE Room'!$D$3:$D$7)</f>
        <v>0</v>
      </c>
      <c r="N88" s="13">
        <v>1</v>
      </c>
      <c r="O88" s="21">
        <f t="shared" si="149"/>
        <v>0</v>
      </c>
      <c r="P88" s="38"/>
      <c r="Q88" s="19">
        <f t="shared" si="150"/>
        <v>0</v>
      </c>
      <c r="R88" s="21">
        <f t="shared" si="151"/>
        <v>0</v>
      </c>
      <c r="S88" s="19">
        <f t="shared" si="152"/>
        <v>5</v>
      </c>
      <c r="T88" s="19">
        <f t="shared" si="153"/>
        <v>102000</v>
      </c>
      <c r="U88" s="21">
        <f t="shared" si="154"/>
        <v>102000</v>
      </c>
      <c r="V88" s="39"/>
      <c r="W88" s="16">
        <v>7</v>
      </c>
      <c r="X88" s="17" t="str">
        <f>VLOOKUP(W88,'DATABASE F&amp;B'!$C$3:$F$216,2,0)</f>
        <v>MACARONI ORI</v>
      </c>
      <c r="Y88" s="18">
        <v>1</v>
      </c>
      <c r="Z88" s="19">
        <f>VLOOKUP(W88,'DATABASE F&amp;B'!$C$3:$F$216,4,0)</f>
        <v>22000</v>
      </c>
      <c r="AA88" s="19">
        <f t="shared" si="155"/>
        <v>22000</v>
      </c>
      <c r="AB88" s="16">
        <v>80</v>
      </c>
      <c r="AC88" s="17" t="str">
        <f>VLOOKUP(AB88,'DATABASE F&amp;B'!$C$3:$F$216,2,0)</f>
        <v>CORONA 330ML</v>
      </c>
      <c r="AD88" s="18">
        <v>1</v>
      </c>
      <c r="AE88" s="19">
        <f>VLOOKUP(AB88,'DATABASE F&amp;B'!$C$3:$F$216,4,0)</f>
        <v>80000</v>
      </c>
      <c r="AF88" s="19">
        <f t="shared" si="156"/>
        <v>80000</v>
      </c>
      <c r="AG88" s="16"/>
      <c r="AH88" s="17">
        <f>VLOOKUP(AG88,'DATABASE F&amp;B'!$C$3:$F$216,2,0)</f>
        <v>0</v>
      </c>
      <c r="AI88" s="18">
        <v>1</v>
      </c>
      <c r="AJ88" s="19">
        <f>VLOOKUP(AG88,'DATABASE F&amp;B'!$C$3:$F$216,4,0)</f>
        <v>0</v>
      </c>
      <c r="AK88" s="19">
        <f t="shared" si="157"/>
        <v>0</v>
      </c>
      <c r="AL88" s="16"/>
      <c r="AM88" s="17">
        <f>VLOOKUP(AL88,'DATABASE F&amp;B'!$C$3:$F$216,2,0)</f>
        <v>0</v>
      </c>
      <c r="AN88" s="18">
        <v>1</v>
      </c>
      <c r="AO88" s="19">
        <f>VLOOKUP(AL88,'DATABASE F&amp;B'!$C$3:$F$216,4,0)</f>
        <v>0</v>
      </c>
      <c r="AP88" s="19">
        <f t="shared" si="158"/>
        <v>0</v>
      </c>
      <c r="AQ88" s="16"/>
      <c r="AR88" s="17">
        <f>VLOOKUP(AQ88,'DATABASE F&amp;B'!$C$3:$F$216,2,0)</f>
        <v>0</v>
      </c>
      <c r="AS88" s="18">
        <v>1</v>
      </c>
      <c r="AT88" s="19">
        <f>VLOOKUP(AQ88,'DATABASE F&amp;B'!$C$3:$F$216,4,0)</f>
        <v>0</v>
      </c>
      <c r="AU88" s="19">
        <f t="shared" si="159"/>
        <v>0</v>
      </c>
      <c r="AV88" s="16"/>
      <c r="AW88" s="17">
        <f>VLOOKUP(AV88,'DATABASE F&amp;B'!$C$3:$F$216,2,0)</f>
        <v>0</v>
      </c>
      <c r="AX88" s="18"/>
      <c r="AY88" s="19">
        <f>VLOOKUP(AV88,'DATABASE F&amp;B'!$C$3:$F$216,4,0)</f>
        <v>0</v>
      </c>
      <c r="AZ88" s="19">
        <f t="shared" si="160"/>
        <v>0</v>
      </c>
      <c r="BA88" s="16"/>
      <c r="BB88" s="17">
        <f>VLOOKUP(BA88,'DATABASE F&amp;B'!$C$3:$F$216,2,0)</f>
        <v>0</v>
      </c>
      <c r="BC88" s="18"/>
      <c r="BD88" s="19">
        <f>VLOOKUP(BA88,'DATABASE F&amp;B'!$C$3:$F$216,4,0)</f>
        <v>0</v>
      </c>
      <c r="BE88" s="19">
        <f t="shared" si="161"/>
        <v>0</v>
      </c>
      <c r="BF88" s="16"/>
      <c r="BG88" s="17">
        <f>VLOOKUP(BF88,'DATABASE F&amp;B'!$C$3:$F$216,2,0)</f>
        <v>0</v>
      </c>
      <c r="BH88" s="18"/>
      <c r="BI88" s="19">
        <f>VLOOKUP(BF88,'DATABASE F&amp;B'!$C$3:$F$216,4,0)</f>
        <v>0</v>
      </c>
      <c r="BJ88" s="19">
        <f t="shared" si="162"/>
        <v>0</v>
      </c>
      <c r="BK88" s="16"/>
      <c r="BL88" s="17">
        <f>VLOOKUP(BK88,'DATABASE F&amp;B'!$C$3:$F$210,2,0)</f>
        <v>0</v>
      </c>
      <c r="BM88" s="18"/>
      <c r="BN88" s="19">
        <f>VLOOKUP(BK88,'DATABASE F&amp;B'!$C$3:$F$210,4,0)</f>
        <v>0</v>
      </c>
      <c r="BO88" s="19">
        <f t="shared" si="163"/>
        <v>0</v>
      </c>
      <c r="BP88" s="16"/>
      <c r="BQ88" s="17">
        <f>VLOOKUP(BP88,'DATABASE F&amp;B'!$C$3:$F$210,2,0)</f>
        <v>0</v>
      </c>
      <c r="BR88" s="18"/>
      <c r="BS88" s="19">
        <f>VLOOKUP(BP88,'DATABASE F&amp;B'!$C$3:$F$210,4,0)</f>
        <v>0</v>
      </c>
      <c r="BT88" s="19">
        <f t="shared" si="164"/>
        <v>0</v>
      </c>
      <c r="BU88" s="16"/>
      <c r="BV88" s="17">
        <f>VLOOKUP(BU88,'DATABASE F&amp;B'!$C$3:$F$210,2,0)</f>
        <v>0</v>
      </c>
      <c r="BW88" s="18"/>
      <c r="BX88" s="19">
        <f>VLOOKUP(BU88,'DATABASE F&amp;B'!$C$3:$F$210,4,0)</f>
        <v>0</v>
      </c>
      <c r="BY88" s="19">
        <f t="shared" si="165"/>
        <v>0</v>
      </c>
      <c r="BZ88" s="16"/>
      <c r="CA88" s="17">
        <f>VLOOKUP(BZ88,'DATABASE F&amp;B'!$C$3:$F$210,2,0)</f>
        <v>0</v>
      </c>
      <c r="CB88" s="18"/>
      <c r="CC88" s="19">
        <f>VLOOKUP(BZ88,'DATABASE F&amp;B'!$C$3:$F$210,4,0)</f>
        <v>0</v>
      </c>
      <c r="CD88" s="19">
        <f t="shared" si="166"/>
        <v>0</v>
      </c>
    </row>
    <row r="89" spans="1:82" ht="13.5" x14ac:dyDescent="0.25">
      <c r="A89" s="32" t="str">
        <f t="shared" si="147"/>
        <v>05-'15-2026</v>
      </c>
      <c r="B89" s="22">
        <f t="shared" si="167"/>
        <v>85</v>
      </c>
      <c r="C89" s="22">
        <f t="shared" si="167"/>
        <v>85</v>
      </c>
      <c r="D89" s="34">
        <v>46157</v>
      </c>
      <c r="E89" s="35" t="s">
        <v>49</v>
      </c>
      <c r="F89" s="35" t="s">
        <v>202</v>
      </c>
      <c r="G89" s="52" t="s">
        <v>81</v>
      </c>
      <c r="H89" s="36" t="str">
        <f t="shared" si="145"/>
        <v>RJ-'150526-85</v>
      </c>
      <c r="I89" s="36" t="str">
        <f t="shared" si="148"/>
        <v>'15-05-2026</v>
      </c>
      <c r="J89" s="37" t="str">
        <f>VLOOKUP(D89,Laporan!$C$4:$D$34,2,0)</f>
        <v>Jumat</v>
      </c>
      <c r="K89" s="48"/>
      <c r="L89" s="13" t="s">
        <v>33</v>
      </c>
      <c r="M89" s="19">
        <f>SUMIF('DATABASE Room'!$B$3:$B$7,L89,'DATABASE Room'!$D$3:$D$7)</f>
        <v>0</v>
      </c>
      <c r="N89" s="13">
        <v>1</v>
      </c>
      <c r="O89" s="21">
        <f t="shared" si="149"/>
        <v>0</v>
      </c>
      <c r="P89" s="38"/>
      <c r="Q89" s="19">
        <f t="shared" si="150"/>
        <v>0</v>
      </c>
      <c r="R89" s="21">
        <f t="shared" si="151"/>
        <v>0</v>
      </c>
      <c r="S89" s="19">
        <f t="shared" si="152"/>
        <v>5</v>
      </c>
      <c r="T89" s="19">
        <f t="shared" si="153"/>
        <v>22000</v>
      </c>
      <c r="U89" s="21">
        <f t="shared" si="154"/>
        <v>22000</v>
      </c>
      <c r="V89" s="39"/>
      <c r="W89" s="16">
        <v>8</v>
      </c>
      <c r="X89" s="17" t="str">
        <f>VLOOKUP(W89,'DATABASE F&amp;B'!$C$3:$F$216,2,0)</f>
        <v>MACARONI PEDES</v>
      </c>
      <c r="Y89" s="18">
        <v>1</v>
      </c>
      <c r="Z89" s="19">
        <f>VLOOKUP(W89,'DATABASE F&amp;B'!$C$3:$F$216,4,0)</f>
        <v>22000</v>
      </c>
      <c r="AA89" s="19">
        <f t="shared" si="155"/>
        <v>22000</v>
      </c>
      <c r="AB89" s="16"/>
      <c r="AC89" s="17">
        <f>VLOOKUP(AB89,'DATABASE F&amp;B'!$C$3:$F$216,2,0)</f>
        <v>0</v>
      </c>
      <c r="AD89" s="18">
        <v>1</v>
      </c>
      <c r="AE89" s="19">
        <f>VLOOKUP(AB89,'DATABASE F&amp;B'!$C$3:$F$216,4,0)</f>
        <v>0</v>
      </c>
      <c r="AF89" s="19">
        <f t="shared" si="156"/>
        <v>0</v>
      </c>
      <c r="AG89" s="16"/>
      <c r="AH89" s="17">
        <f>VLOOKUP(AG89,'DATABASE F&amp;B'!$C$3:$F$216,2,0)</f>
        <v>0</v>
      </c>
      <c r="AI89" s="18">
        <v>1</v>
      </c>
      <c r="AJ89" s="19">
        <f>VLOOKUP(AG89,'DATABASE F&amp;B'!$C$3:$F$216,4,0)</f>
        <v>0</v>
      </c>
      <c r="AK89" s="19">
        <f t="shared" si="157"/>
        <v>0</v>
      </c>
      <c r="AL89" s="16"/>
      <c r="AM89" s="17">
        <f>VLOOKUP(AL89,'DATABASE F&amp;B'!$C$3:$F$216,2,0)</f>
        <v>0</v>
      </c>
      <c r="AN89" s="18">
        <v>1</v>
      </c>
      <c r="AO89" s="19">
        <f>VLOOKUP(AL89,'DATABASE F&amp;B'!$C$3:$F$216,4,0)</f>
        <v>0</v>
      </c>
      <c r="AP89" s="19">
        <f t="shared" si="158"/>
        <v>0</v>
      </c>
      <c r="AQ89" s="16"/>
      <c r="AR89" s="17">
        <f>VLOOKUP(AQ89,'DATABASE F&amp;B'!$C$3:$F$216,2,0)</f>
        <v>0</v>
      </c>
      <c r="AS89" s="18">
        <v>1</v>
      </c>
      <c r="AT89" s="19">
        <f>VLOOKUP(AQ89,'DATABASE F&amp;B'!$C$3:$F$216,4,0)</f>
        <v>0</v>
      </c>
      <c r="AU89" s="19">
        <f t="shared" si="159"/>
        <v>0</v>
      </c>
      <c r="AV89" s="16"/>
      <c r="AW89" s="17">
        <f>VLOOKUP(AV89,'DATABASE F&amp;B'!$C$3:$F$216,2,0)</f>
        <v>0</v>
      </c>
      <c r="AX89" s="18"/>
      <c r="AY89" s="19">
        <f>VLOOKUP(AV89,'DATABASE F&amp;B'!$C$3:$F$216,4,0)</f>
        <v>0</v>
      </c>
      <c r="AZ89" s="19">
        <f t="shared" si="160"/>
        <v>0</v>
      </c>
      <c r="BA89" s="16"/>
      <c r="BB89" s="17">
        <f>VLOOKUP(BA89,'DATABASE F&amp;B'!$C$3:$F$216,2,0)</f>
        <v>0</v>
      </c>
      <c r="BC89" s="18"/>
      <c r="BD89" s="19">
        <f>VLOOKUP(BA89,'DATABASE F&amp;B'!$C$3:$F$216,4,0)</f>
        <v>0</v>
      </c>
      <c r="BE89" s="19">
        <f t="shared" si="161"/>
        <v>0</v>
      </c>
      <c r="BF89" s="16"/>
      <c r="BG89" s="17">
        <f>VLOOKUP(BF89,'DATABASE F&amp;B'!$C$3:$F$216,2,0)</f>
        <v>0</v>
      </c>
      <c r="BH89" s="18"/>
      <c r="BI89" s="19">
        <f>VLOOKUP(BF89,'DATABASE F&amp;B'!$C$3:$F$216,4,0)</f>
        <v>0</v>
      </c>
      <c r="BJ89" s="19">
        <f t="shared" si="162"/>
        <v>0</v>
      </c>
      <c r="BK89" s="16"/>
      <c r="BL89" s="17">
        <f>VLOOKUP(BK89,'DATABASE F&amp;B'!$C$3:$F$210,2,0)</f>
        <v>0</v>
      </c>
      <c r="BM89" s="18"/>
      <c r="BN89" s="19">
        <f>VLOOKUP(BK89,'DATABASE F&amp;B'!$C$3:$F$210,4,0)</f>
        <v>0</v>
      </c>
      <c r="BO89" s="19">
        <f t="shared" si="163"/>
        <v>0</v>
      </c>
      <c r="BP89" s="16"/>
      <c r="BQ89" s="17">
        <f>VLOOKUP(BP89,'DATABASE F&amp;B'!$C$3:$F$210,2,0)</f>
        <v>0</v>
      </c>
      <c r="BR89" s="18"/>
      <c r="BS89" s="19">
        <f>VLOOKUP(BP89,'DATABASE F&amp;B'!$C$3:$F$210,4,0)</f>
        <v>0</v>
      </c>
      <c r="BT89" s="19">
        <f t="shared" si="164"/>
        <v>0</v>
      </c>
      <c r="BU89" s="16"/>
      <c r="BV89" s="17">
        <f>VLOOKUP(BU89,'DATABASE F&amp;B'!$C$3:$F$210,2,0)</f>
        <v>0</v>
      </c>
      <c r="BW89" s="18"/>
      <c r="BX89" s="19">
        <f>VLOOKUP(BU89,'DATABASE F&amp;B'!$C$3:$F$210,4,0)</f>
        <v>0</v>
      </c>
      <c r="BY89" s="19">
        <f t="shared" si="165"/>
        <v>0</v>
      </c>
      <c r="BZ89" s="16"/>
      <c r="CA89" s="17">
        <f>VLOOKUP(BZ89,'DATABASE F&amp;B'!$C$3:$F$210,2,0)</f>
        <v>0</v>
      </c>
      <c r="CB89" s="18"/>
      <c r="CC89" s="19">
        <f>VLOOKUP(BZ89,'DATABASE F&amp;B'!$C$3:$F$210,4,0)</f>
        <v>0</v>
      </c>
      <c r="CD89" s="19">
        <f t="shared" si="166"/>
        <v>0</v>
      </c>
    </row>
    <row r="90" spans="1:82" ht="13.5" x14ac:dyDescent="0.25">
      <c r="A90" s="32" t="str">
        <f t="shared" si="147"/>
        <v>05-'16-2026</v>
      </c>
      <c r="B90" s="22">
        <f t="shared" si="167"/>
        <v>86</v>
      </c>
      <c r="C90" s="22">
        <f t="shared" si="167"/>
        <v>86</v>
      </c>
      <c r="D90" s="34">
        <v>46158</v>
      </c>
      <c r="E90" s="35" t="s">
        <v>60</v>
      </c>
      <c r="F90" s="35" t="s">
        <v>202</v>
      </c>
      <c r="G90" s="52" t="s">
        <v>81</v>
      </c>
      <c r="H90" s="36" t="str">
        <f t="shared" si="145"/>
        <v>RJ-'160526-86</v>
      </c>
      <c r="I90" s="36" t="str">
        <f t="shared" si="148"/>
        <v>'16-05-2026</v>
      </c>
      <c r="J90" s="37" t="str">
        <f>VLOOKUP(D90,Laporan!$C$4:$D$34,2,0)</f>
        <v>Sabtu</v>
      </c>
      <c r="K90" s="48"/>
      <c r="L90" s="13" t="s">
        <v>33</v>
      </c>
      <c r="M90" s="19">
        <f>SUMIF('DATABASE Room'!$B$3:$B$7,L90,'DATABASE Room'!$D$3:$D$7)</f>
        <v>0</v>
      </c>
      <c r="N90" s="13">
        <v>1</v>
      </c>
      <c r="O90" s="21">
        <f t="shared" si="149"/>
        <v>0</v>
      </c>
      <c r="P90" s="38"/>
      <c r="Q90" s="19">
        <f t="shared" si="150"/>
        <v>0</v>
      </c>
      <c r="R90" s="21">
        <f t="shared" si="151"/>
        <v>0</v>
      </c>
      <c r="S90" s="19">
        <f t="shared" si="152"/>
        <v>5</v>
      </c>
      <c r="T90" s="19">
        <f t="shared" si="153"/>
        <v>30000</v>
      </c>
      <c r="U90" s="21">
        <f t="shared" si="154"/>
        <v>30000</v>
      </c>
      <c r="V90" s="39"/>
      <c r="W90" s="16">
        <v>9</v>
      </c>
      <c r="X90" s="17" t="str">
        <f>VLOOKUP(W90,'DATABASE F&amp;B'!$C$3:$F$216,2,0)</f>
        <v>MIE REMES ORI</v>
      </c>
      <c r="Y90" s="18">
        <v>1</v>
      </c>
      <c r="Z90" s="19">
        <f>VLOOKUP(W90,'DATABASE F&amp;B'!$C$3:$F$216,4,0)</f>
        <v>30000</v>
      </c>
      <c r="AA90" s="19">
        <f t="shared" si="155"/>
        <v>30000</v>
      </c>
      <c r="AB90" s="16"/>
      <c r="AC90" s="17">
        <f>VLOOKUP(AB90,'DATABASE F&amp;B'!$C$3:$F$216,2,0)</f>
        <v>0</v>
      </c>
      <c r="AD90" s="18">
        <v>1</v>
      </c>
      <c r="AE90" s="19">
        <f>VLOOKUP(AB90,'DATABASE F&amp;B'!$C$3:$F$216,4,0)</f>
        <v>0</v>
      </c>
      <c r="AF90" s="19">
        <f t="shared" si="156"/>
        <v>0</v>
      </c>
      <c r="AG90" s="16"/>
      <c r="AH90" s="17">
        <f>VLOOKUP(AG90,'DATABASE F&amp;B'!$C$3:$F$216,2,0)</f>
        <v>0</v>
      </c>
      <c r="AI90" s="18">
        <v>1</v>
      </c>
      <c r="AJ90" s="19">
        <f>VLOOKUP(AG90,'DATABASE F&amp;B'!$C$3:$F$216,4,0)</f>
        <v>0</v>
      </c>
      <c r="AK90" s="19">
        <f t="shared" si="157"/>
        <v>0</v>
      </c>
      <c r="AL90" s="16"/>
      <c r="AM90" s="17">
        <f>VLOOKUP(AL90,'DATABASE F&amp;B'!$C$3:$F$216,2,0)</f>
        <v>0</v>
      </c>
      <c r="AN90" s="18">
        <v>1</v>
      </c>
      <c r="AO90" s="19">
        <f>VLOOKUP(AL90,'DATABASE F&amp;B'!$C$3:$F$216,4,0)</f>
        <v>0</v>
      </c>
      <c r="AP90" s="19">
        <f t="shared" si="158"/>
        <v>0</v>
      </c>
      <c r="AQ90" s="16"/>
      <c r="AR90" s="17">
        <f>VLOOKUP(AQ90,'DATABASE F&amp;B'!$C$3:$F$216,2,0)</f>
        <v>0</v>
      </c>
      <c r="AS90" s="18">
        <v>1</v>
      </c>
      <c r="AT90" s="19">
        <f>VLOOKUP(AQ90,'DATABASE F&amp;B'!$C$3:$F$216,4,0)</f>
        <v>0</v>
      </c>
      <c r="AU90" s="19">
        <f t="shared" si="159"/>
        <v>0</v>
      </c>
      <c r="AV90" s="16"/>
      <c r="AW90" s="17">
        <f>VLOOKUP(AV90,'DATABASE F&amp;B'!$C$3:$F$216,2,0)</f>
        <v>0</v>
      </c>
      <c r="AX90" s="18"/>
      <c r="AY90" s="19">
        <f>VLOOKUP(AV90,'DATABASE F&amp;B'!$C$3:$F$216,4,0)</f>
        <v>0</v>
      </c>
      <c r="AZ90" s="19">
        <f t="shared" si="160"/>
        <v>0</v>
      </c>
      <c r="BA90" s="16"/>
      <c r="BB90" s="17">
        <f>VLOOKUP(BA90,'DATABASE F&amp;B'!$C$3:$F$216,2,0)</f>
        <v>0</v>
      </c>
      <c r="BC90" s="18"/>
      <c r="BD90" s="19">
        <f>VLOOKUP(BA90,'DATABASE F&amp;B'!$C$3:$F$216,4,0)</f>
        <v>0</v>
      </c>
      <c r="BE90" s="19">
        <f t="shared" si="161"/>
        <v>0</v>
      </c>
      <c r="BF90" s="16"/>
      <c r="BG90" s="17">
        <f>VLOOKUP(BF90,'DATABASE F&amp;B'!$C$3:$F$216,2,0)</f>
        <v>0</v>
      </c>
      <c r="BH90" s="18"/>
      <c r="BI90" s="19">
        <f>VLOOKUP(BF90,'DATABASE F&amp;B'!$C$3:$F$216,4,0)</f>
        <v>0</v>
      </c>
      <c r="BJ90" s="19">
        <f t="shared" si="162"/>
        <v>0</v>
      </c>
      <c r="BK90" s="16"/>
      <c r="BL90" s="17">
        <f>VLOOKUP(BK90,'DATABASE F&amp;B'!$C$3:$F$210,2,0)</f>
        <v>0</v>
      </c>
      <c r="BM90" s="18"/>
      <c r="BN90" s="19">
        <f>VLOOKUP(BK90,'DATABASE F&amp;B'!$C$3:$F$210,4,0)</f>
        <v>0</v>
      </c>
      <c r="BO90" s="19">
        <f t="shared" si="163"/>
        <v>0</v>
      </c>
      <c r="BP90" s="16"/>
      <c r="BQ90" s="17">
        <f>VLOOKUP(BP90,'DATABASE F&amp;B'!$C$3:$F$210,2,0)</f>
        <v>0</v>
      </c>
      <c r="BR90" s="18"/>
      <c r="BS90" s="19">
        <f>VLOOKUP(BP90,'DATABASE F&amp;B'!$C$3:$F$210,4,0)</f>
        <v>0</v>
      </c>
      <c r="BT90" s="19">
        <f t="shared" si="164"/>
        <v>0</v>
      </c>
      <c r="BU90" s="16"/>
      <c r="BV90" s="17">
        <f>VLOOKUP(BU90,'DATABASE F&amp;B'!$C$3:$F$210,2,0)</f>
        <v>0</v>
      </c>
      <c r="BW90" s="18"/>
      <c r="BX90" s="19">
        <f>VLOOKUP(BU90,'DATABASE F&amp;B'!$C$3:$F$210,4,0)</f>
        <v>0</v>
      </c>
      <c r="BY90" s="19">
        <f t="shared" si="165"/>
        <v>0</v>
      </c>
      <c r="BZ90" s="16"/>
      <c r="CA90" s="17">
        <f>VLOOKUP(BZ90,'DATABASE F&amp;B'!$C$3:$F$210,2,0)</f>
        <v>0</v>
      </c>
      <c r="CB90" s="18"/>
      <c r="CC90" s="19">
        <f>VLOOKUP(BZ90,'DATABASE F&amp;B'!$C$3:$F$210,4,0)</f>
        <v>0</v>
      </c>
      <c r="CD90" s="19">
        <f t="shared" si="166"/>
        <v>0</v>
      </c>
    </row>
    <row r="91" spans="1:82" ht="13.5" x14ac:dyDescent="0.25">
      <c r="A91" s="32" t="str">
        <f t="shared" si="147"/>
        <v>05-'16-2026</v>
      </c>
      <c r="B91" s="22">
        <f t="shared" si="167"/>
        <v>87</v>
      </c>
      <c r="C91" s="22">
        <f t="shared" si="167"/>
        <v>87</v>
      </c>
      <c r="D91" s="34">
        <v>46158</v>
      </c>
      <c r="E91" s="35" t="s">
        <v>60</v>
      </c>
      <c r="F91" s="35" t="s">
        <v>202</v>
      </c>
      <c r="G91" s="52" t="s">
        <v>81</v>
      </c>
      <c r="H91" s="36" t="str">
        <f t="shared" si="145"/>
        <v>RJ-'160526-87</v>
      </c>
      <c r="I91" s="36" t="str">
        <f t="shared" si="148"/>
        <v>'16-05-2026</v>
      </c>
      <c r="J91" s="37" t="str">
        <f>VLOOKUP(D91,Laporan!$C$4:$D$34,2,0)</f>
        <v>Sabtu</v>
      </c>
      <c r="K91" s="48"/>
      <c r="L91" s="13" t="s">
        <v>33</v>
      </c>
      <c r="M91" s="19">
        <f>SUMIF('DATABASE Room'!$B$3:$B$7,L91,'DATABASE Room'!$D$3:$D$7)</f>
        <v>0</v>
      </c>
      <c r="N91" s="13">
        <v>1</v>
      </c>
      <c r="O91" s="21">
        <f t="shared" si="149"/>
        <v>0</v>
      </c>
      <c r="P91" s="38"/>
      <c r="Q91" s="19">
        <f t="shared" si="150"/>
        <v>0</v>
      </c>
      <c r="R91" s="21">
        <f t="shared" si="151"/>
        <v>0</v>
      </c>
      <c r="S91" s="19">
        <f t="shared" si="152"/>
        <v>5</v>
      </c>
      <c r="T91" s="19">
        <f t="shared" si="153"/>
        <v>28000</v>
      </c>
      <c r="U91" s="21">
        <f t="shared" si="154"/>
        <v>28000</v>
      </c>
      <c r="V91" s="39"/>
      <c r="W91" s="16">
        <v>10</v>
      </c>
      <c r="X91" s="17" t="str">
        <f>VLOOKUP(W91,'DATABASE F&amp;B'!$C$3:$F$216,2,0)</f>
        <v>KACANG LOFET DK</v>
      </c>
      <c r="Y91" s="18">
        <v>1</v>
      </c>
      <c r="Z91" s="19">
        <f>VLOOKUP(W91,'DATABASE F&amp;B'!$C$3:$F$216,4,0)</f>
        <v>28000</v>
      </c>
      <c r="AA91" s="19">
        <f t="shared" si="155"/>
        <v>28000</v>
      </c>
      <c r="AB91" s="16"/>
      <c r="AC91" s="17">
        <f>VLOOKUP(AB91,'DATABASE F&amp;B'!$C$3:$F$216,2,0)</f>
        <v>0</v>
      </c>
      <c r="AD91" s="18">
        <v>1</v>
      </c>
      <c r="AE91" s="19">
        <f>VLOOKUP(AB91,'DATABASE F&amp;B'!$C$3:$F$216,4,0)</f>
        <v>0</v>
      </c>
      <c r="AF91" s="19">
        <f t="shared" si="156"/>
        <v>0</v>
      </c>
      <c r="AG91" s="16"/>
      <c r="AH91" s="17">
        <f>VLOOKUP(AG91,'DATABASE F&amp;B'!$C$3:$F$216,2,0)</f>
        <v>0</v>
      </c>
      <c r="AI91" s="18">
        <v>1</v>
      </c>
      <c r="AJ91" s="19">
        <f>VLOOKUP(AG91,'DATABASE F&amp;B'!$C$3:$F$216,4,0)</f>
        <v>0</v>
      </c>
      <c r="AK91" s="19">
        <f t="shared" si="157"/>
        <v>0</v>
      </c>
      <c r="AL91" s="16"/>
      <c r="AM91" s="17">
        <f>VLOOKUP(AL91,'DATABASE F&amp;B'!$C$3:$F$216,2,0)</f>
        <v>0</v>
      </c>
      <c r="AN91" s="18">
        <v>1</v>
      </c>
      <c r="AO91" s="19">
        <f>VLOOKUP(AL91,'DATABASE F&amp;B'!$C$3:$F$216,4,0)</f>
        <v>0</v>
      </c>
      <c r="AP91" s="19">
        <f t="shared" si="158"/>
        <v>0</v>
      </c>
      <c r="AQ91" s="16"/>
      <c r="AR91" s="17">
        <f>VLOOKUP(AQ91,'DATABASE F&amp;B'!$C$3:$F$216,2,0)</f>
        <v>0</v>
      </c>
      <c r="AS91" s="18">
        <v>1</v>
      </c>
      <c r="AT91" s="19">
        <f>VLOOKUP(AQ91,'DATABASE F&amp;B'!$C$3:$F$216,4,0)</f>
        <v>0</v>
      </c>
      <c r="AU91" s="19">
        <f t="shared" si="159"/>
        <v>0</v>
      </c>
      <c r="AV91" s="16"/>
      <c r="AW91" s="17">
        <f>VLOOKUP(AV91,'DATABASE F&amp;B'!$C$3:$F$216,2,0)</f>
        <v>0</v>
      </c>
      <c r="AX91" s="18"/>
      <c r="AY91" s="19">
        <f>VLOOKUP(AV91,'DATABASE F&amp;B'!$C$3:$F$216,4,0)</f>
        <v>0</v>
      </c>
      <c r="AZ91" s="19">
        <f t="shared" si="160"/>
        <v>0</v>
      </c>
      <c r="BA91" s="16"/>
      <c r="BB91" s="17">
        <f>VLOOKUP(BA91,'DATABASE F&amp;B'!$C$3:$F$216,2,0)</f>
        <v>0</v>
      </c>
      <c r="BC91" s="18"/>
      <c r="BD91" s="19">
        <f>VLOOKUP(BA91,'DATABASE F&amp;B'!$C$3:$F$216,4,0)</f>
        <v>0</v>
      </c>
      <c r="BE91" s="19">
        <f t="shared" si="161"/>
        <v>0</v>
      </c>
      <c r="BF91" s="16"/>
      <c r="BG91" s="17">
        <f>VLOOKUP(BF91,'DATABASE F&amp;B'!$C$3:$F$216,2,0)</f>
        <v>0</v>
      </c>
      <c r="BH91" s="18"/>
      <c r="BI91" s="19">
        <f>VLOOKUP(BF91,'DATABASE F&amp;B'!$C$3:$F$216,4,0)</f>
        <v>0</v>
      </c>
      <c r="BJ91" s="19">
        <f t="shared" si="162"/>
        <v>0</v>
      </c>
      <c r="BK91" s="16"/>
      <c r="BL91" s="17">
        <f>VLOOKUP(BK91,'DATABASE F&amp;B'!$C$3:$F$210,2,0)</f>
        <v>0</v>
      </c>
      <c r="BM91" s="18"/>
      <c r="BN91" s="19">
        <f>VLOOKUP(BK91,'DATABASE F&amp;B'!$C$3:$F$210,4,0)</f>
        <v>0</v>
      </c>
      <c r="BO91" s="19">
        <f t="shared" si="163"/>
        <v>0</v>
      </c>
      <c r="BP91" s="16"/>
      <c r="BQ91" s="17">
        <f>VLOOKUP(BP91,'DATABASE F&amp;B'!$C$3:$F$210,2,0)</f>
        <v>0</v>
      </c>
      <c r="BR91" s="18"/>
      <c r="BS91" s="19">
        <f>VLOOKUP(BP91,'DATABASE F&amp;B'!$C$3:$F$210,4,0)</f>
        <v>0</v>
      </c>
      <c r="BT91" s="19">
        <f t="shared" si="164"/>
        <v>0</v>
      </c>
      <c r="BU91" s="16"/>
      <c r="BV91" s="17">
        <f>VLOOKUP(BU91,'DATABASE F&amp;B'!$C$3:$F$210,2,0)</f>
        <v>0</v>
      </c>
      <c r="BW91" s="18"/>
      <c r="BX91" s="19">
        <f>VLOOKUP(BU91,'DATABASE F&amp;B'!$C$3:$F$210,4,0)</f>
        <v>0</v>
      </c>
      <c r="BY91" s="19">
        <f t="shared" si="165"/>
        <v>0</v>
      </c>
      <c r="BZ91" s="16"/>
      <c r="CA91" s="17">
        <f>VLOOKUP(BZ91,'DATABASE F&amp;B'!$C$3:$F$210,2,0)</f>
        <v>0</v>
      </c>
      <c r="CB91" s="18"/>
      <c r="CC91" s="19">
        <f>VLOOKUP(BZ91,'DATABASE F&amp;B'!$C$3:$F$210,4,0)</f>
        <v>0</v>
      </c>
      <c r="CD91" s="19">
        <f t="shared" si="166"/>
        <v>0</v>
      </c>
    </row>
    <row r="92" spans="1:82" ht="13.5" x14ac:dyDescent="0.25">
      <c r="A92" s="32" t="str">
        <f t="shared" si="147"/>
        <v>05-'16-2026</v>
      </c>
      <c r="B92" s="22">
        <f t="shared" si="167"/>
        <v>88</v>
      </c>
      <c r="C92" s="22">
        <f t="shared" si="167"/>
        <v>88</v>
      </c>
      <c r="D92" s="34">
        <v>46158</v>
      </c>
      <c r="E92" s="35" t="s">
        <v>60</v>
      </c>
      <c r="F92" s="35" t="s">
        <v>202</v>
      </c>
      <c r="G92" s="52" t="s">
        <v>81</v>
      </c>
      <c r="H92" s="36" t="str">
        <f t="shared" si="145"/>
        <v>RJ-'160526-88</v>
      </c>
      <c r="I92" s="36" t="str">
        <f t="shared" si="148"/>
        <v>'16-05-2026</v>
      </c>
      <c r="J92" s="37" t="str">
        <f>VLOOKUP(D92,Laporan!$C$4:$D$34,2,0)</f>
        <v>Sabtu</v>
      </c>
      <c r="K92" s="48"/>
      <c r="L92" s="13" t="s">
        <v>33</v>
      </c>
      <c r="M92" s="19">
        <f>SUMIF('DATABASE Room'!$B$3:$B$7,L92,'DATABASE Room'!$D$3:$D$7)</f>
        <v>0</v>
      </c>
      <c r="N92" s="13">
        <v>1</v>
      </c>
      <c r="O92" s="21">
        <f t="shared" si="149"/>
        <v>0</v>
      </c>
      <c r="P92" s="38"/>
      <c r="Q92" s="19">
        <f t="shared" si="150"/>
        <v>0</v>
      </c>
      <c r="R92" s="21">
        <f t="shared" si="151"/>
        <v>0</v>
      </c>
      <c r="S92" s="19">
        <f t="shared" si="152"/>
        <v>5</v>
      </c>
      <c r="T92" s="19">
        <f t="shared" si="153"/>
        <v>28000</v>
      </c>
      <c r="U92" s="21">
        <f t="shared" si="154"/>
        <v>28000</v>
      </c>
      <c r="V92" s="39"/>
      <c r="W92" s="16">
        <v>11</v>
      </c>
      <c r="X92" s="17" t="str">
        <f>VLOOKUP(W92,'DATABASE F&amp;B'!$C$3:$F$216,2,0)</f>
        <v>KACANG MIX DK</v>
      </c>
      <c r="Y92" s="18">
        <v>1</v>
      </c>
      <c r="Z92" s="19">
        <f>VLOOKUP(W92,'DATABASE F&amp;B'!$C$3:$F$216,4,0)</f>
        <v>28000</v>
      </c>
      <c r="AA92" s="19">
        <f t="shared" si="155"/>
        <v>28000</v>
      </c>
      <c r="AB92" s="16"/>
      <c r="AC92" s="17">
        <f>VLOOKUP(AB92,'DATABASE F&amp;B'!$C$3:$F$216,2,0)</f>
        <v>0</v>
      </c>
      <c r="AD92" s="18">
        <v>1</v>
      </c>
      <c r="AE92" s="19">
        <f>VLOOKUP(AB92,'DATABASE F&amp;B'!$C$3:$F$216,4,0)</f>
        <v>0</v>
      </c>
      <c r="AF92" s="19">
        <f t="shared" si="156"/>
        <v>0</v>
      </c>
      <c r="AG92" s="16"/>
      <c r="AH92" s="17">
        <f>VLOOKUP(AG92,'DATABASE F&amp;B'!$C$3:$F$216,2,0)</f>
        <v>0</v>
      </c>
      <c r="AI92" s="18">
        <v>1</v>
      </c>
      <c r="AJ92" s="19">
        <f>VLOOKUP(AG92,'DATABASE F&amp;B'!$C$3:$F$216,4,0)</f>
        <v>0</v>
      </c>
      <c r="AK92" s="19">
        <f t="shared" si="157"/>
        <v>0</v>
      </c>
      <c r="AL92" s="16"/>
      <c r="AM92" s="17">
        <f>VLOOKUP(AL92,'DATABASE F&amp;B'!$C$3:$F$216,2,0)</f>
        <v>0</v>
      </c>
      <c r="AN92" s="18">
        <v>1</v>
      </c>
      <c r="AO92" s="19">
        <f>VLOOKUP(AL92,'DATABASE F&amp;B'!$C$3:$F$216,4,0)</f>
        <v>0</v>
      </c>
      <c r="AP92" s="19">
        <f t="shared" si="158"/>
        <v>0</v>
      </c>
      <c r="AQ92" s="16"/>
      <c r="AR92" s="17">
        <f>VLOOKUP(AQ92,'DATABASE F&amp;B'!$C$3:$F$216,2,0)</f>
        <v>0</v>
      </c>
      <c r="AS92" s="18">
        <v>1</v>
      </c>
      <c r="AT92" s="19">
        <f>VLOOKUP(AQ92,'DATABASE F&amp;B'!$C$3:$F$216,4,0)</f>
        <v>0</v>
      </c>
      <c r="AU92" s="19">
        <f t="shared" si="159"/>
        <v>0</v>
      </c>
      <c r="AV92" s="16"/>
      <c r="AW92" s="17">
        <f>VLOOKUP(AV92,'DATABASE F&amp;B'!$C$3:$F$216,2,0)</f>
        <v>0</v>
      </c>
      <c r="AX92" s="18"/>
      <c r="AY92" s="19">
        <f>VLOOKUP(AV92,'DATABASE F&amp;B'!$C$3:$F$216,4,0)</f>
        <v>0</v>
      </c>
      <c r="AZ92" s="19">
        <f t="shared" si="160"/>
        <v>0</v>
      </c>
      <c r="BA92" s="16"/>
      <c r="BB92" s="17">
        <f>VLOOKUP(BA92,'DATABASE F&amp;B'!$C$3:$F$216,2,0)</f>
        <v>0</v>
      </c>
      <c r="BC92" s="18"/>
      <c r="BD92" s="19">
        <f>VLOOKUP(BA92,'DATABASE F&amp;B'!$C$3:$F$216,4,0)</f>
        <v>0</v>
      </c>
      <c r="BE92" s="19">
        <f t="shared" si="161"/>
        <v>0</v>
      </c>
      <c r="BF92" s="16"/>
      <c r="BG92" s="17">
        <f>VLOOKUP(BF92,'DATABASE F&amp;B'!$C$3:$F$216,2,0)</f>
        <v>0</v>
      </c>
      <c r="BH92" s="18"/>
      <c r="BI92" s="19">
        <f>VLOOKUP(BF92,'DATABASE F&amp;B'!$C$3:$F$216,4,0)</f>
        <v>0</v>
      </c>
      <c r="BJ92" s="19">
        <f t="shared" si="162"/>
        <v>0</v>
      </c>
      <c r="BK92" s="16"/>
      <c r="BL92" s="17">
        <f>VLOOKUP(BK92,'DATABASE F&amp;B'!$C$3:$F$210,2,0)</f>
        <v>0</v>
      </c>
      <c r="BM92" s="18"/>
      <c r="BN92" s="19">
        <f>VLOOKUP(BK92,'DATABASE F&amp;B'!$C$3:$F$210,4,0)</f>
        <v>0</v>
      </c>
      <c r="BO92" s="19">
        <f t="shared" si="163"/>
        <v>0</v>
      </c>
      <c r="BP92" s="16"/>
      <c r="BQ92" s="17">
        <f>VLOOKUP(BP92,'DATABASE F&amp;B'!$C$3:$F$210,2,0)</f>
        <v>0</v>
      </c>
      <c r="BR92" s="18"/>
      <c r="BS92" s="19">
        <f>VLOOKUP(BP92,'DATABASE F&amp;B'!$C$3:$F$210,4,0)</f>
        <v>0</v>
      </c>
      <c r="BT92" s="19">
        <f t="shared" si="164"/>
        <v>0</v>
      </c>
      <c r="BU92" s="16"/>
      <c r="BV92" s="17">
        <f>VLOOKUP(BU92,'DATABASE F&amp;B'!$C$3:$F$210,2,0)</f>
        <v>0</v>
      </c>
      <c r="BW92" s="18"/>
      <c r="BX92" s="19">
        <f>VLOOKUP(BU92,'DATABASE F&amp;B'!$C$3:$F$210,4,0)</f>
        <v>0</v>
      </c>
      <c r="BY92" s="19">
        <f t="shared" si="165"/>
        <v>0</v>
      </c>
      <c r="BZ92" s="16"/>
      <c r="CA92" s="17">
        <f>VLOOKUP(BZ92,'DATABASE F&amp;B'!$C$3:$F$210,2,0)</f>
        <v>0</v>
      </c>
      <c r="CB92" s="18"/>
      <c r="CC92" s="19">
        <f>VLOOKUP(BZ92,'DATABASE F&amp;B'!$C$3:$F$210,4,0)</f>
        <v>0</v>
      </c>
      <c r="CD92" s="19">
        <f t="shared" si="166"/>
        <v>0</v>
      </c>
    </row>
    <row r="93" spans="1:82" ht="13.5" x14ac:dyDescent="0.25">
      <c r="A93" s="32" t="str">
        <f t="shared" si="147"/>
        <v>05-'16-2026</v>
      </c>
      <c r="B93" s="22">
        <f t="shared" si="167"/>
        <v>89</v>
      </c>
      <c r="C93" s="22">
        <f t="shared" si="167"/>
        <v>89</v>
      </c>
      <c r="D93" s="34">
        <v>46158</v>
      </c>
      <c r="E93" s="35" t="s">
        <v>60</v>
      </c>
      <c r="F93" s="35" t="s">
        <v>202</v>
      </c>
      <c r="G93" s="52" t="s">
        <v>81</v>
      </c>
      <c r="H93" s="36" t="str">
        <f t="shared" si="145"/>
        <v>RJ-'160526-89</v>
      </c>
      <c r="I93" s="36" t="str">
        <f t="shared" si="148"/>
        <v>'16-05-2026</v>
      </c>
      <c r="J93" s="37" t="str">
        <f>VLOOKUP(D93,Laporan!$C$4:$D$34,2,0)</f>
        <v>Sabtu</v>
      </c>
      <c r="K93" s="48"/>
      <c r="L93" s="13" t="s">
        <v>33</v>
      </c>
      <c r="M93" s="19">
        <f>SUMIF('DATABASE Room'!$B$3:$B$7,L93,'DATABASE Room'!$D$3:$D$7)</f>
        <v>0</v>
      </c>
      <c r="N93" s="13">
        <v>1</v>
      </c>
      <c r="O93" s="21">
        <f t="shared" si="149"/>
        <v>0</v>
      </c>
      <c r="P93" s="38"/>
      <c r="Q93" s="19">
        <f t="shared" si="150"/>
        <v>0</v>
      </c>
      <c r="R93" s="21">
        <f t="shared" si="151"/>
        <v>0</v>
      </c>
      <c r="S93" s="19">
        <f t="shared" si="152"/>
        <v>5</v>
      </c>
      <c r="T93" s="19">
        <f t="shared" si="153"/>
        <v>184000</v>
      </c>
      <c r="U93" s="21">
        <f t="shared" si="154"/>
        <v>184000</v>
      </c>
      <c r="V93" s="39"/>
      <c r="W93" s="16">
        <v>12</v>
      </c>
      <c r="X93" s="17" t="str">
        <f>VLOOKUP(W93,'DATABASE F&amp;B'!$C$3:$F$216,2,0)</f>
        <v>HANDCUTTED TRUFFLES FRIES</v>
      </c>
      <c r="Y93" s="18">
        <v>1</v>
      </c>
      <c r="Z93" s="19">
        <f>VLOOKUP(W93,'DATABASE F&amp;B'!$C$3:$F$216,4,0)</f>
        <v>24000</v>
      </c>
      <c r="AA93" s="19">
        <f t="shared" si="155"/>
        <v>24000</v>
      </c>
      <c r="AB93" s="16">
        <v>81</v>
      </c>
      <c r="AC93" s="17" t="str">
        <f>VLOOKUP(AB93,'DATABASE F&amp;B'!$C$3:$F$216,2,0)</f>
        <v>CONG YANG 620ML</v>
      </c>
      <c r="AD93" s="18">
        <v>1</v>
      </c>
      <c r="AE93" s="19">
        <f>VLOOKUP(AB93,'DATABASE F&amp;B'!$C$3:$F$216,4,0)</f>
        <v>160000</v>
      </c>
      <c r="AF93" s="19">
        <f t="shared" si="156"/>
        <v>160000</v>
      </c>
      <c r="AG93" s="16"/>
      <c r="AH93" s="17">
        <f>VLOOKUP(AG93,'DATABASE F&amp;B'!$C$3:$F$216,2,0)</f>
        <v>0</v>
      </c>
      <c r="AI93" s="18">
        <v>1</v>
      </c>
      <c r="AJ93" s="19">
        <f>VLOOKUP(AG93,'DATABASE F&amp;B'!$C$3:$F$216,4,0)</f>
        <v>0</v>
      </c>
      <c r="AK93" s="19">
        <f t="shared" si="157"/>
        <v>0</v>
      </c>
      <c r="AL93" s="16"/>
      <c r="AM93" s="17">
        <f>VLOOKUP(AL93,'DATABASE F&amp;B'!$C$3:$F$216,2,0)</f>
        <v>0</v>
      </c>
      <c r="AN93" s="18">
        <v>1</v>
      </c>
      <c r="AO93" s="19">
        <f>VLOOKUP(AL93,'DATABASE F&amp;B'!$C$3:$F$216,4,0)</f>
        <v>0</v>
      </c>
      <c r="AP93" s="19">
        <f t="shared" si="158"/>
        <v>0</v>
      </c>
      <c r="AQ93" s="16"/>
      <c r="AR93" s="17">
        <f>VLOOKUP(AQ93,'DATABASE F&amp;B'!$C$3:$F$216,2,0)</f>
        <v>0</v>
      </c>
      <c r="AS93" s="18">
        <v>1</v>
      </c>
      <c r="AT93" s="19">
        <f>VLOOKUP(AQ93,'DATABASE F&amp;B'!$C$3:$F$216,4,0)</f>
        <v>0</v>
      </c>
      <c r="AU93" s="19">
        <f t="shared" si="159"/>
        <v>0</v>
      </c>
      <c r="AV93" s="16"/>
      <c r="AW93" s="17">
        <f>VLOOKUP(AV93,'DATABASE F&amp;B'!$C$3:$F$216,2,0)</f>
        <v>0</v>
      </c>
      <c r="AX93" s="18"/>
      <c r="AY93" s="19">
        <f>VLOOKUP(AV93,'DATABASE F&amp;B'!$C$3:$F$216,4,0)</f>
        <v>0</v>
      </c>
      <c r="AZ93" s="19">
        <f t="shared" si="160"/>
        <v>0</v>
      </c>
      <c r="BA93" s="16"/>
      <c r="BB93" s="17">
        <f>VLOOKUP(BA93,'DATABASE F&amp;B'!$C$3:$F$216,2,0)</f>
        <v>0</v>
      </c>
      <c r="BC93" s="18"/>
      <c r="BD93" s="19">
        <f>VLOOKUP(BA93,'DATABASE F&amp;B'!$C$3:$F$216,4,0)</f>
        <v>0</v>
      </c>
      <c r="BE93" s="19">
        <f t="shared" si="161"/>
        <v>0</v>
      </c>
      <c r="BF93" s="16"/>
      <c r="BG93" s="17">
        <f>VLOOKUP(BF93,'DATABASE F&amp;B'!$C$3:$F$216,2,0)</f>
        <v>0</v>
      </c>
      <c r="BH93" s="18"/>
      <c r="BI93" s="19">
        <f>VLOOKUP(BF93,'DATABASE F&amp;B'!$C$3:$F$216,4,0)</f>
        <v>0</v>
      </c>
      <c r="BJ93" s="19">
        <f t="shared" si="162"/>
        <v>0</v>
      </c>
      <c r="BK93" s="16"/>
      <c r="BL93" s="17">
        <f>VLOOKUP(BK93,'DATABASE F&amp;B'!$C$3:$F$210,2,0)</f>
        <v>0</v>
      </c>
      <c r="BM93" s="18"/>
      <c r="BN93" s="19">
        <f>VLOOKUP(BK93,'DATABASE F&amp;B'!$C$3:$F$210,4,0)</f>
        <v>0</v>
      </c>
      <c r="BO93" s="19">
        <f t="shared" si="163"/>
        <v>0</v>
      </c>
      <c r="BP93" s="16"/>
      <c r="BQ93" s="17">
        <f>VLOOKUP(BP93,'DATABASE F&amp;B'!$C$3:$F$210,2,0)</f>
        <v>0</v>
      </c>
      <c r="BR93" s="18"/>
      <c r="BS93" s="19">
        <f>VLOOKUP(BP93,'DATABASE F&amp;B'!$C$3:$F$210,4,0)</f>
        <v>0</v>
      </c>
      <c r="BT93" s="19">
        <f t="shared" si="164"/>
        <v>0</v>
      </c>
      <c r="BU93" s="16"/>
      <c r="BV93" s="17">
        <f>VLOOKUP(BU93,'DATABASE F&amp;B'!$C$3:$F$210,2,0)</f>
        <v>0</v>
      </c>
      <c r="BW93" s="18"/>
      <c r="BX93" s="19">
        <f>VLOOKUP(BU93,'DATABASE F&amp;B'!$C$3:$F$210,4,0)</f>
        <v>0</v>
      </c>
      <c r="BY93" s="19">
        <f t="shared" si="165"/>
        <v>0</v>
      </c>
      <c r="BZ93" s="16"/>
      <c r="CA93" s="17">
        <f>VLOOKUP(BZ93,'DATABASE F&amp;B'!$C$3:$F$210,2,0)</f>
        <v>0</v>
      </c>
      <c r="CB93" s="18"/>
      <c r="CC93" s="19">
        <f>VLOOKUP(BZ93,'DATABASE F&amp;B'!$C$3:$F$210,4,0)</f>
        <v>0</v>
      </c>
      <c r="CD93" s="19">
        <f t="shared" si="166"/>
        <v>0</v>
      </c>
    </row>
    <row r="94" spans="1:82" ht="13.5" x14ac:dyDescent="0.25">
      <c r="A94" s="32" t="str">
        <f t="shared" si="147"/>
        <v>05-'17-2026</v>
      </c>
      <c r="B94" s="22">
        <f t="shared" si="167"/>
        <v>90</v>
      </c>
      <c r="C94" s="22">
        <f t="shared" si="167"/>
        <v>90</v>
      </c>
      <c r="D94" s="34">
        <v>46159</v>
      </c>
      <c r="E94" s="35" t="s">
        <v>79</v>
      </c>
      <c r="F94" s="35" t="s">
        <v>202</v>
      </c>
      <c r="G94" s="52" t="s">
        <v>81</v>
      </c>
      <c r="H94" s="36" t="str">
        <f t="shared" si="145"/>
        <v>RJ-'170526-90</v>
      </c>
      <c r="I94" s="36" t="str">
        <f t="shared" si="148"/>
        <v>'17-05-2026</v>
      </c>
      <c r="J94" s="37" t="str">
        <f>VLOOKUP(D94,Laporan!$C$4:$D$34,2,0)</f>
        <v>Minggu</v>
      </c>
      <c r="K94" s="48"/>
      <c r="L94" s="13" t="s">
        <v>33</v>
      </c>
      <c r="M94" s="19">
        <f>SUMIF('DATABASE Room'!$B$3:$B$7,L94,'DATABASE Room'!$D$3:$D$7)</f>
        <v>0</v>
      </c>
      <c r="N94" s="13">
        <v>1</v>
      </c>
      <c r="O94" s="21">
        <f t="shared" si="149"/>
        <v>0</v>
      </c>
      <c r="P94" s="38"/>
      <c r="Q94" s="19">
        <f t="shared" si="150"/>
        <v>0</v>
      </c>
      <c r="R94" s="21">
        <f t="shared" si="151"/>
        <v>0</v>
      </c>
      <c r="S94" s="19">
        <f t="shared" si="152"/>
        <v>5</v>
      </c>
      <c r="T94" s="19">
        <f t="shared" si="153"/>
        <v>145000</v>
      </c>
      <c r="U94" s="21">
        <f t="shared" si="154"/>
        <v>145000</v>
      </c>
      <c r="V94" s="39"/>
      <c r="W94" s="16">
        <v>42</v>
      </c>
      <c r="X94" s="17" t="str">
        <f>VLOOKUP(W94,'DATABASE F&amp;B'!$C$3:$F$216,2,0)</f>
        <v>SOJU JINRO ORI</v>
      </c>
      <c r="Y94" s="18">
        <v>1</v>
      </c>
      <c r="Z94" s="19">
        <f>VLOOKUP(W94,'DATABASE F&amp;B'!$C$3:$F$216,4,0)</f>
        <v>145000</v>
      </c>
      <c r="AA94" s="19">
        <f t="shared" si="155"/>
        <v>145000</v>
      </c>
      <c r="AB94" s="16"/>
      <c r="AC94" s="17">
        <f>VLOOKUP(AB94,'DATABASE F&amp;B'!$C$3:$F$216,2,0)</f>
        <v>0</v>
      </c>
      <c r="AD94" s="18">
        <v>1</v>
      </c>
      <c r="AE94" s="19">
        <f>VLOOKUP(AB94,'DATABASE F&amp;B'!$C$3:$F$216,4,0)</f>
        <v>0</v>
      </c>
      <c r="AF94" s="19">
        <f t="shared" si="156"/>
        <v>0</v>
      </c>
      <c r="AG94" s="16"/>
      <c r="AH94" s="17">
        <f>VLOOKUP(AG94,'DATABASE F&amp;B'!$C$3:$F$216,2,0)</f>
        <v>0</v>
      </c>
      <c r="AI94" s="18">
        <v>1</v>
      </c>
      <c r="AJ94" s="19">
        <f>VLOOKUP(AG94,'DATABASE F&amp;B'!$C$3:$F$216,4,0)</f>
        <v>0</v>
      </c>
      <c r="AK94" s="19">
        <f t="shared" si="157"/>
        <v>0</v>
      </c>
      <c r="AL94" s="16"/>
      <c r="AM94" s="17">
        <f>VLOOKUP(AL94,'DATABASE F&amp;B'!$C$3:$F$216,2,0)</f>
        <v>0</v>
      </c>
      <c r="AN94" s="18">
        <v>1</v>
      </c>
      <c r="AO94" s="19">
        <f>VLOOKUP(AL94,'DATABASE F&amp;B'!$C$3:$F$216,4,0)</f>
        <v>0</v>
      </c>
      <c r="AP94" s="19">
        <f t="shared" si="158"/>
        <v>0</v>
      </c>
      <c r="AQ94" s="16"/>
      <c r="AR94" s="17">
        <f>VLOOKUP(AQ94,'DATABASE F&amp;B'!$C$3:$F$216,2,0)</f>
        <v>0</v>
      </c>
      <c r="AS94" s="18">
        <v>1</v>
      </c>
      <c r="AT94" s="19">
        <f>VLOOKUP(AQ94,'DATABASE F&amp;B'!$C$3:$F$216,4,0)</f>
        <v>0</v>
      </c>
      <c r="AU94" s="19">
        <f t="shared" si="159"/>
        <v>0</v>
      </c>
      <c r="AV94" s="16"/>
      <c r="AW94" s="17">
        <f>VLOOKUP(AV94,'DATABASE F&amp;B'!$C$3:$F$216,2,0)</f>
        <v>0</v>
      </c>
      <c r="AX94" s="18"/>
      <c r="AY94" s="19">
        <f>VLOOKUP(AV94,'DATABASE F&amp;B'!$C$3:$F$216,4,0)</f>
        <v>0</v>
      </c>
      <c r="AZ94" s="19">
        <f t="shared" si="160"/>
        <v>0</v>
      </c>
      <c r="BA94" s="16"/>
      <c r="BB94" s="17">
        <f>VLOOKUP(BA94,'DATABASE F&amp;B'!$C$3:$F$216,2,0)</f>
        <v>0</v>
      </c>
      <c r="BC94" s="18"/>
      <c r="BD94" s="19">
        <f>VLOOKUP(BA94,'DATABASE F&amp;B'!$C$3:$F$216,4,0)</f>
        <v>0</v>
      </c>
      <c r="BE94" s="19">
        <f t="shared" si="161"/>
        <v>0</v>
      </c>
      <c r="BF94" s="16"/>
      <c r="BG94" s="17">
        <f>VLOOKUP(BF94,'DATABASE F&amp;B'!$C$3:$F$216,2,0)</f>
        <v>0</v>
      </c>
      <c r="BH94" s="18"/>
      <c r="BI94" s="19">
        <f>VLOOKUP(BF94,'DATABASE F&amp;B'!$C$3:$F$216,4,0)</f>
        <v>0</v>
      </c>
      <c r="BJ94" s="19">
        <f t="shared" si="162"/>
        <v>0</v>
      </c>
      <c r="BK94" s="16"/>
      <c r="BL94" s="17">
        <f>VLOOKUP(BK94,'DATABASE F&amp;B'!$C$3:$F$210,2,0)</f>
        <v>0</v>
      </c>
      <c r="BM94" s="18"/>
      <c r="BN94" s="19">
        <f>VLOOKUP(BK94,'DATABASE F&amp;B'!$C$3:$F$210,4,0)</f>
        <v>0</v>
      </c>
      <c r="BO94" s="19">
        <f t="shared" si="163"/>
        <v>0</v>
      </c>
      <c r="BP94" s="16"/>
      <c r="BQ94" s="17">
        <f>VLOOKUP(BP94,'DATABASE F&amp;B'!$C$3:$F$210,2,0)</f>
        <v>0</v>
      </c>
      <c r="BR94" s="18"/>
      <c r="BS94" s="19">
        <f>VLOOKUP(BP94,'DATABASE F&amp;B'!$C$3:$F$210,4,0)</f>
        <v>0</v>
      </c>
      <c r="BT94" s="19">
        <f t="shared" si="164"/>
        <v>0</v>
      </c>
      <c r="BU94" s="16"/>
      <c r="BV94" s="17">
        <f>VLOOKUP(BU94,'DATABASE F&amp;B'!$C$3:$F$210,2,0)</f>
        <v>0</v>
      </c>
      <c r="BW94" s="18"/>
      <c r="BX94" s="19">
        <f>VLOOKUP(BU94,'DATABASE F&amp;B'!$C$3:$F$210,4,0)</f>
        <v>0</v>
      </c>
      <c r="BY94" s="19">
        <f t="shared" si="165"/>
        <v>0</v>
      </c>
      <c r="BZ94" s="16"/>
      <c r="CA94" s="17">
        <f>VLOOKUP(BZ94,'DATABASE F&amp;B'!$C$3:$F$210,2,0)</f>
        <v>0</v>
      </c>
      <c r="CB94" s="18"/>
      <c r="CC94" s="19">
        <f>VLOOKUP(BZ94,'DATABASE F&amp;B'!$C$3:$F$210,4,0)</f>
        <v>0</v>
      </c>
      <c r="CD94" s="19">
        <f t="shared" si="166"/>
        <v>0</v>
      </c>
    </row>
    <row r="95" spans="1:82" ht="13.5" x14ac:dyDescent="0.25">
      <c r="A95" s="32" t="str">
        <f t="shared" si="147"/>
        <v>05-'17-2026</v>
      </c>
      <c r="B95" s="22">
        <f t="shared" si="167"/>
        <v>91</v>
      </c>
      <c r="C95" s="22">
        <f t="shared" si="167"/>
        <v>91</v>
      </c>
      <c r="D95" s="34">
        <v>46159</v>
      </c>
      <c r="E95" s="35" t="s">
        <v>79</v>
      </c>
      <c r="F95" s="35" t="s">
        <v>202</v>
      </c>
      <c r="G95" s="52" t="s">
        <v>81</v>
      </c>
      <c r="H95" s="36" t="str">
        <f t="shared" si="145"/>
        <v>RJ-'170526-91</v>
      </c>
      <c r="I95" s="36" t="str">
        <f t="shared" si="148"/>
        <v>'17-05-2026</v>
      </c>
      <c r="J95" s="37" t="str">
        <f>VLOOKUP(D95,Laporan!$C$4:$D$34,2,0)</f>
        <v>Minggu</v>
      </c>
      <c r="K95" s="48"/>
      <c r="L95" s="13" t="s">
        <v>33</v>
      </c>
      <c r="M95" s="19">
        <f>SUMIF('DATABASE Room'!$B$3:$B$7,L95,'DATABASE Room'!$D$3:$D$7)</f>
        <v>0</v>
      </c>
      <c r="N95" s="13">
        <v>1</v>
      </c>
      <c r="O95" s="21">
        <f t="shared" si="149"/>
        <v>0</v>
      </c>
      <c r="P95" s="38"/>
      <c r="Q95" s="19">
        <f t="shared" si="150"/>
        <v>0</v>
      </c>
      <c r="R95" s="21">
        <f t="shared" si="151"/>
        <v>0</v>
      </c>
      <c r="S95" s="19">
        <f t="shared" si="152"/>
        <v>5</v>
      </c>
      <c r="T95" s="19">
        <f t="shared" si="153"/>
        <v>75000</v>
      </c>
      <c r="U95" s="21">
        <f t="shared" si="154"/>
        <v>75000</v>
      </c>
      <c r="V95" s="39"/>
      <c r="W95" s="16">
        <v>95</v>
      </c>
      <c r="X95" s="17" t="str">
        <f>VLOOKUP(W95,'DATABASE F&amp;B'!$C$3:$F$216,2,0)</f>
        <v>MARLBORO RED</v>
      </c>
      <c r="Y95" s="18">
        <v>1</v>
      </c>
      <c r="Z95" s="19">
        <f>VLOOKUP(W95,'DATABASE F&amp;B'!$C$3:$F$216,4,0)</f>
        <v>75000</v>
      </c>
      <c r="AA95" s="19">
        <f t="shared" si="155"/>
        <v>75000</v>
      </c>
      <c r="AB95" s="16"/>
      <c r="AC95" s="17">
        <f>VLOOKUP(AB95,'DATABASE F&amp;B'!$C$3:$F$216,2,0)</f>
        <v>0</v>
      </c>
      <c r="AD95" s="18">
        <v>1</v>
      </c>
      <c r="AE95" s="19">
        <f>VLOOKUP(AB95,'DATABASE F&amp;B'!$C$3:$F$216,4,0)</f>
        <v>0</v>
      </c>
      <c r="AF95" s="19">
        <f t="shared" si="156"/>
        <v>0</v>
      </c>
      <c r="AG95" s="16"/>
      <c r="AH95" s="17">
        <f>VLOOKUP(AG95,'DATABASE F&amp;B'!$C$3:$F$216,2,0)</f>
        <v>0</v>
      </c>
      <c r="AI95" s="18">
        <v>1</v>
      </c>
      <c r="AJ95" s="19">
        <f>VLOOKUP(AG95,'DATABASE F&amp;B'!$C$3:$F$216,4,0)</f>
        <v>0</v>
      </c>
      <c r="AK95" s="19">
        <f t="shared" si="157"/>
        <v>0</v>
      </c>
      <c r="AL95" s="16"/>
      <c r="AM95" s="17">
        <f>VLOOKUP(AL95,'DATABASE F&amp;B'!$C$3:$F$216,2,0)</f>
        <v>0</v>
      </c>
      <c r="AN95" s="18">
        <v>1</v>
      </c>
      <c r="AO95" s="19">
        <f>VLOOKUP(AL95,'DATABASE F&amp;B'!$C$3:$F$216,4,0)</f>
        <v>0</v>
      </c>
      <c r="AP95" s="19">
        <f t="shared" si="158"/>
        <v>0</v>
      </c>
      <c r="AQ95" s="16"/>
      <c r="AR95" s="17">
        <f>VLOOKUP(AQ95,'DATABASE F&amp;B'!$C$3:$F$216,2,0)</f>
        <v>0</v>
      </c>
      <c r="AS95" s="18">
        <v>1</v>
      </c>
      <c r="AT95" s="19">
        <f>VLOOKUP(AQ95,'DATABASE F&amp;B'!$C$3:$F$216,4,0)</f>
        <v>0</v>
      </c>
      <c r="AU95" s="19">
        <f t="shared" si="159"/>
        <v>0</v>
      </c>
      <c r="AV95" s="16"/>
      <c r="AW95" s="17">
        <f>VLOOKUP(AV95,'DATABASE F&amp;B'!$C$3:$F$216,2,0)</f>
        <v>0</v>
      </c>
      <c r="AX95" s="18"/>
      <c r="AY95" s="19">
        <f>VLOOKUP(AV95,'DATABASE F&amp;B'!$C$3:$F$216,4,0)</f>
        <v>0</v>
      </c>
      <c r="AZ95" s="19">
        <f t="shared" si="160"/>
        <v>0</v>
      </c>
      <c r="BA95" s="16"/>
      <c r="BB95" s="17">
        <f>VLOOKUP(BA95,'DATABASE F&amp;B'!$C$3:$F$216,2,0)</f>
        <v>0</v>
      </c>
      <c r="BC95" s="18"/>
      <c r="BD95" s="19">
        <f>VLOOKUP(BA95,'DATABASE F&amp;B'!$C$3:$F$216,4,0)</f>
        <v>0</v>
      </c>
      <c r="BE95" s="19">
        <f t="shared" si="161"/>
        <v>0</v>
      </c>
      <c r="BF95" s="16"/>
      <c r="BG95" s="17">
        <f>VLOOKUP(BF95,'DATABASE F&amp;B'!$C$3:$F$216,2,0)</f>
        <v>0</v>
      </c>
      <c r="BH95" s="18"/>
      <c r="BI95" s="19">
        <f>VLOOKUP(BF95,'DATABASE F&amp;B'!$C$3:$F$216,4,0)</f>
        <v>0</v>
      </c>
      <c r="BJ95" s="19">
        <f t="shared" si="162"/>
        <v>0</v>
      </c>
      <c r="BK95" s="16"/>
      <c r="BL95" s="17">
        <f>VLOOKUP(BK95,'DATABASE F&amp;B'!$C$3:$F$210,2,0)</f>
        <v>0</v>
      </c>
      <c r="BM95" s="18"/>
      <c r="BN95" s="19">
        <f>VLOOKUP(BK95,'DATABASE F&amp;B'!$C$3:$F$210,4,0)</f>
        <v>0</v>
      </c>
      <c r="BO95" s="19">
        <f t="shared" si="163"/>
        <v>0</v>
      </c>
      <c r="BP95" s="16"/>
      <c r="BQ95" s="17">
        <f>VLOOKUP(BP95,'DATABASE F&amp;B'!$C$3:$F$210,2,0)</f>
        <v>0</v>
      </c>
      <c r="BR95" s="18"/>
      <c r="BS95" s="19">
        <f>VLOOKUP(BP95,'DATABASE F&amp;B'!$C$3:$F$210,4,0)</f>
        <v>0</v>
      </c>
      <c r="BT95" s="19">
        <f t="shared" si="164"/>
        <v>0</v>
      </c>
      <c r="BU95" s="16"/>
      <c r="BV95" s="17">
        <f>VLOOKUP(BU95,'DATABASE F&amp;B'!$C$3:$F$210,2,0)</f>
        <v>0</v>
      </c>
      <c r="BW95" s="18"/>
      <c r="BX95" s="19">
        <f>VLOOKUP(BU95,'DATABASE F&amp;B'!$C$3:$F$210,4,0)</f>
        <v>0</v>
      </c>
      <c r="BY95" s="19">
        <f t="shared" si="165"/>
        <v>0</v>
      </c>
      <c r="BZ95" s="16"/>
      <c r="CA95" s="17">
        <f>VLOOKUP(BZ95,'DATABASE F&amp;B'!$C$3:$F$210,2,0)</f>
        <v>0</v>
      </c>
      <c r="CB95" s="18"/>
      <c r="CC95" s="19">
        <f>VLOOKUP(BZ95,'DATABASE F&amp;B'!$C$3:$F$210,4,0)</f>
        <v>0</v>
      </c>
      <c r="CD95" s="19">
        <f t="shared" si="166"/>
        <v>0</v>
      </c>
    </row>
    <row r="96" spans="1:82" ht="13.5" x14ac:dyDescent="0.25">
      <c r="A96" s="32" t="str">
        <f t="shared" si="147"/>
        <v>05-'17-2026</v>
      </c>
      <c r="B96" s="22">
        <f t="shared" si="167"/>
        <v>92</v>
      </c>
      <c r="C96" s="22">
        <f t="shared" si="167"/>
        <v>92</v>
      </c>
      <c r="D96" s="34">
        <v>46159</v>
      </c>
      <c r="E96" s="35" t="s">
        <v>79</v>
      </c>
      <c r="F96" s="35" t="s">
        <v>202</v>
      </c>
      <c r="G96" s="52" t="s">
        <v>81</v>
      </c>
      <c r="H96" s="36" t="str">
        <f t="shared" si="145"/>
        <v>RJ-'170526-92</v>
      </c>
      <c r="I96" s="36" t="str">
        <f t="shared" si="148"/>
        <v>'17-05-2026</v>
      </c>
      <c r="J96" s="37" t="str">
        <f>VLOOKUP(D96,Laporan!$C$4:$D$34,2,0)</f>
        <v>Minggu</v>
      </c>
      <c r="K96" s="48"/>
      <c r="L96" s="13" t="s">
        <v>33</v>
      </c>
      <c r="M96" s="19">
        <f>SUMIF('DATABASE Room'!$B$3:$B$7,L96,'DATABASE Room'!$D$3:$D$7)</f>
        <v>0</v>
      </c>
      <c r="N96" s="13">
        <v>1</v>
      </c>
      <c r="O96" s="21">
        <f t="shared" si="149"/>
        <v>0</v>
      </c>
      <c r="P96" s="38"/>
      <c r="Q96" s="19">
        <f t="shared" si="150"/>
        <v>0</v>
      </c>
      <c r="R96" s="21">
        <f t="shared" si="151"/>
        <v>0</v>
      </c>
      <c r="S96" s="19">
        <f t="shared" si="152"/>
        <v>5</v>
      </c>
      <c r="T96" s="19">
        <f t="shared" si="153"/>
        <v>28000</v>
      </c>
      <c r="U96" s="21">
        <f t="shared" si="154"/>
        <v>28000</v>
      </c>
      <c r="V96" s="39"/>
      <c r="W96" s="16">
        <v>15</v>
      </c>
      <c r="X96" s="17" t="str">
        <f>VLOOKUP(W96,'DATABASE F&amp;B'!$C$3:$F$216,2,0)</f>
        <v>CHICKEN SKIN</v>
      </c>
      <c r="Y96" s="18">
        <v>1</v>
      </c>
      <c r="Z96" s="19">
        <f>VLOOKUP(W96,'DATABASE F&amp;B'!$C$3:$F$216,4,0)</f>
        <v>28000</v>
      </c>
      <c r="AA96" s="19">
        <f t="shared" si="155"/>
        <v>28000</v>
      </c>
      <c r="AB96" s="16"/>
      <c r="AC96" s="17">
        <f>VLOOKUP(AB96,'DATABASE F&amp;B'!$C$3:$F$216,2,0)</f>
        <v>0</v>
      </c>
      <c r="AD96" s="18">
        <v>1</v>
      </c>
      <c r="AE96" s="19">
        <f>VLOOKUP(AB96,'DATABASE F&amp;B'!$C$3:$F$216,4,0)</f>
        <v>0</v>
      </c>
      <c r="AF96" s="19">
        <f t="shared" si="156"/>
        <v>0</v>
      </c>
      <c r="AG96" s="16"/>
      <c r="AH96" s="17">
        <f>VLOOKUP(AG96,'DATABASE F&amp;B'!$C$3:$F$216,2,0)</f>
        <v>0</v>
      </c>
      <c r="AI96" s="18">
        <v>1</v>
      </c>
      <c r="AJ96" s="19">
        <f>VLOOKUP(AG96,'DATABASE F&amp;B'!$C$3:$F$216,4,0)</f>
        <v>0</v>
      </c>
      <c r="AK96" s="19">
        <f t="shared" si="157"/>
        <v>0</v>
      </c>
      <c r="AL96" s="16"/>
      <c r="AM96" s="17">
        <f>VLOOKUP(AL96,'DATABASE F&amp;B'!$C$3:$F$216,2,0)</f>
        <v>0</v>
      </c>
      <c r="AN96" s="18">
        <v>1</v>
      </c>
      <c r="AO96" s="19">
        <f>VLOOKUP(AL96,'DATABASE F&amp;B'!$C$3:$F$216,4,0)</f>
        <v>0</v>
      </c>
      <c r="AP96" s="19">
        <f t="shared" si="158"/>
        <v>0</v>
      </c>
      <c r="AQ96" s="16"/>
      <c r="AR96" s="17">
        <f>VLOOKUP(AQ96,'DATABASE F&amp;B'!$C$3:$F$216,2,0)</f>
        <v>0</v>
      </c>
      <c r="AS96" s="18">
        <v>1</v>
      </c>
      <c r="AT96" s="19">
        <f>VLOOKUP(AQ96,'DATABASE F&amp;B'!$C$3:$F$216,4,0)</f>
        <v>0</v>
      </c>
      <c r="AU96" s="19">
        <f t="shared" si="159"/>
        <v>0</v>
      </c>
      <c r="AV96" s="16"/>
      <c r="AW96" s="17">
        <f>VLOOKUP(AV96,'DATABASE F&amp;B'!$C$3:$F$216,2,0)</f>
        <v>0</v>
      </c>
      <c r="AX96" s="18"/>
      <c r="AY96" s="19">
        <f>VLOOKUP(AV96,'DATABASE F&amp;B'!$C$3:$F$216,4,0)</f>
        <v>0</v>
      </c>
      <c r="AZ96" s="19">
        <f t="shared" si="160"/>
        <v>0</v>
      </c>
      <c r="BA96" s="16"/>
      <c r="BB96" s="17">
        <f>VLOOKUP(BA96,'DATABASE F&amp;B'!$C$3:$F$216,2,0)</f>
        <v>0</v>
      </c>
      <c r="BC96" s="18"/>
      <c r="BD96" s="19">
        <f>VLOOKUP(BA96,'DATABASE F&amp;B'!$C$3:$F$216,4,0)</f>
        <v>0</v>
      </c>
      <c r="BE96" s="19">
        <f t="shared" si="161"/>
        <v>0</v>
      </c>
      <c r="BF96" s="16"/>
      <c r="BG96" s="17">
        <f>VLOOKUP(BF96,'DATABASE F&amp;B'!$C$3:$F$216,2,0)</f>
        <v>0</v>
      </c>
      <c r="BH96" s="18"/>
      <c r="BI96" s="19">
        <f>VLOOKUP(BF96,'DATABASE F&amp;B'!$C$3:$F$216,4,0)</f>
        <v>0</v>
      </c>
      <c r="BJ96" s="19">
        <f t="shared" si="162"/>
        <v>0</v>
      </c>
      <c r="BK96" s="16"/>
      <c r="BL96" s="17">
        <f>VLOOKUP(BK96,'DATABASE F&amp;B'!$C$3:$F$210,2,0)</f>
        <v>0</v>
      </c>
      <c r="BM96" s="18"/>
      <c r="BN96" s="19">
        <f>VLOOKUP(BK96,'DATABASE F&amp;B'!$C$3:$F$210,4,0)</f>
        <v>0</v>
      </c>
      <c r="BO96" s="19">
        <f t="shared" si="163"/>
        <v>0</v>
      </c>
      <c r="BP96" s="16"/>
      <c r="BQ96" s="17">
        <f>VLOOKUP(BP96,'DATABASE F&amp;B'!$C$3:$F$210,2,0)</f>
        <v>0</v>
      </c>
      <c r="BR96" s="18"/>
      <c r="BS96" s="19">
        <f>VLOOKUP(BP96,'DATABASE F&amp;B'!$C$3:$F$210,4,0)</f>
        <v>0</v>
      </c>
      <c r="BT96" s="19">
        <f t="shared" si="164"/>
        <v>0</v>
      </c>
      <c r="BU96" s="16"/>
      <c r="BV96" s="17">
        <f>VLOOKUP(BU96,'DATABASE F&amp;B'!$C$3:$F$210,2,0)</f>
        <v>0</v>
      </c>
      <c r="BW96" s="18"/>
      <c r="BX96" s="19">
        <f>VLOOKUP(BU96,'DATABASE F&amp;B'!$C$3:$F$210,4,0)</f>
        <v>0</v>
      </c>
      <c r="BY96" s="19">
        <f t="shared" si="165"/>
        <v>0</v>
      </c>
      <c r="BZ96" s="16"/>
      <c r="CA96" s="17">
        <f>VLOOKUP(BZ96,'DATABASE F&amp;B'!$C$3:$F$210,2,0)</f>
        <v>0</v>
      </c>
      <c r="CB96" s="18"/>
      <c r="CC96" s="19">
        <f>VLOOKUP(BZ96,'DATABASE F&amp;B'!$C$3:$F$210,4,0)</f>
        <v>0</v>
      </c>
      <c r="CD96" s="19">
        <f t="shared" si="166"/>
        <v>0</v>
      </c>
    </row>
    <row r="97" spans="1:82" ht="13.5" x14ac:dyDescent="0.25">
      <c r="A97" s="32" t="str">
        <f t="shared" si="147"/>
        <v>05-'17-2026</v>
      </c>
      <c r="B97" s="22">
        <f t="shared" si="167"/>
        <v>93</v>
      </c>
      <c r="C97" s="22">
        <f t="shared" si="167"/>
        <v>93</v>
      </c>
      <c r="D97" s="34">
        <v>46159</v>
      </c>
      <c r="E97" s="35" t="s">
        <v>79</v>
      </c>
      <c r="F97" s="35" t="s">
        <v>202</v>
      </c>
      <c r="G97" s="52" t="s">
        <v>81</v>
      </c>
      <c r="H97" s="36" t="str">
        <f t="shared" si="145"/>
        <v>RJ-'170526-93</v>
      </c>
      <c r="I97" s="36" t="str">
        <f t="shared" si="148"/>
        <v>'17-05-2026</v>
      </c>
      <c r="J97" s="37" t="str">
        <f>VLOOKUP(D97,Laporan!$C$4:$D$34,2,0)</f>
        <v>Minggu</v>
      </c>
      <c r="K97" s="48"/>
      <c r="L97" s="13" t="s">
        <v>33</v>
      </c>
      <c r="M97" s="19">
        <f>SUMIF('DATABASE Room'!$B$3:$B$7,L97,'DATABASE Room'!$D$3:$D$7)</f>
        <v>0</v>
      </c>
      <c r="N97" s="13">
        <v>1</v>
      </c>
      <c r="O97" s="21">
        <f t="shared" si="149"/>
        <v>0</v>
      </c>
      <c r="P97" s="38"/>
      <c r="Q97" s="19">
        <f t="shared" si="150"/>
        <v>0</v>
      </c>
      <c r="R97" s="21">
        <f t="shared" si="151"/>
        <v>0</v>
      </c>
      <c r="S97" s="19">
        <f t="shared" si="152"/>
        <v>5</v>
      </c>
      <c r="T97" s="19">
        <f t="shared" si="153"/>
        <v>36000</v>
      </c>
      <c r="U97" s="21">
        <f t="shared" si="154"/>
        <v>36000</v>
      </c>
      <c r="V97" s="39"/>
      <c r="W97" s="16">
        <v>16</v>
      </c>
      <c r="X97" s="17" t="str">
        <f>VLOOKUP(W97,'DATABASE F&amp;B'!$C$3:$F$216,2,0)</f>
        <v>CRISPY CHICKEN WINGS</v>
      </c>
      <c r="Y97" s="18">
        <v>1</v>
      </c>
      <c r="Z97" s="19">
        <f>VLOOKUP(W97,'DATABASE F&amp;B'!$C$3:$F$216,4,0)</f>
        <v>36000</v>
      </c>
      <c r="AA97" s="19">
        <f t="shared" si="155"/>
        <v>36000</v>
      </c>
      <c r="AB97" s="16"/>
      <c r="AC97" s="17">
        <f>VLOOKUP(AB97,'DATABASE F&amp;B'!$C$3:$F$216,2,0)</f>
        <v>0</v>
      </c>
      <c r="AD97" s="18">
        <v>1</v>
      </c>
      <c r="AE97" s="19">
        <f>VLOOKUP(AB97,'DATABASE F&amp;B'!$C$3:$F$216,4,0)</f>
        <v>0</v>
      </c>
      <c r="AF97" s="19">
        <f t="shared" si="156"/>
        <v>0</v>
      </c>
      <c r="AG97" s="16"/>
      <c r="AH97" s="17">
        <f>VLOOKUP(AG97,'DATABASE F&amp;B'!$C$3:$F$216,2,0)</f>
        <v>0</v>
      </c>
      <c r="AI97" s="18">
        <v>1</v>
      </c>
      <c r="AJ97" s="19">
        <f>VLOOKUP(AG97,'DATABASE F&amp;B'!$C$3:$F$216,4,0)</f>
        <v>0</v>
      </c>
      <c r="AK97" s="19">
        <f t="shared" si="157"/>
        <v>0</v>
      </c>
      <c r="AL97" s="16"/>
      <c r="AM97" s="17">
        <f>VLOOKUP(AL97,'DATABASE F&amp;B'!$C$3:$F$216,2,0)</f>
        <v>0</v>
      </c>
      <c r="AN97" s="18">
        <v>1</v>
      </c>
      <c r="AO97" s="19">
        <f>VLOOKUP(AL97,'DATABASE F&amp;B'!$C$3:$F$216,4,0)</f>
        <v>0</v>
      </c>
      <c r="AP97" s="19">
        <f t="shared" si="158"/>
        <v>0</v>
      </c>
      <c r="AQ97" s="16"/>
      <c r="AR97" s="17">
        <f>VLOOKUP(AQ97,'DATABASE F&amp;B'!$C$3:$F$216,2,0)</f>
        <v>0</v>
      </c>
      <c r="AS97" s="18">
        <v>1</v>
      </c>
      <c r="AT97" s="19">
        <f>VLOOKUP(AQ97,'DATABASE F&amp;B'!$C$3:$F$216,4,0)</f>
        <v>0</v>
      </c>
      <c r="AU97" s="19">
        <f t="shared" si="159"/>
        <v>0</v>
      </c>
      <c r="AV97" s="16"/>
      <c r="AW97" s="17">
        <f>VLOOKUP(AV97,'DATABASE F&amp;B'!$C$3:$F$216,2,0)</f>
        <v>0</v>
      </c>
      <c r="AX97" s="18"/>
      <c r="AY97" s="19">
        <f>VLOOKUP(AV97,'DATABASE F&amp;B'!$C$3:$F$216,4,0)</f>
        <v>0</v>
      </c>
      <c r="AZ97" s="19">
        <f t="shared" si="160"/>
        <v>0</v>
      </c>
      <c r="BA97" s="16"/>
      <c r="BB97" s="17">
        <f>VLOOKUP(BA97,'DATABASE F&amp;B'!$C$3:$F$216,2,0)</f>
        <v>0</v>
      </c>
      <c r="BC97" s="18"/>
      <c r="BD97" s="19">
        <f>VLOOKUP(BA97,'DATABASE F&amp;B'!$C$3:$F$216,4,0)</f>
        <v>0</v>
      </c>
      <c r="BE97" s="19">
        <f t="shared" si="161"/>
        <v>0</v>
      </c>
      <c r="BF97" s="16"/>
      <c r="BG97" s="17">
        <f>VLOOKUP(BF97,'DATABASE F&amp;B'!$C$3:$F$216,2,0)</f>
        <v>0</v>
      </c>
      <c r="BH97" s="18"/>
      <c r="BI97" s="19">
        <f>VLOOKUP(BF97,'DATABASE F&amp;B'!$C$3:$F$216,4,0)</f>
        <v>0</v>
      </c>
      <c r="BJ97" s="19">
        <f t="shared" si="162"/>
        <v>0</v>
      </c>
      <c r="BK97" s="16"/>
      <c r="BL97" s="17">
        <f>VLOOKUP(BK97,'DATABASE F&amp;B'!$C$3:$F$210,2,0)</f>
        <v>0</v>
      </c>
      <c r="BM97" s="18"/>
      <c r="BN97" s="19">
        <f>VLOOKUP(BK97,'DATABASE F&amp;B'!$C$3:$F$210,4,0)</f>
        <v>0</v>
      </c>
      <c r="BO97" s="19">
        <f t="shared" si="163"/>
        <v>0</v>
      </c>
      <c r="BP97" s="16"/>
      <c r="BQ97" s="17">
        <f>VLOOKUP(BP97,'DATABASE F&amp;B'!$C$3:$F$210,2,0)</f>
        <v>0</v>
      </c>
      <c r="BR97" s="18"/>
      <c r="BS97" s="19">
        <f>VLOOKUP(BP97,'DATABASE F&amp;B'!$C$3:$F$210,4,0)</f>
        <v>0</v>
      </c>
      <c r="BT97" s="19">
        <f t="shared" si="164"/>
        <v>0</v>
      </c>
      <c r="BU97" s="16"/>
      <c r="BV97" s="17">
        <f>VLOOKUP(BU97,'DATABASE F&amp;B'!$C$3:$F$210,2,0)</f>
        <v>0</v>
      </c>
      <c r="BW97" s="18"/>
      <c r="BX97" s="19">
        <f>VLOOKUP(BU97,'DATABASE F&amp;B'!$C$3:$F$210,4,0)</f>
        <v>0</v>
      </c>
      <c r="BY97" s="19">
        <f t="shared" si="165"/>
        <v>0</v>
      </c>
      <c r="BZ97" s="16"/>
      <c r="CA97" s="17">
        <f>VLOOKUP(BZ97,'DATABASE F&amp;B'!$C$3:$F$210,2,0)</f>
        <v>0</v>
      </c>
      <c r="CB97" s="18"/>
      <c r="CC97" s="19">
        <f>VLOOKUP(BZ97,'DATABASE F&amp;B'!$C$3:$F$210,4,0)</f>
        <v>0</v>
      </c>
      <c r="CD97" s="19">
        <f t="shared" si="166"/>
        <v>0</v>
      </c>
    </row>
    <row r="98" spans="1:82" ht="13.5" x14ac:dyDescent="0.25">
      <c r="A98" s="32" t="str">
        <f t="shared" si="147"/>
        <v>05-'17-2026</v>
      </c>
      <c r="B98" s="22">
        <f t="shared" si="167"/>
        <v>94</v>
      </c>
      <c r="C98" s="22">
        <f t="shared" si="167"/>
        <v>94</v>
      </c>
      <c r="D98" s="34">
        <v>46159</v>
      </c>
      <c r="E98" s="35" t="s">
        <v>79</v>
      </c>
      <c r="F98" s="35" t="s">
        <v>202</v>
      </c>
      <c r="G98" s="52" t="s">
        <v>81</v>
      </c>
      <c r="H98" s="36" t="str">
        <f t="shared" si="145"/>
        <v>RJ-'170526-94</v>
      </c>
      <c r="I98" s="36" t="str">
        <f t="shared" si="148"/>
        <v>'17-05-2026</v>
      </c>
      <c r="J98" s="37" t="str">
        <f>VLOOKUP(D98,Laporan!$C$4:$D$34,2,0)</f>
        <v>Minggu</v>
      </c>
      <c r="K98" s="48"/>
      <c r="L98" s="13" t="s">
        <v>33</v>
      </c>
      <c r="M98" s="19">
        <f>SUMIF('DATABASE Room'!$B$3:$B$7,L98,'DATABASE Room'!$D$3:$D$7)</f>
        <v>0</v>
      </c>
      <c r="N98" s="13">
        <v>1</v>
      </c>
      <c r="O98" s="21">
        <f t="shared" si="149"/>
        <v>0</v>
      </c>
      <c r="P98" s="38"/>
      <c r="Q98" s="19">
        <f t="shared" si="150"/>
        <v>0</v>
      </c>
      <c r="R98" s="21">
        <f t="shared" si="151"/>
        <v>0</v>
      </c>
      <c r="S98" s="19">
        <f t="shared" si="152"/>
        <v>5</v>
      </c>
      <c r="T98" s="19">
        <f t="shared" si="153"/>
        <v>36000</v>
      </c>
      <c r="U98" s="21">
        <f t="shared" si="154"/>
        <v>36000</v>
      </c>
      <c r="V98" s="39"/>
      <c r="W98" s="16">
        <v>17</v>
      </c>
      <c r="X98" s="17" t="str">
        <f>VLOOKUP(W98,'DATABASE F&amp;B'!$C$3:$F$216,2,0)</f>
        <v>CIRENG</v>
      </c>
      <c r="Y98" s="18">
        <v>1</v>
      </c>
      <c r="Z98" s="19">
        <f>VLOOKUP(W98,'DATABASE F&amp;B'!$C$3:$F$216,4,0)</f>
        <v>36000</v>
      </c>
      <c r="AA98" s="19">
        <f t="shared" si="155"/>
        <v>36000</v>
      </c>
      <c r="AB98" s="16"/>
      <c r="AC98" s="17">
        <f>VLOOKUP(AB98,'DATABASE F&amp;B'!$C$3:$F$216,2,0)</f>
        <v>0</v>
      </c>
      <c r="AD98" s="18">
        <v>1</v>
      </c>
      <c r="AE98" s="19">
        <f>VLOOKUP(AB98,'DATABASE F&amp;B'!$C$3:$F$216,4,0)</f>
        <v>0</v>
      </c>
      <c r="AF98" s="19">
        <f t="shared" si="156"/>
        <v>0</v>
      </c>
      <c r="AG98" s="16"/>
      <c r="AH98" s="17">
        <f>VLOOKUP(AG98,'DATABASE F&amp;B'!$C$3:$F$216,2,0)</f>
        <v>0</v>
      </c>
      <c r="AI98" s="18">
        <v>1</v>
      </c>
      <c r="AJ98" s="19">
        <f>VLOOKUP(AG98,'DATABASE F&amp;B'!$C$3:$F$216,4,0)</f>
        <v>0</v>
      </c>
      <c r="AK98" s="19">
        <f t="shared" si="157"/>
        <v>0</v>
      </c>
      <c r="AL98" s="16"/>
      <c r="AM98" s="17">
        <f>VLOOKUP(AL98,'DATABASE F&amp;B'!$C$3:$F$216,2,0)</f>
        <v>0</v>
      </c>
      <c r="AN98" s="18">
        <v>1</v>
      </c>
      <c r="AO98" s="19">
        <f>VLOOKUP(AL98,'DATABASE F&amp;B'!$C$3:$F$216,4,0)</f>
        <v>0</v>
      </c>
      <c r="AP98" s="19">
        <f t="shared" si="158"/>
        <v>0</v>
      </c>
      <c r="AQ98" s="16"/>
      <c r="AR98" s="17">
        <f>VLOOKUP(AQ98,'DATABASE F&amp;B'!$C$3:$F$216,2,0)</f>
        <v>0</v>
      </c>
      <c r="AS98" s="18">
        <v>1</v>
      </c>
      <c r="AT98" s="19">
        <f>VLOOKUP(AQ98,'DATABASE F&amp;B'!$C$3:$F$216,4,0)</f>
        <v>0</v>
      </c>
      <c r="AU98" s="19">
        <f t="shared" si="159"/>
        <v>0</v>
      </c>
      <c r="AV98" s="16"/>
      <c r="AW98" s="17">
        <f>VLOOKUP(AV98,'DATABASE F&amp;B'!$C$3:$F$216,2,0)</f>
        <v>0</v>
      </c>
      <c r="AX98" s="18"/>
      <c r="AY98" s="19">
        <f>VLOOKUP(AV98,'DATABASE F&amp;B'!$C$3:$F$216,4,0)</f>
        <v>0</v>
      </c>
      <c r="AZ98" s="19">
        <f t="shared" si="160"/>
        <v>0</v>
      </c>
      <c r="BA98" s="16"/>
      <c r="BB98" s="17">
        <f>VLOOKUP(BA98,'DATABASE F&amp;B'!$C$3:$F$216,2,0)</f>
        <v>0</v>
      </c>
      <c r="BC98" s="18"/>
      <c r="BD98" s="19">
        <f>VLOOKUP(BA98,'DATABASE F&amp;B'!$C$3:$F$216,4,0)</f>
        <v>0</v>
      </c>
      <c r="BE98" s="19">
        <f t="shared" si="161"/>
        <v>0</v>
      </c>
      <c r="BF98" s="16"/>
      <c r="BG98" s="17">
        <f>VLOOKUP(BF98,'DATABASE F&amp;B'!$C$3:$F$216,2,0)</f>
        <v>0</v>
      </c>
      <c r="BH98" s="18"/>
      <c r="BI98" s="19">
        <f>VLOOKUP(BF98,'DATABASE F&amp;B'!$C$3:$F$216,4,0)</f>
        <v>0</v>
      </c>
      <c r="BJ98" s="19">
        <f t="shared" si="162"/>
        <v>0</v>
      </c>
      <c r="BK98" s="16"/>
      <c r="BL98" s="17">
        <f>VLOOKUP(BK98,'DATABASE F&amp;B'!$C$3:$F$210,2,0)</f>
        <v>0</v>
      </c>
      <c r="BM98" s="18"/>
      <c r="BN98" s="19">
        <f>VLOOKUP(BK98,'DATABASE F&amp;B'!$C$3:$F$210,4,0)</f>
        <v>0</v>
      </c>
      <c r="BO98" s="19">
        <f t="shared" si="163"/>
        <v>0</v>
      </c>
      <c r="BP98" s="16"/>
      <c r="BQ98" s="17">
        <f>VLOOKUP(BP98,'DATABASE F&amp;B'!$C$3:$F$210,2,0)</f>
        <v>0</v>
      </c>
      <c r="BR98" s="18"/>
      <c r="BS98" s="19">
        <f>VLOOKUP(BP98,'DATABASE F&amp;B'!$C$3:$F$210,4,0)</f>
        <v>0</v>
      </c>
      <c r="BT98" s="19">
        <f t="shared" si="164"/>
        <v>0</v>
      </c>
      <c r="BU98" s="16"/>
      <c r="BV98" s="17">
        <f>VLOOKUP(BU98,'DATABASE F&amp;B'!$C$3:$F$210,2,0)</f>
        <v>0</v>
      </c>
      <c r="BW98" s="18"/>
      <c r="BX98" s="19">
        <f>VLOOKUP(BU98,'DATABASE F&amp;B'!$C$3:$F$210,4,0)</f>
        <v>0</v>
      </c>
      <c r="BY98" s="19">
        <f t="shared" si="165"/>
        <v>0</v>
      </c>
      <c r="BZ98" s="16"/>
      <c r="CA98" s="17">
        <f>VLOOKUP(BZ98,'DATABASE F&amp;B'!$C$3:$F$210,2,0)</f>
        <v>0</v>
      </c>
      <c r="CB98" s="18"/>
      <c r="CC98" s="19">
        <f>VLOOKUP(BZ98,'DATABASE F&amp;B'!$C$3:$F$210,4,0)</f>
        <v>0</v>
      </c>
      <c r="CD98" s="19">
        <f t="shared" si="166"/>
        <v>0</v>
      </c>
    </row>
    <row r="99" spans="1:82" ht="13.5" x14ac:dyDescent="0.25">
      <c r="A99" s="32" t="str">
        <f t="shared" si="147"/>
        <v>05-'17-2026</v>
      </c>
      <c r="B99" s="22">
        <f t="shared" si="167"/>
        <v>95</v>
      </c>
      <c r="C99" s="22">
        <f t="shared" si="167"/>
        <v>95</v>
      </c>
      <c r="D99" s="34">
        <v>46159</v>
      </c>
      <c r="E99" s="35" t="s">
        <v>79</v>
      </c>
      <c r="F99" s="35" t="s">
        <v>202</v>
      </c>
      <c r="G99" s="52" t="s">
        <v>81</v>
      </c>
      <c r="H99" s="36" t="str">
        <f t="shared" si="145"/>
        <v>RJ-'170526-95</v>
      </c>
      <c r="I99" s="36" t="str">
        <f t="shared" si="148"/>
        <v>'17-05-2026</v>
      </c>
      <c r="J99" s="37" t="str">
        <f>VLOOKUP(D99,Laporan!$C$4:$D$34,2,0)</f>
        <v>Minggu</v>
      </c>
      <c r="K99" s="48"/>
      <c r="L99" s="13" t="s">
        <v>33</v>
      </c>
      <c r="M99" s="19">
        <f>SUMIF('DATABASE Room'!$B$3:$B$7,L99,'DATABASE Room'!$D$3:$D$7)</f>
        <v>0</v>
      </c>
      <c r="N99" s="13">
        <v>1</v>
      </c>
      <c r="O99" s="21">
        <f t="shared" si="149"/>
        <v>0</v>
      </c>
      <c r="P99" s="38"/>
      <c r="Q99" s="19">
        <f t="shared" si="150"/>
        <v>0</v>
      </c>
      <c r="R99" s="21">
        <f t="shared" si="151"/>
        <v>0</v>
      </c>
      <c r="S99" s="19">
        <f t="shared" si="152"/>
        <v>5</v>
      </c>
      <c r="T99" s="19">
        <f t="shared" si="153"/>
        <v>320000</v>
      </c>
      <c r="U99" s="21">
        <f t="shared" si="154"/>
        <v>320000</v>
      </c>
      <c r="V99" s="39"/>
      <c r="W99" s="16">
        <v>43</v>
      </c>
      <c r="X99" s="17" t="str">
        <f>VLOOKUP(W99,'DATABASE F&amp;B'!$C$3:$F$216,2,0)</f>
        <v>SOJU JINRO GREENGRAPE</v>
      </c>
      <c r="Y99" s="18">
        <v>1</v>
      </c>
      <c r="Z99" s="19">
        <f>VLOOKUP(W99,'DATABASE F&amp;B'!$C$3:$F$216,4,0)</f>
        <v>145000</v>
      </c>
      <c r="AA99" s="19">
        <f t="shared" si="155"/>
        <v>145000</v>
      </c>
      <c r="AB99" s="16">
        <v>92</v>
      </c>
      <c r="AC99" s="17" t="str">
        <f>VLOOKUP(AB99,'DATABASE F&amp;B'!$C$3:$F$216,2,0)</f>
        <v>AP ANGGUR HIJAU</v>
      </c>
      <c r="AD99" s="18">
        <v>1</v>
      </c>
      <c r="AE99" s="19">
        <f>VLOOKUP(AB99,'DATABASE F&amp;B'!$C$3:$F$216,4,0)</f>
        <v>175000</v>
      </c>
      <c r="AF99" s="19">
        <f t="shared" si="156"/>
        <v>175000</v>
      </c>
      <c r="AG99" s="16"/>
      <c r="AH99" s="17">
        <f>VLOOKUP(AG99,'DATABASE F&amp;B'!$C$3:$F$216,2,0)</f>
        <v>0</v>
      </c>
      <c r="AI99" s="18">
        <v>1</v>
      </c>
      <c r="AJ99" s="19">
        <f>VLOOKUP(AG99,'DATABASE F&amp;B'!$C$3:$F$216,4,0)</f>
        <v>0</v>
      </c>
      <c r="AK99" s="19">
        <f t="shared" si="157"/>
        <v>0</v>
      </c>
      <c r="AL99" s="16"/>
      <c r="AM99" s="17">
        <f>VLOOKUP(AL99,'DATABASE F&amp;B'!$C$3:$F$216,2,0)</f>
        <v>0</v>
      </c>
      <c r="AN99" s="18">
        <v>1</v>
      </c>
      <c r="AO99" s="19">
        <f>VLOOKUP(AL99,'DATABASE F&amp;B'!$C$3:$F$216,4,0)</f>
        <v>0</v>
      </c>
      <c r="AP99" s="19">
        <f t="shared" si="158"/>
        <v>0</v>
      </c>
      <c r="AQ99" s="16"/>
      <c r="AR99" s="17">
        <f>VLOOKUP(AQ99,'DATABASE F&amp;B'!$C$3:$F$216,2,0)</f>
        <v>0</v>
      </c>
      <c r="AS99" s="18">
        <v>1</v>
      </c>
      <c r="AT99" s="19">
        <f>VLOOKUP(AQ99,'DATABASE F&amp;B'!$C$3:$F$216,4,0)</f>
        <v>0</v>
      </c>
      <c r="AU99" s="19">
        <f t="shared" si="159"/>
        <v>0</v>
      </c>
      <c r="AV99" s="16"/>
      <c r="AW99" s="17">
        <f>VLOOKUP(AV99,'DATABASE F&amp;B'!$C$3:$F$216,2,0)</f>
        <v>0</v>
      </c>
      <c r="AX99" s="18"/>
      <c r="AY99" s="19">
        <f>VLOOKUP(AV99,'DATABASE F&amp;B'!$C$3:$F$216,4,0)</f>
        <v>0</v>
      </c>
      <c r="AZ99" s="19">
        <f t="shared" si="160"/>
        <v>0</v>
      </c>
      <c r="BA99" s="16"/>
      <c r="BB99" s="17">
        <f>VLOOKUP(BA99,'DATABASE F&amp;B'!$C$3:$F$216,2,0)</f>
        <v>0</v>
      </c>
      <c r="BC99" s="18"/>
      <c r="BD99" s="19">
        <f>VLOOKUP(BA99,'DATABASE F&amp;B'!$C$3:$F$216,4,0)</f>
        <v>0</v>
      </c>
      <c r="BE99" s="19">
        <f t="shared" si="161"/>
        <v>0</v>
      </c>
      <c r="BF99" s="16"/>
      <c r="BG99" s="17">
        <f>VLOOKUP(BF99,'DATABASE F&amp;B'!$C$3:$F$216,2,0)</f>
        <v>0</v>
      </c>
      <c r="BH99" s="18"/>
      <c r="BI99" s="19">
        <f>VLOOKUP(BF99,'DATABASE F&amp;B'!$C$3:$F$216,4,0)</f>
        <v>0</v>
      </c>
      <c r="BJ99" s="19">
        <f t="shared" si="162"/>
        <v>0</v>
      </c>
      <c r="BK99" s="16"/>
      <c r="BL99" s="17">
        <f>VLOOKUP(BK99,'DATABASE F&amp;B'!$C$3:$F$210,2,0)</f>
        <v>0</v>
      </c>
      <c r="BM99" s="18"/>
      <c r="BN99" s="19">
        <f>VLOOKUP(BK99,'DATABASE F&amp;B'!$C$3:$F$210,4,0)</f>
        <v>0</v>
      </c>
      <c r="BO99" s="19">
        <f t="shared" si="163"/>
        <v>0</v>
      </c>
      <c r="BP99" s="16"/>
      <c r="BQ99" s="17">
        <f>VLOOKUP(BP99,'DATABASE F&amp;B'!$C$3:$F$210,2,0)</f>
        <v>0</v>
      </c>
      <c r="BR99" s="18"/>
      <c r="BS99" s="19">
        <f>VLOOKUP(BP99,'DATABASE F&amp;B'!$C$3:$F$210,4,0)</f>
        <v>0</v>
      </c>
      <c r="BT99" s="19">
        <f t="shared" si="164"/>
        <v>0</v>
      </c>
      <c r="BU99" s="16"/>
      <c r="BV99" s="17">
        <f>VLOOKUP(BU99,'DATABASE F&amp;B'!$C$3:$F$210,2,0)</f>
        <v>0</v>
      </c>
      <c r="BW99" s="18"/>
      <c r="BX99" s="19">
        <f>VLOOKUP(BU99,'DATABASE F&amp;B'!$C$3:$F$210,4,0)</f>
        <v>0</v>
      </c>
      <c r="BY99" s="19">
        <f t="shared" si="165"/>
        <v>0</v>
      </c>
      <c r="BZ99" s="16"/>
      <c r="CA99" s="17">
        <f>VLOOKUP(BZ99,'DATABASE F&amp;B'!$C$3:$F$210,2,0)</f>
        <v>0</v>
      </c>
      <c r="CB99" s="18"/>
      <c r="CC99" s="19">
        <f>VLOOKUP(BZ99,'DATABASE F&amp;B'!$C$3:$F$210,4,0)</f>
        <v>0</v>
      </c>
      <c r="CD99" s="19">
        <f t="shared" si="166"/>
        <v>0</v>
      </c>
    </row>
    <row r="100" spans="1:82" ht="13.5" x14ac:dyDescent="0.25">
      <c r="A100" s="32" t="str">
        <f t="shared" si="147"/>
        <v>05-'17-2026</v>
      </c>
      <c r="B100" s="22">
        <f t="shared" si="167"/>
        <v>96</v>
      </c>
      <c r="C100" s="22">
        <f t="shared" si="167"/>
        <v>96</v>
      </c>
      <c r="D100" s="34">
        <v>46159</v>
      </c>
      <c r="E100" s="35" t="s">
        <v>79</v>
      </c>
      <c r="F100" s="35" t="s">
        <v>202</v>
      </c>
      <c r="G100" s="52" t="s">
        <v>81</v>
      </c>
      <c r="H100" s="36" t="str">
        <f t="shared" si="145"/>
        <v>RJ-'170526-96</v>
      </c>
      <c r="I100" s="36" t="str">
        <f t="shared" si="148"/>
        <v>'17-05-2026</v>
      </c>
      <c r="J100" s="37" t="str">
        <f>VLOOKUP(D100,Laporan!$C$4:$D$34,2,0)</f>
        <v>Minggu</v>
      </c>
      <c r="K100" s="48"/>
      <c r="L100" s="13" t="s">
        <v>33</v>
      </c>
      <c r="M100" s="19">
        <f>SUMIF('DATABASE Room'!$B$3:$B$7,L100,'DATABASE Room'!$D$3:$D$7)</f>
        <v>0</v>
      </c>
      <c r="N100" s="13">
        <v>1</v>
      </c>
      <c r="O100" s="21">
        <f t="shared" si="149"/>
        <v>0</v>
      </c>
      <c r="P100" s="38"/>
      <c r="Q100" s="19">
        <f t="shared" si="150"/>
        <v>0</v>
      </c>
      <c r="R100" s="21">
        <f t="shared" si="151"/>
        <v>0</v>
      </c>
      <c r="S100" s="19">
        <f t="shared" si="152"/>
        <v>5</v>
      </c>
      <c r="T100" s="19">
        <f t="shared" si="153"/>
        <v>145000</v>
      </c>
      <c r="U100" s="21">
        <f t="shared" si="154"/>
        <v>145000</v>
      </c>
      <c r="V100" s="39"/>
      <c r="W100" s="16">
        <v>42</v>
      </c>
      <c r="X100" s="17" t="str">
        <f>VLOOKUP(W100,'DATABASE F&amp;B'!$C$3:$F$216,2,0)</f>
        <v>SOJU JINRO ORI</v>
      </c>
      <c r="Y100" s="18">
        <v>1</v>
      </c>
      <c r="Z100" s="19">
        <f>VLOOKUP(W100,'DATABASE F&amp;B'!$C$3:$F$216,4,0)</f>
        <v>145000</v>
      </c>
      <c r="AA100" s="19">
        <f t="shared" si="155"/>
        <v>145000</v>
      </c>
      <c r="AB100" s="16"/>
      <c r="AC100" s="17">
        <f>VLOOKUP(AB100,'DATABASE F&amp;B'!$C$3:$F$216,2,0)</f>
        <v>0</v>
      </c>
      <c r="AD100" s="18">
        <v>1</v>
      </c>
      <c r="AE100" s="19">
        <f>VLOOKUP(AB100,'DATABASE F&amp;B'!$C$3:$F$216,4,0)</f>
        <v>0</v>
      </c>
      <c r="AF100" s="19">
        <f t="shared" si="156"/>
        <v>0</v>
      </c>
      <c r="AG100" s="16"/>
      <c r="AH100" s="17">
        <f>VLOOKUP(AG100,'DATABASE F&amp;B'!$C$3:$F$216,2,0)</f>
        <v>0</v>
      </c>
      <c r="AI100" s="18">
        <v>1</v>
      </c>
      <c r="AJ100" s="19">
        <f>VLOOKUP(AG100,'DATABASE F&amp;B'!$C$3:$F$216,4,0)</f>
        <v>0</v>
      </c>
      <c r="AK100" s="19">
        <f t="shared" si="157"/>
        <v>0</v>
      </c>
      <c r="AL100" s="16"/>
      <c r="AM100" s="17">
        <f>VLOOKUP(AL100,'DATABASE F&amp;B'!$C$3:$F$216,2,0)</f>
        <v>0</v>
      </c>
      <c r="AN100" s="18">
        <v>1</v>
      </c>
      <c r="AO100" s="19">
        <f>VLOOKUP(AL100,'DATABASE F&amp;B'!$C$3:$F$216,4,0)</f>
        <v>0</v>
      </c>
      <c r="AP100" s="19">
        <f t="shared" si="158"/>
        <v>0</v>
      </c>
      <c r="AQ100" s="16"/>
      <c r="AR100" s="17">
        <f>VLOOKUP(AQ100,'DATABASE F&amp;B'!$C$3:$F$216,2,0)</f>
        <v>0</v>
      </c>
      <c r="AS100" s="18">
        <v>1</v>
      </c>
      <c r="AT100" s="19">
        <f>VLOOKUP(AQ100,'DATABASE F&amp;B'!$C$3:$F$216,4,0)</f>
        <v>0</v>
      </c>
      <c r="AU100" s="19">
        <f t="shared" si="159"/>
        <v>0</v>
      </c>
      <c r="AV100" s="16"/>
      <c r="AW100" s="17">
        <f>VLOOKUP(AV100,'DATABASE F&amp;B'!$C$3:$F$216,2,0)</f>
        <v>0</v>
      </c>
      <c r="AX100" s="18"/>
      <c r="AY100" s="19">
        <f>VLOOKUP(AV100,'DATABASE F&amp;B'!$C$3:$F$216,4,0)</f>
        <v>0</v>
      </c>
      <c r="AZ100" s="19">
        <f t="shared" si="160"/>
        <v>0</v>
      </c>
      <c r="BA100" s="16"/>
      <c r="BB100" s="17">
        <f>VLOOKUP(BA100,'DATABASE F&amp;B'!$C$3:$F$216,2,0)</f>
        <v>0</v>
      </c>
      <c r="BC100" s="18"/>
      <c r="BD100" s="19">
        <f>VLOOKUP(BA100,'DATABASE F&amp;B'!$C$3:$F$216,4,0)</f>
        <v>0</v>
      </c>
      <c r="BE100" s="19">
        <f t="shared" si="161"/>
        <v>0</v>
      </c>
      <c r="BF100" s="16"/>
      <c r="BG100" s="17">
        <f>VLOOKUP(BF100,'DATABASE F&amp;B'!$C$3:$F$216,2,0)</f>
        <v>0</v>
      </c>
      <c r="BH100" s="18"/>
      <c r="BI100" s="19">
        <f>VLOOKUP(BF100,'DATABASE F&amp;B'!$C$3:$F$216,4,0)</f>
        <v>0</v>
      </c>
      <c r="BJ100" s="19">
        <f t="shared" si="162"/>
        <v>0</v>
      </c>
      <c r="BK100" s="16"/>
      <c r="BL100" s="17">
        <f>VLOOKUP(BK100,'DATABASE F&amp;B'!$C$3:$F$210,2,0)</f>
        <v>0</v>
      </c>
      <c r="BM100" s="18"/>
      <c r="BN100" s="19">
        <f>VLOOKUP(BK100,'DATABASE F&amp;B'!$C$3:$F$210,4,0)</f>
        <v>0</v>
      </c>
      <c r="BO100" s="19">
        <f t="shared" si="163"/>
        <v>0</v>
      </c>
      <c r="BP100" s="16"/>
      <c r="BQ100" s="17">
        <f>VLOOKUP(BP100,'DATABASE F&amp;B'!$C$3:$F$210,2,0)</f>
        <v>0</v>
      </c>
      <c r="BR100" s="18"/>
      <c r="BS100" s="19">
        <f>VLOOKUP(BP100,'DATABASE F&amp;B'!$C$3:$F$210,4,0)</f>
        <v>0</v>
      </c>
      <c r="BT100" s="19">
        <f t="shared" si="164"/>
        <v>0</v>
      </c>
      <c r="BU100" s="16"/>
      <c r="BV100" s="17">
        <f>VLOOKUP(BU100,'DATABASE F&amp;B'!$C$3:$F$210,2,0)</f>
        <v>0</v>
      </c>
      <c r="BW100" s="18"/>
      <c r="BX100" s="19">
        <f>VLOOKUP(BU100,'DATABASE F&amp;B'!$C$3:$F$210,4,0)</f>
        <v>0</v>
      </c>
      <c r="BY100" s="19">
        <f t="shared" si="165"/>
        <v>0</v>
      </c>
      <c r="BZ100" s="16"/>
      <c r="CA100" s="17">
        <f>VLOOKUP(BZ100,'DATABASE F&amp;B'!$C$3:$F$210,2,0)</f>
        <v>0</v>
      </c>
      <c r="CB100" s="18"/>
      <c r="CC100" s="19">
        <f>VLOOKUP(BZ100,'DATABASE F&amp;B'!$C$3:$F$210,4,0)</f>
        <v>0</v>
      </c>
      <c r="CD100" s="19">
        <f t="shared" si="166"/>
        <v>0</v>
      </c>
    </row>
    <row r="101" spans="1:82" ht="13.5" x14ac:dyDescent="0.25">
      <c r="A101" s="32" t="str">
        <f t="shared" si="147"/>
        <v>05-'18-2026</v>
      </c>
      <c r="B101" s="22">
        <f t="shared" si="167"/>
        <v>97</v>
      </c>
      <c r="C101" s="22">
        <f t="shared" si="167"/>
        <v>97</v>
      </c>
      <c r="D101" s="34">
        <v>46160</v>
      </c>
      <c r="E101" s="35" t="s">
        <v>61</v>
      </c>
      <c r="F101" s="35" t="s">
        <v>202</v>
      </c>
      <c r="G101" s="52" t="s">
        <v>81</v>
      </c>
      <c r="H101" s="36" t="str">
        <f t="shared" si="145"/>
        <v>RJ-'180526-97</v>
      </c>
      <c r="I101" s="36" t="str">
        <f t="shared" si="148"/>
        <v>'18-05-2026</v>
      </c>
      <c r="J101" s="37" t="str">
        <f>VLOOKUP(D101,Laporan!$C$4:$D$34,2,0)</f>
        <v>Senin</v>
      </c>
      <c r="K101" s="48"/>
      <c r="L101" s="13" t="s">
        <v>33</v>
      </c>
      <c r="M101" s="19">
        <f>SUMIF('DATABASE Room'!$B$3:$B$7,L101,'DATABASE Room'!$D$3:$D$7)</f>
        <v>0</v>
      </c>
      <c r="N101" s="13">
        <v>1</v>
      </c>
      <c r="O101" s="21">
        <f t="shared" si="149"/>
        <v>0</v>
      </c>
      <c r="P101" s="38"/>
      <c r="Q101" s="19">
        <f t="shared" si="150"/>
        <v>0</v>
      </c>
      <c r="R101" s="21">
        <f t="shared" si="151"/>
        <v>0</v>
      </c>
      <c r="S101" s="19">
        <f t="shared" si="152"/>
        <v>5</v>
      </c>
      <c r="T101" s="19">
        <f t="shared" si="153"/>
        <v>145000</v>
      </c>
      <c r="U101" s="21">
        <f t="shared" si="154"/>
        <v>145000</v>
      </c>
      <c r="V101" s="39"/>
      <c r="W101" s="16">
        <v>44</v>
      </c>
      <c r="X101" s="17" t="str">
        <f>VLOOKUP(W101,'DATABASE F&amp;B'!$C$3:$F$216,2,0)</f>
        <v>SOJU JINRO PEACH</v>
      </c>
      <c r="Y101" s="18">
        <v>1</v>
      </c>
      <c r="Z101" s="19">
        <f>VLOOKUP(W101,'DATABASE F&amp;B'!$C$3:$F$216,4,0)</f>
        <v>145000</v>
      </c>
      <c r="AA101" s="19">
        <f t="shared" si="155"/>
        <v>145000</v>
      </c>
      <c r="AB101" s="16"/>
      <c r="AC101" s="17">
        <f>VLOOKUP(AB101,'DATABASE F&amp;B'!$C$3:$F$216,2,0)</f>
        <v>0</v>
      </c>
      <c r="AD101" s="18">
        <v>1</v>
      </c>
      <c r="AE101" s="19">
        <f>VLOOKUP(AB101,'DATABASE F&amp;B'!$C$3:$F$216,4,0)</f>
        <v>0</v>
      </c>
      <c r="AF101" s="19">
        <f t="shared" si="156"/>
        <v>0</v>
      </c>
      <c r="AG101" s="16"/>
      <c r="AH101" s="17">
        <f>VLOOKUP(AG101,'DATABASE F&amp;B'!$C$3:$F$216,2,0)</f>
        <v>0</v>
      </c>
      <c r="AI101" s="18">
        <v>1</v>
      </c>
      <c r="AJ101" s="19">
        <f>VLOOKUP(AG101,'DATABASE F&amp;B'!$C$3:$F$216,4,0)</f>
        <v>0</v>
      </c>
      <c r="AK101" s="19">
        <f t="shared" si="157"/>
        <v>0</v>
      </c>
      <c r="AL101" s="16"/>
      <c r="AM101" s="17">
        <f>VLOOKUP(AL101,'DATABASE F&amp;B'!$C$3:$F$216,2,0)</f>
        <v>0</v>
      </c>
      <c r="AN101" s="18">
        <v>1</v>
      </c>
      <c r="AO101" s="19">
        <f>VLOOKUP(AL101,'DATABASE F&amp;B'!$C$3:$F$216,4,0)</f>
        <v>0</v>
      </c>
      <c r="AP101" s="19">
        <f t="shared" si="158"/>
        <v>0</v>
      </c>
      <c r="AQ101" s="16"/>
      <c r="AR101" s="17">
        <f>VLOOKUP(AQ101,'DATABASE F&amp;B'!$C$3:$F$216,2,0)</f>
        <v>0</v>
      </c>
      <c r="AS101" s="18">
        <v>1</v>
      </c>
      <c r="AT101" s="19">
        <f>VLOOKUP(AQ101,'DATABASE F&amp;B'!$C$3:$F$216,4,0)</f>
        <v>0</v>
      </c>
      <c r="AU101" s="19">
        <f t="shared" si="159"/>
        <v>0</v>
      </c>
      <c r="AV101" s="16"/>
      <c r="AW101" s="17">
        <f>VLOOKUP(AV101,'DATABASE F&amp;B'!$C$3:$F$216,2,0)</f>
        <v>0</v>
      </c>
      <c r="AX101" s="18"/>
      <c r="AY101" s="19">
        <f>VLOOKUP(AV101,'DATABASE F&amp;B'!$C$3:$F$216,4,0)</f>
        <v>0</v>
      </c>
      <c r="AZ101" s="19">
        <f t="shared" si="160"/>
        <v>0</v>
      </c>
      <c r="BA101" s="16"/>
      <c r="BB101" s="17">
        <f>VLOOKUP(BA101,'DATABASE F&amp;B'!$C$3:$F$216,2,0)</f>
        <v>0</v>
      </c>
      <c r="BC101" s="18"/>
      <c r="BD101" s="19">
        <f>VLOOKUP(BA101,'DATABASE F&amp;B'!$C$3:$F$216,4,0)</f>
        <v>0</v>
      </c>
      <c r="BE101" s="19">
        <f t="shared" si="161"/>
        <v>0</v>
      </c>
      <c r="BF101" s="16"/>
      <c r="BG101" s="17">
        <f>VLOOKUP(BF101,'DATABASE F&amp;B'!$C$3:$F$216,2,0)</f>
        <v>0</v>
      </c>
      <c r="BH101" s="18"/>
      <c r="BI101" s="19">
        <f>VLOOKUP(BF101,'DATABASE F&amp;B'!$C$3:$F$216,4,0)</f>
        <v>0</v>
      </c>
      <c r="BJ101" s="19">
        <f t="shared" si="162"/>
        <v>0</v>
      </c>
      <c r="BK101" s="16"/>
      <c r="BL101" s="17">
        <f>VLOOKUP(BK101,'DATABASE F&amp;B'!$C$3:$F$210,2,0)</f>
        <v>0</v>
      </c>
      <c r="BM101" s="18"/>
      <c r="BN101" s="19">
        <f>VLOOKUP(BK101,'DATABASE F&amp;B'!$C$3:$F$210,4,0)</f>
        <v>0</v>
      </c>
      <c r="BO101" s="19">
        <f t="shared" si="163"/>
        <v>0</v>
      </c>
      <c r="BP101" s="16"/>
      <c r="BQ101" s="17">
        <f>VLOOKUP(BP101,'DATABASE F&amp;B'!$C$3:$F$210,2,0)</f>
        <v>0</v>
      </c>
      <c r="BR101" s="18"/>
      <c r="BS101" s="19">
        <f>VLOOKUP(BP101,'DATABASE F&amp;B'!$C$3:$F$210,4,0)</f>
        <v>0</v>
      </c>
      <c r="BT101" s="19">
        <f t="shared" si="164"/>
        <v>0</v>
      </c>
      <c r="BU101" s="16"/>
      <c r="BV101" s="17">
        <f>VLOOKUP(BU101,'DATABASE F&amp;B'!$C$3:$F$210,2,0)</f>
        <v>0</v>
      </c>
      <c r="BW101" s="18"/>
      <c r="BX101" s="19">
        <f>VLOOKUP(BU101,'DATABASE F&amp;B'!$C$3:$F$210,4,0)</f>
        <v>0</v>
      </c>
      <c r="BY101" s="19">
        <f t="shared" si="165"/>
        <v>0</v>
      </c>
      <c r="BZ101" s="16"/>
      <c r="CA101" s="17">
        <f>VLOOKUP(BZ101,'DATABASE F&amp;B'!$C$3:$F$210,2,0)</f>
        <v>0</v>
      </c>
      <c r="CB101" s="18"/>
      <c r="CC101" s="19">
        <f>VLOOKUP(BZ101,'DATABASE F&amp;B'!$C$3:$F$210,4,0)</f>
        <v>0</v>
      </c>
      <c r="CD101" s="19">
        <f t="shared" si="166"/>
        <v>0</v>
      </c>
    </row>
    <row r="102" spans="1:82" ht="13.5" x14ac:dyDescent="0.25">
      <c r="A102" s="32" t="str">
        <f t="shared" si="147"/>
        <v>05-'18-2026</v>
      </c>
      <c r="B102" s="22">
        <f t="shared" si="167"/>
        <v>98</v>
      </c>
      <c r="C102" s="22">
        <f t="shared" si="167"/>
        <v>98</v>
      </c>
      <c r="D102" s="34">
        <v>46160</v>
      </c>
      <c r="E102" s="35" t="s">
        <v>61</v>
      </c>
      <c r="F102" s="35" t="s">
        <v>202</v>
      </c>
      <c r="G102" s="52" t="s">
        <v>81</v>
      </c>
      <c r="H102" s="36" t="str">
        <f t="shared" si="145"/>
        <v>RJ-'180526-98</v>
      </c>
      <c r="I102" s="36" t="str">
        <f t="shared" si="148"/>
        <v>'18-05-2026</v>
      </c>
      <c r="J102" s="37" t="str">
        <f>VLOOKUP(D102,Laporan!$C$4:$D$34,2,0)</f>
        <v>Senin</v>
      </c>
      <c r="K102" s="48"/>
      <c r="L102" s="13" t="s">
        <v>33</v>
      </c>
      <c r="M102" s="19">
        <f>SUMIF('DATABASE Room'!$B$3:$B$7,L102,'DATABASE Room'!$D$3:$D$7)</f>
        <v>0</v>
      </c>
      <c r="N102" s="13">
        <v>1</v>
      </c>
      <c r="O102" s="21">
        <f t="shared" si="149"/>
        <v>0</v>
      </c>
      <c r="P102" s="38"/>
      <c r="Q102" s="19">
        <f t="shared" si="150"/>
        <v>0</v>
      </c>
      <c r="R102" s="21">
        <f t="shared" si="151"/>
        <v>0</v>
      </c>
      <c r="S102" s="19">
        <f t="shared" si="152"/>
        <v>5</v>
      </c>
      <c r="T102" s="19">
        <f t="shared" si="153"/>
        <v>35000</v>
      </c>
      <c r="U102" s="21">
        <f t="shared" si="154"/>
        <v>35000</v>
      </c>
      <c r="V102" s="39"/>
      <c r="W102" s="16">
        <v>21</v>
      </c>
      <c r="X102" s="17" t="str">
        <f>VLOOKUP(W102,'DATABASE F&amp;B'!$C$3:$F$216,2,0)</f>
        <v>NASI LIDAH ASIN SAMBAL MENTEGA</v>
      </c>
      <c r="Y102" s="18">
        <v>1</v>
      </c>
      <c r="Z102" s="19">
        <f>VLOOKUP(W102,'DATABASE F&amp;B'!$C$3:$F$216,4,0)</f>
        <v>35000</v>
      </c>
      <c r="AA102" s="19">
        <f t="shared" si="155"/>
        <v>35000</v>
      </c>
      <c r="AB102" s="16"/>
      <c r="AC102" s="17">
        <f>VLOOKUP(AB102,'DATABASE F&amp;B'!$C$3:$F$216,2,0)</f>
        <v>0</v>
      </c>
      <c r="AD102" s="18">
        <v>1</v>
      </c>
      <c r="AE102" s="19">
        <f>VLOOKUP(AB102,'DATABASE F&amp;B'!$C$3:$F$216,4,0)</f>
        <v>0</v>
      </c>
      <c r="AF102" s="19">
        <f t="shared" si="156"/>
        <v>0</v>
      </c>
      <c r="AG102" s="16"/>
      <c r="AH102" s="17">
        <f>VLOOKUP(AG102,'DATABASE F&amp;B'!$C$3:$F$216,2,0)</f>
        <v>0</v>
      </c>
      <c r="AI102" s="18">
        <v>1</v>
      </c>
      <c r="AJ102" s="19">
        <f>VLOOKUP(AG102,'DATABASE F&amp;B'!$C$3:$F$216,4,0)</f>
        <v>0</v>
      </c>
      <c r="AK102" s="19">
        <f t="shared" si="157"/>
        <v>0</v>
      </c>
      <c r="AL102" s="16"/>
      <c r="AM102" s="17">
        <f>VLOOKUP(AL102,'DATABASE F&amp;B'!$C$3:$F$216,2,0)</f>
        <v>0</v>
      </c>
      <c r="AN102" s="18">
        <v>1</v>
      </c>
      <c r="AO102" s="19">
        <f>VLOOKUP(AL102,'DATABASE F&amp;B'!$C$3:$F$216,4,0)</f>
        <v>0</v>
      </c>
      <c r="AP102" s="19">
        <f t="shared" si="158"/>
        <v>0</v>
      </c>
      <c r="AQ102" s="16"/>
      <c r="AR102" s="17">
        <f>VLOOKUP(AQ102,'DATABASE F&amp;B'!$C$3:$F$216,2,0)</f>
        <v>0</v>
      </c>
      <c r="AS102" s="18">
        <v>1</v>
      </c>
      <c r="AT102" s="19">
        <f>VLOOKUP(AQ102,'DATABASE F&amp;B'!$C$3:$F$216,4,0)</f>
        <v>0</v>
      </c>
      <c r="AU102" s="19">
        <f t="shared" si="159"/>
        <v>0</v>
      </c>
      <c r="AV102" s="16"/>
      <c r="AW102" s="17">
        <f>VLOOKUP(AV102,'DATABASE F&amp;B'!$C$3:$F$216,2,0)</f>
        <v>0</v>
      </c>
      <c r="AX102" s="18"/>
      <c r="AY102" s="19">
        <f>VLOOKUP(AV102,'DATABASE F&amp;B'!$C$3:$F$216,4,0)</f>
        <v>0</v>
      </c>
      <c r="AZ102" s="19">
        <f t="shared" si="160"/>
        <v>0</v>
      </c>
      <c r="BA102" s="16"/>
      <c r="BB102" s="17">
        <f>VLOOKUP(BA102,'DATABASE F&amp;B'!$C$3:$F$216,2,0)</f>
        <v>0</v>
      </c>
      <c r="BC102" s="18"/>
      <c r="BD102" s="19">
        <f>VLOOKUP(BA102,'DATABASE F&amp;B'!$C$3:$F$216,4,0)</f>
        <v>0</v>
      </c>
      <c r="BE102" s="19">
        <f t="shared" si="161"/>
        <v>0</v>
      </c>
      <c r="BF102" s="16"/>
      <c r="BG102" s="17">
        <f>VLOOKUP(BF102,'DATABASE F&amp;B'!$C$3:$F$216,2,0)</f>
        <v>0</v>
      </c>
      <c r="BH102" s="18"/>
      <c r="BI102" s="19">
        <f>VLOOKUP(BF102,'DATABASE F&amp;B'!$C$3:$F$216,4,0)</f>
        <v>0</v>
      </c>
      <c r="BJ102" s="19">
        <f t="shared" si="162"/>
        <v>0</v>
      </c>
      <c r="BK102" s="16"/>
      <c r="BL102" s="17">
        <f>VLOOKUP(BK102,'DATABASE F&amp;B'!$C$3:$F$210,2,0)</f>
        <v>0</v>
      </c>
      <c r="BM102" s="18"/>
      <c r="BN102" s="19">
        <f>VLOOKUP(BK102,'DATABASE F&amp;B'!$C$3:$F$210,4,0)</f>
        <v>0</v>
      </c>
      <c r="BO102" s="19">
        <f t="shared" si="163"/>
        <v>0</v>
      </c>
      <c r="BP102" s="16"/>
      <c r="BQ102" s="17">
        <f>VLOOKUP(BP102,'DATABASE F&amp;B'!$C$3:$F$210,2,0)</f>
        <v>0</v>
      </c>
      <c r="BR102" s="18"/>
      <c r="BS102" s="19">
        <f>VLOOKUP(BP102,'DATABASE F&amp;B'!$C$3:$F$210,4,0)</f>
        <v>0</v>
      </c>
      <c r="BT102" s="19">
        <f t="shared" si="164"/>
        <v>0</v>
      </c>
      <c r="BU102" s="16"/>
      <c r="BV102" s="17">
        <f>VLOOKUP(BU102,'DATABASE F&amp;B'!$C$3:$F$210,2,0)</f>
        <v>0</v>
      </c>
      <c r="BW102" s="18"/>
      <c r="BX102" s="19">
        <f>VLOOKUP(BU102,'DATABASE F&amp;B'!$C$3:$F$210,4,0)</f>
        <v>0</v>
      </c>
      <c r="BY102" s="19">
        <f t="shared" si="165"/>
        <v>0</v>
      </c>
      <c r="BZ102" s="16"/>
      <c r="CA102" s="17">
        <f>VLOOKUP(BZ102,'DATABASE F&amp;B'!$C$3:$F$210,2,0)</f>
        <v>0</v>
      </c>
      <c r="CB102" s="18"/>
      <c r="CC102" s="19">
        <f>VLOOKUP(BZ102,'DATABASE F&amp;B'!$C$3:$F$210,4,0)</f>
        <v>0</v>
      </c>
      <c r="CD102" s="19">
        <f t="shared" si="166"/>
        <v>0</v>
      </c>
    </row>
    <row r="103" spans="1:82" ht="13.5" x14ac:dyDescent="0.25">
      <c r="A103" s="32" t="str">
        <f t="shared" si="147"/>
        <v>05-'18-2026</v>
      </c>
      <c r="B103" s="22">
        <f t="shared" ref="B103:C118" si="168">B102+1</f>
        <v>99</v>
      </c>
      <c r="C103" s="22">
        <f t="shared" si="168"/>
        <v>99</v>
      </c>
      <c r="D103" s="34">
        <v>46160</v>
      </c>
      <c r="E103" s="35" t="s">
        <v>61</v>
      </c>
      <c r="F103" s="35" t="s">
        <v>202</v>
      </c>
      <c r="G103" s="52" t="s">
        <v>81</v>
      </c>
      <c r="H103" s="36" t="str">
        <f t="shared" si="145"/>
        <v>RJ-'180526-99</v>
      </c>
      <c r="I103" s="36" t="str">
        <f t="shared" si="148"/>
        <v>'18-05-2026</v>
      </c>
      <c r="J103" s="37" t="str">
        <f>VLOOKUP(D103,Laporan!$C$4:$D$34,2,0)</f>
        <v>Senin</v>
      </c>
      <c r="K103" s="48"/>
      <c r="L103" s="13" t="s">
        <v>33</v>
      </c>
      <c r="M103" s="19">
        <f>SUMIF('DATABASE Room'!$B$3:$B$7,L103,'DATABASE Room'!$D$3:$D$7)</f>
        <v>0</v>
      </c>
      <c r="N103" s="13">
        <v>1</v>
      </c>
      <c r="O103" s="21">
        <f t="shared" si="149"/>
        <v>0</v>
      </c>
      <c r="P103" s="38"/>
      <c r="Q103" s="19">
        <f t="shared" si="150"/>
        <v>0</v>
      </c>
      <c r="R103" s="21">
        <f t="shared" si="151"/>
        <v>0</v>
      </c>
      <c r="S103" s="19">
        <f t="shared" si="152"/>
        <v>5</v>
      </c>
      <c r="T103" s="19">
        <f t="shared" si="153"/>
        <v>32000</v>
      </c>
      <c r="U103" s="21">
        <f t="shared" si="154"/>
        <v>32000</v>
      </c>
      <c r="V103" s="39"/>
      <c r="W103" s="16">
        <v>22</v>
      </c>
      <c r="X103" s="17" t="str">
        <f>VLOOKUP(W103,'DATABASE F&amp;B'!$C$3:$F$216,2,0)</f>
        <v>PERI PERI CHICKEN RICE</v>
      </c>
      <c r="Y103" s="18">
        <v>1</v>
      </c>
      <c r="Z103" s="19">
        <f>VLOOKUP(W103,'DATABASE F&amp;B'!$C$3:$F$216,4,0)</f>
        <v>32000</v>
      </c>
      <c r="AA103" s="19">
        <f t="shared" si="155"/>
        <v>32000</v>
      </c>
      <c r="AB103" s="16"/>
      <c r="AC103" s="17">
        <f>VLOOKUP(AB103,'DATABASE F&amp;B'!$C$3:$F$216,2,0)</f>
        <v>0</v>
      </c>
      <c r="AD103" s="18">
        <v>1</v>
      </c>
      <c r="AE103" s="19">
        <f>VLOOKUP(AB103,'DATABASE F&amp;B'!$C$3:$F$216,4,0)</f>
        <v>0</v>
      </c>
      <c r="AF103" s="19">
        <f t="shared" si="156"/>
        <v>0</v>
      </c>
      <c r="AG103" s="16"/>
      <c r="AH103" s="17">
        <f>VLOOKUP(AG103,'DATABASE F&amp;B'!$C$3:$F$216,2,0)</f>
        <v>0</v>
      </c>
      <c r="AI103" s="18">
        <v>1</v>
      </c>
      <c r="AJ103" s="19">
        <f>VLOOKUP(AG103,'DATABASE F&amp;B'!$C$3:$F$216,4,0)</f>
        <v>0</v>
      </c>
      <c r="AK103" s="19">
        <f t="shared" si="157"/>
        <v>0</v>
      </c>
      <c r="AL103" s="16"/>
      <c r="AM103" s="17">
        <f>VLOOKUP(AL103,'DATABASE F&amp;B'!$C$3:$F$216,2,0)</f>
        <v>0</v>
      </c>
      <c r="AN103" s="18">
        <v>1</v>
      </c>
      <c r="AO103" s="19">
        <f>VLOOKUP(AL103,'DATABASE F&amp;B'!$C$3:$F$216,4,0)</f>
        <v>0</v>
      </c>
      <c r="AP103" s="19">
        <f t="shared" si="158"/>
        <v>0</v>
      </c>
      <c r="AQ103" s="16"/>
      <c r="AR103" s="17">
        <f>VLOOKUP(AQ103,'DATABASE F&amp;B'!$C$3:$F$216,2,0)</f>
        <v>0</v>
      </c>
      <c r="AS103" s="18">
        <v>1</v>
      </c>
      <c r="AT103" s="19">
        <f>VLOOKUP(AQ103,'DATABASE F&amp;B'!$C$3:$F$216,4,0)</f>
        <v>0</v>
      </c>
      <c r="AU103" s="19">
        <f t="shared" si="159"/>
        <v>0</v>
      </c>
      <c r="AV103" s="16"/>
      <c r="AW103" s="17">
        <f>VLOOKUP(AV103,'DATABASE F&amp;B'!$C$3:$F$216,2,0)</f>
        <v>0</v>
      </c>
      <c r="AX103" s="18"/>
      <c r="AY103" s="19">
        <f>VLOOKUP(AV103,'DATABASE F&amp;B'!$C$3:$F$216,4,0)</f>
        <v>0</v>
      </c>
      <c r="AZ103" s="19">
        <f t="shared" si="160"/>
        <v>0</v>
      </c>
      <c r="BA103" s="16"/>
      <c r="BB103" s="17">
        <f>VLOOKUP(BA103,'DATABASE F&amp;B'!$C$3:$F$216,2,0)</f>
        <v>0</v>
      </c>
      <c r="BC103" s="18"/>
      <c r="BD103" s="19">
        <f>VLOOKUP(BA103,'DATABASE F&amp;B'!$C$3:$F$216,4,0)</f>
        <v>0</v>
      </c>
      <c r="BE103" s="19">
        <f t="shared" si="161"/>
        <v>0</v>
      </c>
      <c r="BF103" s="16"/>
      <c r="BG103" s="17">
        <f>VLOOKUP(BF103,'DATABASE F&amp;B'!$C$3:$F$216,2,0)</f>
        <v>0</v>
      </c>
      <c r="BH103" s="18"/>
      <c r="BI103" s="19">
        <f>VLOOKUP(BF103,'DATABASE F&amp;B'!$C$3:$F$216,4,0)</f>
        <v>0</v>
      </c>
      <c r="BJ103" s="19">
        <f t="shared" si="162"/>
        <v>0</v>
      </c>
      <c r="BK103" s="16"/>
      <c r="BL103" s="17">
        <f>VLOOKUP(BK103,'DATABASE F&amp;B'!$C$3:$F$210,2,0)</f>
        <v>0</v>
      </c>
      <c r="BM103" s="18"/>
      <c r="BN103" s="19">
        <f>VLOOKUP(BK103,'DATABASE F&amp;B'!$C$3:$F$210,4,0)</f>
        <v>0</v>
      </c>
      <c r="BO103" s="19">
        <f t="shared" si="163"/>
        <v>0</v>
      </c>
      <c r="BP103" s="16"/>
      <c r="BQ103" s="17">
        <f>VLOOKUP(BP103,'DATABASE F&amp;B'!$C$3:$F$210,2,0)</f>
        <v>0</v>
      </c>
      <c r="BR103" s="18"/>
      <c r="BS103" s="19">
        <f>VLOOKUP(BP103,'DATABASE F&amp;B'!$C$3:$F$210,4,0)</f>
        <v>0</v>
      </c>
      <c r="BT103" s="19">
        <f t="shared" si="164"/>
        <v>0</v>
      </c>
      <c r="BU103" s="16"/>
      <c r="BV103" s="17">
        <f>VLOOKUP(BU103,'DATABASE F&amp;B'!$C$3:$F$210,2,0)</f>
        <v>0</v>
      </c>
      <c r="BW103" s="18"/>
      <c r="BX103" s="19">
        <f>VLOOKUP(BU103,'DATABASE F&amp;B'!$C$3:$F$210,4,0)</f>
        <v>0</v>
      </c>
      <c r="BY103" s="19">
        <f t="shared" si="165"/>
        <v>0</v>
      </c>
      <c r="BZ103" s="16"/>
      <c r="CA103" s="17">
        <f>VLOOKUP(BZ103,'DATABASE F&amp;B'!$C$3:$F$210,2,0)</f>
        <v>0</v>
      </c>
      <c r="CB103" s="18"/>
      <c r="CC103" s="19">
        <f>VLOOKUP(BZ103,'DATABASE F&amp;B'!$C$3:$F$210,4,0)</f>
        <v>0</v>
      </c>
      <c r="CD103" s="19">
        <f t="shared" si="166"/>
        <v>0</v>
      </c>
    </row>
    <row r="104" spans="1:82" ht="13.5" x14ac:dyDescent="0.25">
      <c r="A104" s="32" t="str">
        <f t="shared" si="147"/>
        <v>05-'18-2026</v>
      </c>
      <c r="B104" s="22">
        <f t="shared" si="168"/>
        <v>100</v>
      </c>
      <c r="C104" s="22">
        <f t="shared" si="168"/>
        <v>100</v>
      </c>
      <c r="D104" s="34">
        <v>46160</v>
      </c>
      <c r="E104" s="35" t="s">
        <v>61</v>
      </c>
      <c r="F104" s="35" t="s">
        <v>202</v>
      </c>
      <c r="G104" s="52" t="s">
        <v>81</v>
      </c>
      <c r="H104" s="36" t="str">
        <f t="shared" si="145"/>
        <v>RJ-'180526-100</v>
      </c>
      <c r="I104" s="36" t="str">
        <f t="shared" si="148"/>
        <v>'18-05-2026</v>
      </c>
      <c r="J104" s="37" t="str">
        <f>VLOOKUP(D104,Laporan!$C$4:$D$34,2,0)</f>
        <v>Senin</v>
      </c>
      <c r="K104" s="48"/>
      <c r="L104" s="13" t="s">
        <v>33</v>
      </c>
      <c r="M104" s="19">
        <f>SUMIF('DATABASE Room'!$B$3:$B$7,L104,'DATABASE Room'!$D$3:$D$7)</f>
        <v>0</v>
      </c>
      <c r="N104" s="13">
        <v>1</v>
      </c>
      <c r="O104" s="21">
        <f t="shared" si="149"/>
        <v>0</v>
      </c>
      <c r="P104" s="38"/>
      <c r="Q104" s="19">
        <f t="shared" si="150"/>
        <v>0</v>
      </c>
      <c r="R104" s="21">
        <f t="shared" si="151"/>
        <v>0</v>
      </c>
      <c r="S104" s="19">
        <f t="shared" si="152"/>
        <v>5</v>
      </c>
      <c r="T104" s="19">
        <f t="shared" si="153"/>
        <v>40000</v>
      </c>
      <c r="U104" s="21">
        <f t="shared" si="154"/>
        <v>40000</v>
      </c>
      <c r="V104" s="39"/>
      <c r="W104" s="16">
        <v>23</v>
      </c>
      <c r="X104" s="17" t="str">
        <f>VLOOKUP(W104,'DATABASE F&amp;B'!$C$3:$F$216,2,0)</f>
        <v>NASI GORENG TUNA SAMBAL IJO</v>
      </c>
      <c r="Y104" s="18">
        <v>1</v>
      </c>
      <c r="Z104" s="19">
        <f>VLOOKUP(W104,'DATABASE F&amp;B'!$C$3:$F$216,4,0)</f>
        <v>32000</v>
      </c>
      <c r="AA104" s="19">
        <f t="shared" si="155"/>
        <v>32000</v>
      </c>
      <c r="AB104" s="16">
        <v>45</v>
      </c>
      <c r="AC104" s="17" t="str">
        <f>VLOOKUP(AB104,'DATABASE F&amp;B'!$C$3:$F$216,2,0)</f>
        <v>LE MINERAL 330ML</v>
      </c>
      <c r="AD104" s="18">
        <v>1</v>
      </c>
      <c r="AE104" s="19">
        <f>VLOOKUP(AB104,'DATABASE F&amp;B'!$C$3:$F$216,4,0)</f>
        <v>8000</v>
      </c>
      <c r="AF104" s="19">
        <f t="shared" si="156"/>
        <v>8000</v>
      </c>
      <c r="AG104" s="16"/>
      <c r="AH104" s="17">
        <f>VLOOKUP(AG104,'DATABASE F&amp;B'!$C$3:$F$216,2,0)</f>
        <v>0</v>
      </c>
      <c r="AI104" s="18">
        <v>1</v>
      </c>
      <c r="AJ104" s="19">
        <f>VLOOKUP(AG104,'DATABASE F&amp;B'!$C$3:$F$216,4,0)</f>
        <v>0</v>
      </c>
      <c r="AK104" s="19">
        <f t="shared" si="157"/>
        <v>0</v>
      </c>
      <c r="AL104" s="16"/>
      <c r="AM104" s="17">
        <f>VLOOKUP(AL104,'DATABASE F&amp;B'!$C$3:$F$216,2,0)</f>
        <v>0</v>
      </c>
      <c r="AN104" s="18">
        <v>1</v>
      </c>
      <c r="AO104" s="19">
        <f>VLOOKUP(AL104,'DATABASE F&amp;B'!$C$3:$F$216,4,0)</f>
        <v>0</v>
      </c>
      <c r="AP104" s="19">
        <f t="shared" si="158"/>
        <v>0</v>
      </c>
      <c r="AQ104" s="16"/>
      <c r="AR104" s="17">
        <f>VLOOKUP(AQ104,'DATABASE F&amp;B'!$C$3:$F$216,2,0)</f>
        <v>0</v>
      </c>
      <c r="AS104" s="18">
        <v>1</v>
      </c>
      <c r="AT104" s="19">
        <f>VLOOKUP(AQ104,'DATABASE F&amp;B'!$C$3:$F$216,4,0)</f>
        <v>0</v>
      </c>
      <c r="AU104" s="19">
        <f t="shared" si="159"/>
        <v>0</v>
      </c>
      <c r="AV104" s="16"/>
      <c r="AW104" s="17">
        <f>VLOOKUP(AV104,'DATABASE F&amp;B'!$C$3:$F$216,2,0)</f>
        <v>0</v>
      </c>
      <c r="AX104" s="18"/>
      <c r="AY104" s="19">
        <f>VLOOKUP(AV104,'DATABASE F&amp;B'!$C$3:$F$216,4,0)</f>
        <v>0</v>
      </c>
      <c r="AZ104" s="19">
        <f t="shared" si="160"/>
        <v>0</v>
      </c>
      <c r="BA104" s="16"/>
      <c r="BB104" s="17">
        <f>VLOOKUP(BA104,'DATABASE F&amp;B'!$C$3:$F$216,2,0)</f>
        <v>0</v>
      </c>
      <c r="BC104" s="18"/>
      <c r="BD104" s="19">
        <f>VLOOKUP(BA104,'DATABASE F&amp;B'!$C$3:$F$216,4,0)</f>
        <v>0</v>
      </c>
      <c r="BE104" s="19">
        <f t="shared" si="161"/>
        <v>0</v>
      </c>
      <c r="BF104" s="16"/>
      <c r="BG104" s="17">
        <f>VLOOKUP(BF104,'DATABASE F&amp;B'!$C$3:$F$216,2,0)</f>
        <v>0</v>
      </c>
      <c r="BH104" s="18"/>
      <c r="BI104" s="19">
        <f>VLOOKUP(BF104,'DATABASE F&amp;B'!$C$3:$F$216,4,0)</f>
        <v>0</v>
      </c>
      <c r="BJ104" s="19">
        <f t="shared" si="162"/>
        <v>0</v>
      </c>
      <c r="BK104" s="16"/>
      <c r="BL104" s="17">
        <f>VLOOKUP(BK104,'DATABASE F&amp;B'!$C$3:$F$210,2,0)</f>
        <v>0</v>
      </c>
      <c r="BM104" s="18"/>
      <c r="BN104" s="19">
        <f>VLOOKUP(BK104,'DATABASE F&amp;B'!$C$3:$F$210,4,0)</f>
        <v>0</v>
      </c>
      <c r="BO104" s="19">
        <f t="shared" si="163"/>
        <v>0</v>
      </c>
      <c r="BP104" s="16"/>
      <c r="BQ104" s="17">
        <f>VLOOKUP(BP104,'DATABASE F&amp;B'!$C$3:$F$210,2,0)</f>
        <v>0</v>
      </c>
      <c r="BR104" s="18"/>
      <c r="BS104" s="19">
        <f>VLOOKUP(BP104,'DATABASE F&amp;B'!$C$3:$F$210,4,0)</f>
        <v>0</v>
      </c>
      <c r="BT104" s="19">
        <f t="shared" si="164"/>
        <v>0</v>
      </c>
      <c r="BU104" s="16"/>
      <c r="BV104" s="17">
        <f>VLOOKUP(BU104,'DATABASE F&amp;B'!$C$3:$F$210,2,0)</f>
        <v>0</v>
      </c>
      <c r="BW104" s="18"/>
      <c r="BX104" s="19">
        <f>VLOOKUP(BU104,'DATABASE F&amp;B'!$C$3:$F$210,4,0)</f>
        <v>0</v>
      </c>
      <c r="BY104" s="19">
        <f t="shared" si="165"/>
        <v>0</v>
      </c>
      <c r="BZ104" s="16"/>
      <c r="CA104" s="17">
        <f>VLOOKUP(BZ104,'DATABASE F&amp;B'!$C$3:$F$210,2,0)</f>
        <v>0</v>
      </c>
      <c r="CB104" s="18"/>
      <c r="CC104" s="19">
        <f>VLOOKUP(BZ104,'DATABASE F&amp;B'!$C$3:$F$210,4,0)</f>
        <v>0</v>
      </c>
      <c r="CD104" s="19">
        <f t="shared" si="166"/>
        <v>0</v>
      </c>
    </row>
    <row r="105" spans="1:82" ht="13.5" x14ac:dyDescent="0.25">
      <c r="A105" s="32" t="str">
        <f t="shared" si="147"/>
        <v>05-'19-2026</v>
      </c>
      <c r="B105" s="22">
        <f t="shared" si="168"/>
        <v>101</v>
      </c>
      <c r="C105" s="22">
        <f t="shared" si="168"/>
        <v>101</v>
      </c>
      <c r="D105" s="34">
        <v>46161</v>
      </c>
      <c r="E105" s="35" t="s">
        <v>71</v>
      </c>
      <c r="F105" s="35" t="s">
        <v>202</v>
      </c>
      <c r="G105" s="52" t="s">
        <v>81</v>
      </c>
      <c r="H105" s="36" t="str">
        <f t="shared" si="145"/>
        <v>RJ-'190526-101</v>
      </c>
      <c r="I105" s="36" t="str">
        <f t="shared" si="148"/>
        <v>'19-05-2026</v>
      </c>
      <c r="J105" s="37" t="str">
        <f>VLOOKUP(D105,Laporan!$C$4:$D$34,2,0)</f>
        <v>Selasa</v>
      </c>
      <c r="K105" s="48"/>
      <c r="L105" s="13" t="s">
        <v>33</v>
      </c>
      <c r="M105" s="19">
        <f>SUMIF('DATABASE Room'!$B$3:$B$7,L105,'DATABASE Room'!$D$3:$D$7)</f>
        <v>0</v>
      </c>
      <c r="N105" s="13">
        <v>1</v>
      </c>
      <c r="O105" s="21">
        <f t="shared" si="149"/>
        <v>0</v>
      </c>
      <c r="P105" s="38"/>
      <c r="Q105" s="19">
        <f t="shared" si="150"/>
        <v>0</v>
      </c>
      <c r="R105" s="21">
        <f t="shared" si="151"/>
        <v>0</v>
      </c>
      <c r="S105" s="19">
        <f t="shared" si="152"/>
        <v>5</v>
      </c>
      <c r="T105" s="19">
        <f t="shared" si="153"/>
        <v>35000</v>
      </c>
      <c r="U105" s="21">
        <f t="shared" si="154"/>
        <v>35000</v>
      </c>
      <c r="V105" s="39"/>
      <c r="W105" s="16">
        <v>24</v>
      </c>
      <c r="X105" s="17" t="str">
        <f>VLOOKUP(W105,'DATABASE F&amp;B'!$C$3:$F$216,2,0)</f>
        <v>KATSU OMURICE</v>
      </c>
      <c r="Y105" s="18">
        <v>1</v>
      </c>
      <c r="Z105" s="19">
        <f>VLOOKUP(W105,'DATABASE F&amp;B'!$C$3:$F$216,4,0)</f>
        <v>35000</v>
      </c>
      <c r="AA105" s="19">
        <f t="shared" si="155"/>
        <v>35000</v>
      </c>
      <c r="AB105" s="16"/>
      <c r="AC105" s="17">
        <f>VLOOKUP(AB105,'DATABASE F&amp;B'!$C$3:$F$216,2,0)</f>
        <v>0</v>
      </c>
      <c r="AD105" s="18">
        <v>1</v>
      </c>
      <c r="AE105" s="19">
        <f>VLOOKUP(AB105,'DATABASE F&amp;B'!$C$3:$F$216,4,0)</f>
        <v>0</v>
      </c>
      <c r="AF105" s="19">
        <f t="shared" si="156"/>
        <v>0</v>
      </c>
      <c r="AG105" s="16"/>
      <c r="AH105" s="17">
        <f>VLOOKUP(AG105,'DATABASE F&amp;B'!$C$3:$F$216,2,0)</f>
        <v>0</v>
      </c>
      <c r="AI105" s="18">
        <v>1</v>
      </c>
      <c r="AJ105" s="19">
        <f>VLOOKUP(AG105,'DATABASE F&amp;B'!$C$3:$F$216,4,0)</f>
        <v>0</v>
      </c>
      <c r="AK105" s="19">
        <f t="shared" si="157"/>
        <v>0</v>
      </c>
      <c r="AL105" s="16"/>
      <c r="AM105" s="17">
        <f>VLOOKUP(AL105,'DATABASE F&amp;B'!$C$3:$F$216,2,0)</f>
        <v>0</v>
      </c>
      <c r="AN105" s="18">
        <v>1</v>
      </c>
      <c r="AO105" s="19">
        <f>VLOOKUP(AL105,'DATABASE F&amp;B'!$C$3:$F$216,4,0)</f>
        <v>0</v>
      </c>
      <c r="AP105" s="19">
        <f t="shared" si="158"/>
        <v>0</v>
      </c>
      <c r="AQ105" s="16"/>
      <c r="AR105" s="17">
        <f>VLOOKUP(AQ105,'DATABASE F&amp;B'!$C$3:$F$216,2,0)</f>
        <v>0</v>
      </c>
      <c r="AS105" s="18">
        <v>1</v>
      </c>
      <c r="AT105" s="19">
        <f>VLOOKUP(AQ105,'DATABASE F&amp;B'!$C$3:$F$216,4,0)</f>
        <v>0</v>
      </c>
      <c r="AU105" s="19">
        <f t="shared" si="159"/>
        <v>0</v>
      </c>
      <c r="AV105" s="16"/>
      <c r="AW105" s="17">
        <f>VLOOKUP(AV105,'DATABASE F&amp;B'!$C$3:$F$216,2,0)</f>
        <v>0</v>
      </c>
      <c r="AX105" s="18"/>
      <c r="AY105" s="19">
        <f>VLOOKUP(AV105,'DATABASE F&amp;B'!$C$3:$F$216,4,0)</f>
        <v>0</v>
      </c>
      <c r="AZ105" s="19">
        <f t="shared" si="160"/>
        <v>0</v>
      </c>
      <c r="BA105" s="16"/>
      <c r="BB105" s="17">
        <f>VLOOKUP(BA105,'DATABASE F&amp;B'!$C$3:$F$216,2,0)</f>
        <v>0</v>
      </c>
      <c r="BC105" s="18"/>
      <c r="BD105" s="19">
        <f>VLOOKUP(BA105,'DATABASE F&amp;B'!$C$3:$F$216,4,0)</f>
        <v>0</v>
      </c>
      <c r="BE105" s="19">
        <f t="shared" si="161"/>
        <v>0</v>
      </c>
      <c r="BF105" s="16"/>
      <c r="BG105" s="17">
        <f>VLOOKUP(BF105,'DATABASE F&amp;B'!$C$3:$F$216,2,0)</f>
        <v>0</v>
      </c>
      <c r="BH105" s="18"/>
      <c r="BI105" s="19">
        <f>VLOOKUP(BF105,'DATABASE F&amp;B'!$C$3:$F$216,4,0)</f>
        <v>0</v>
      </c>
      <c r="BJ105" s="19">
        <f t="shared" si="162"/>
        <v>0</v>
      </c>
      <c r="BK105" s="16"/>
      <c r="BL105" s="17">
        <f>VLOOKUP(BK105,'DATABASE F&amp;B'!$C$3:$F$210,2,0)</f>
        <v>0</v>
      </c>
      <c r="BM105" s="18"/>
      <c r="BN105" s="19">
        <f>VLOOKUP(BK105,'DATABASE F&amp;B'!$C$3:$F$210,4,0)</f>
        <v>0</v>
      </c>
      <c r="BO105" s="19">
        <f t="shared" si="163"/>
        <v>0</v>
      </c>
      <c r="BP105" s="16"/>
      <c r="BQ105" s="17">
        <f>VLOOKUP(BP105,'DATABASE F&amp;B'!$C$3:$F$210,2,0)</f>
        <v>0</v>
      </c>
      <c r="BR105" s="18"/>
      <c r="BS105" s="19">
        <f>VLOOKUP(BP105,'DATABASE F&amp;B'!$C$3:$F$210,4,0)</f>
        <v>0</v>
      </c>
      <c r="BT105" s="19">
        <f t="shared" si="164"/>
        <v>0</v>
      </c>
      <c r="BU105" s="16"/>
      <c r="BV105" s="17">
        <f>VLOOKUP(BU105,'DATABASE F&amp;B'!$C$3:$F$210,2,0)</f>
        <v>0</v>
      </c>
      <c r="BW105" s="18"/>
      <c r="BX105" s="19">
        <f>VLOOKUP(BU105,'DATABASE F&amp;B'!$C$3:$F$210,4,0)</f>
        <v>0</v>
      </c>
      <c r="BY105" s="19">
        <f t="shared" si="165"/>
        <v>0</v>
      </c>
      <c r="BZ105" s="16"/>
      <c r="CA105" s="17">
        <f>VLOOKUP(BZ105,'DATABASE F&amp;B'!$C$3:$F$210,2,0)</f>
        <v>0</v>
      </c>
      <c r="CB105" s="18"/>
      <c r="CC105" s="19">
        <f>VLOOKUP(BZ105,'DATABASE F&amp;B'!$C$3:$F$210,4,0)</f>
        <v>0</v>
      </c>
      <c r="CD105" s="19">
        <f t="shared" si="166"/>
        <v>0</v>
      </c>
    </row>
    <row r="106" spans="1:82" ht="13.5" x14ac:dyDescent="0.25">
      <c r="A106" s="32" t="str">
        <f t="shared" si="147"/>
        <v>05-'19-2026</v>
      </c>
      <c r="B106" s="22">
        <f t="shared" si="168"/>
        <v>102</v>
      </c>
      <c r="C106" s="22">
        <f t="shared" si="168"/>
        <v>102</v>
      </c>
      <c r="D106" s="34">
        <v>46161</v>
      </c>
      <c r="E106" s="35" t="s">
        <v>71</v>
      </c>
      <c r="F106" s="35" t="s">
        <v>202</v>
      </c>
      <c r="G106" s="52" t="s">
        <v>81</v>
      </c>
      <c r="H106" s="36" t="str">
        <f t="shared" si="145"/>
        <v>RJ-'190526-102</v>
      </c>
      <c r="I106" s="36" t="str">
        <f t="shared" si="148"/>
        <v>'19-05-2026</v>
      </c>
      <c r="J106" s="37" t="str">
        <f>VLOOKUP(D106,Laporan!$C$4:$D$34,2,0)</f>
        <v>Selasa</v>
      </c>
      <c r="K106" s="48"/>
      <c r="L106" s="13" t="s">
        <v>33</v>
      </c>
      <c r="M106" s="19">
        <f>SUMIF('DATABASE Room'!$B$3:$B$7,L106,'DATABASE Room'!$D$3:$D$7)</f>
        <v>0</v>
      </c>
      <c r="N106" s="13">
        <v>1</v>
      </c>
      <c r="O106" s="21">
        <f t="shared" si="149"/>
        <v>0</v>
      </c>
      <c r="P106" s="38"/>
      <c r="Q106" s="19">
        <f t="shared" si="150"/>
        <v>0</v>
      </c>
      <c r="R106" s="21">
        <f t="shared" si="151"/>
        <v>0</v>
      </c>
      <c r="S106" s="19">
        <f t="shared" si="152"/>
        <v>5</v>
      </c>
      <c r="T106" s="19">
        <f t="shared" si="153"/>
        <v>8000</v>
      </c>
      <c r="U106" s="21">
        <f t="shared" si="154"/>
        <v>8000</v>
      </c>
      <c r="V106" s="39"/>
      <c r="W106" s="16">
        <v>45</v>
      </c>
      <c r="X106" s="17" t="str">
        <f>VLOOKUP(W106,'DATABASE F&amp;B'!$C$3:$F$216,2,0)</f>
        <v>LE MINERAL 330ML</v>
      </c>
      <c r="Y106" s="18">
        <v>1</v>
      </c>
      <c r="Z106" s="19">
        <f>VLOOKUP(W106,'DATABASE F&amp;B'!$C$3:$F$216,4,0)</f>
        <v>8000</v>
      </c>
      <c r="AA106" s="19">
        <f t="shared" si="155"/>
        <v>8000</v>
      </c>
      <c r="AB106" s="16"/>
      <c r="AC106" s="17">
        <f>VLOOKUP(AB106,'DATABASE F&amp;B'!$C$3:$F$216,2,0)</f>
        <v>0</v>
      </c>
      <c r="AD106" s="18">
        <v>1</v>
      </c>
      <c r="AE106" s="19">
        <f>VLOOKUP(AB106,'DATABASE F&amp;B'!$C$3:$F$216,4,0)</f>
        <v>0</v>
      </c>
      <c r="AF106" s="19">
        <f t="shared" si="156"/>
        <v>0</v>
      </c>
      <c r="AG106" s="16"/>
      <c r="AH106" s="17">
        <f>VLOOKUP(AG106,'DATABASE F&amp;B'!$C$3:$F$216,2,0)</f>
        <v>0</v>
      </c>
      <c r="AI106" s="18">
        <v>1</v>
      </c>
      <c r="AJ106" s="19">
        <f>VLOOKUP(AG106,'DATABASE F&amp;B'!$C$3:$F$216,4,0)</f>
        <v>0</v>
      </c>
      <c r="AK106" s="19">
        <f t="shared" si="157"/>
        <v>0</v>
      </c>
      <c r="AL106" s="16"/>
      <c r="AM106" s="17">
        <f>VLOOKUP(AL106,'DATABASE F&amp;B'!$C$3:$F$216,2,0)</f>
        <v>0</v>
      </c>
      <c r="AN106" s="18">
        <v>1</v>
      </c>
      <c r="AO106" s="19">
        <f>VLOOKUP(AL106,'DATABASE F&amp;B'!$C$3:$F$216,4,0)</f>
        <v>0</v>
      </c>
      <c r="AP106" s="19">
        <f t="shared" si="158"/>
        <v>0</v>
      </c>
      <c r="AQ106" s="16"/>
      <c r="AR106" s="17">
        <f>VLOOKUP(AQ106,'DATABASE F&amp;B'!$C$3:$F$216,2,0)</f>
        <v>0</v>
      </c>
      <c r="AS106" s="18">
        <v>1</v>
      </c>
      <c r="AT106" s="19">
        <f>VLOOKUP(AQ106,'DATABASE F&amp;B'!$C$3:$F$216,4,0)</f>
        <v>0</v>
      </c>
      <c r="AU106" s="19">
        <f t="shared" si="159"/>
        <v>0</v>
      </c>
      <c r="AV106" s="16"/>
      <c r="AW106" s="17">
        <f>VLOOKUP(AV106,'DATABASE F&amp;B'!$C$3:$F$216,2,0)</f>
        <v>0</v>
      </c>
      <c r="AX106" s="18"/>
      <c r="AY106" s="19">
        <f>VLOOKUP(AV106,'DATABASE F&amp;B'!$C$3:$F$216,4,0)</f>
        <v>0</v>
      </c>
      <c r="AZ106" s="19">
        <f t="shared" si="160"/>
        <v>0</v>
      </c>
      <c r="BA106" s="16"/>
      <c r="BB106" s="17">
        <f>VLOOKUP(BA106,'DATABASE F&amp;B'!$C$3:$F$216,2,0)</f>
        <v>0</v>
      </c>
      <c r="BC106" s="18"/>
      <c r="BD106" s="19">
        <f>VLOOKUP(BA106,'DATABASE F&amp;B'!$C$3:$F$216,4,0)</f>
        <v>0</v>
      </c>
      <c r="BE106" s="19">
        <f t="shared" si="161"/>
        <v>0</v>
      </c>
      <c r="BF106" s="16"/>
      <c r="BG106" s="17">
        <f>VLOOKUP(BF106,'DATABASE F&amp;B'!$C$3:$F$216,2,0)</f>
        <v>0</v>
      </c>
      <c r="BH106" s="18"/>
      <c r="BI106" s="19">
        <f>VLOOKUP(BF106,'DATABASE F&amp;B'!$C$3:$F$216,4,0)</f>
        <v>0</v>
      </c>
      <c r="BJ106" s="19">
        <f t="shared" si="162"/>
        <v>0</v>
      </c>
      <c r="BK106" s="16"/>
      <c r="BL106" s="17">
        <f>VLOOKUP(BK106,'DATABASE F&amp;B'!$C$3:$F$210,2,0)</f>
        <v>0</v>
      </c>
      <c r="BM106" s="18"/>
      <c r="BN106" s="19">
        <f>VLOOKUP(BK106,'DATABASE F&amp;B'!$C$3:$F$210,4,0)</f>
        <v>0</v>
      </c>
      <c r="BO106" s="19">
        <f t="shared" si="163"/>
        <v>0</v>
      </c>
      <c r="BP106" s="16"/>
      <c r="BQ106" s="17">
        <f>VLOOKUP(BP106,'DATABASE F&amp;B'!$C$3:$F$210,2,0)</f>
        <v>0</v>
      </c>
      <c r="BR106" s="18"/>
      <c r="BS106" s="19">
        <f>VLOOKUP(BP106,'DATABASE F&amp;B'!$C$3:$F$210,4,0)</f>
        <v>0</v>
      </c>
      <c r="BT106" s="19">
        <f t="shared" si="164"/>
        <v>0</v>
      </c>
      <c r="BU106" s="16"/>
      <c r="BV106" s="17">
        <f>VLOOKUP(BU106,'DATABASE F&amp;B'!$C$3:$F$210,2,0)</f>
        <v>0</v>
      </c>
      <c r="BW106" s="18"/>
      <c r="BX106" s="19">
        <f>VLOOKUP(BU106,'DATABASE F&amp;B'!$C$3:$F$210,4,0)</f>
        <v>0</v>
      </c>
      <c r="BY106" s="19">
        <f t="shared" si="165"/>
        <v>0</v>
      </c>
      <c r="BZ106" s="16"/>
      <c r="CA106" s="17">
        <f>VLOOKUP(BZ106,'DATABASE F&amp;B'!$C$3:$F$210,2,0)</f>
        <v>0</v>
      </c>
      <c r="CB106" s="18"/>
      <c r="CC106" s="19">
        <f>VLOOKUP(BZ106,'DATABASE F&amp;B'!$C$3:$F$210,4,0)</f>
        <v>0</v>
      </c>
      <c r="CD106" s="19">
        <f t="shared" si="166"/>
        <v>0</v>
      </c>
    </row>
    <row r="107" spans="1:82" ht="13.5" x14ac:dyDescent="0.25">
      <c r="A107" s="32" t="str">
        <f t="shared" si="147"/>
        <v>05-'19-2026</v>
      </c>
      <c r="B107" s="22">
        <f t="shared" si="168"/>
        <v>103</v>
      </c>
      <c r="C107" s="22">
        <f t="shared" si="168"/>
        <v>103</v>
      </c>
      <c r="D107" s="34">
        <v>46161</v>
      </c>
      <c r="E107" s="35" t="s">
        <v>71</v>
      </c>
      <c r="F107" s="35" t="s">
        <v>202</v>
      </c>
      <c r="G107" s="52" t="s">
        <v>81</v>
      </c>
      <c r="H107" s="36" t="str">
        <f t="shared" si="145"/>
        <v>RJ-'190526-103</v>
      </c>
      <c r="I107" s="36" t="str">
        <f t="shared" si="148"/>
        <v>'19-05-2026</v>
      </c>
      <c r="J107" s="37" t="str">
        <f>VLOOKUP(D107,Laporan!$C$4:$D$34,2,0)</f>
        <v>Selasa</v>
      </c>
      <c r="K107" s="48"/>
      <c r="L107" s="13" t="s">
        <v>33</v>
      </c>
      <c r="M107" s="19">
        <f>SUMIF('DATABASE Room'!$B$3:$B$7,L107,'DATABASE Room'!$D$3:$D$7)</f>
        <v>0</v>
      </c>
      <c r="N107" s="13">
        <v>1</v>
      </c>
      <c r="O107" s="21">
        <f t="shared" si="149"/>
        <v>0</v>
      </c>
      <c r="P107" s="38"/>
      <c r="Q107" s="19">
        <f t="shared" si="150"/>
        <v>0</v>
      </c>
      <c r="R107" s="21">
        <f t="shared" si="151"/>
        <v>0</v>
      </c>
      <c r="S107" s="19">
        <f t="shared" si="152"/>
        <v>5</v>
      </c>
      <c r="T107" s="19">
        <f t="shared" si="153"/>
        <v>15000</v>
      </c>
      <c r="U107" s="21">
        <f t="shared" si="154"/>
        <v>15000</v>
      </c>
      <c r="V107" s="39"/>
      <c r="W107" s="16">
        <v>46</v>
      </c>
      <c r="X107" s="17" t="str">
        <f>VLOOKUP(W107,'DATABASE F&amp;B'!$C$3:$F$216,2,0)</f>
        <v>TEH PUCUK HARUM 350ML</v>
      </c>
      <c r="Y107" s="18">
        <v>1</v>
      </c>
      <c r="Z107" s="19">
        <f>VLOOKUP(W107,'DATABASE F&amp;B'!$C$3:$F$216,4,0)</f>
        <v>15000</v>
      </c>
      <c r="AA107" s="19">
        <f t="shared" si="155"/>
        <v>15000</v>
      </c>
      <c r="AB107" s="16"/>
      <c r="AC107" s="17">
        <f>VLOOKUP(AB107,'DATABASE F&amp;B'!$C$3:$F$216,2,0)</f>
        <v>0</v>
      </c>
      <c r="AD107" s="18">
        <v>1</v>
      </c>
      <c r="AE107" s="19">
        <f>VLOOKUP(AB107,'DATABASE F&amp;B'!$C$3:$F$216,4,0)</f>
        <v>0</v>
      </c>
      <c r="AF107" s="19">
        <f t="shared" si="156"/>
        <v>0</v>
      </c>
      <c r="AG107" s="16"/>
      <c r="AH107" s="17">
        <f>VLOOKUP(AG107,'DATABASE F&amp;B'!$C$3:$F$216,2,0)</f>
        <v>0</v>
      </c>
      <c r="AI107" s="18">
        <v>1</v>
      </c>
      <c r="AJ107" s="19">
        <f>VLOOKUP(AG107,'DATABASE F&amp;B'!$C$3:$F$216,4,0)</f>
        <v>0</v>
      </c>
      <c r="AK107" s="19">
        <f t="shared" si="157"/>
        <v>0</v>
      </c>
      <c r="AL107" s="16"/>
      <c r="AM107" s="17">
        <f>VLOOKUP(AL107,'DATABASE F&amp;B'!$C$3:$F$216,2,0)</f>
        <v>0</v>
      </c>
      <c r="AN107" s="18">
        <v>1</v>
      </c>
      <c r="AO107" s="19">
        <f>VLOOKUP(AL107,'DATABASE F&amp;B'!$C$3:$F$216,4,0)</f>
        <v>0</v>
      </c>
      <c r="AP107" s="19">
        <f t="shared" si="158"/>
        <v>0</v>
      </c>
      <c r="AQ107" s="16"/>
      <c r="AR107" s="17">
        <f>VLOOKUP(AQ107,'DATABASE F&amp;B'!$C$3:$F$216,2,0)</f>
        <v>0</v>
      </c>
      <c r="AS107" s="18">
        <v>1</v>
      </c>
      <c r="AT107" s="19">
        <f>VLOOKUP(AQ107,'DATABASE F&amp;B'!$C$3:$F$216,4,0)</f>
        <v>0</v>
      </c>
      <c r="AU107" s="19">
        <f t="shared" si="159"/>
        <v>0</v>
      </c>
      <c r="AV107" s="16"/>
      <c r="AW107" s="17">
        <f>VLOOKUP(AV107,'DATABASE F&amp;B'!$C$3:$F$216,2,0)</f>
        <v>0</v>
      </c>
      <c r="AX107" s="18"/>
      <c r="AY107" s="19">
        <f>VLOOKUP(AV107,'DATABASE F&amp;B'!$C$3:$F$216,4,0)</f>
        <v>0</v>
      </c>
      <c r="AZ107" s="19">
        <f t="shared" si="160"/>
        <v>0</v>
      </c>
      <c r="BA107" s="16"/>
      <c r="BB107" s="17">
        <f>VLOOKUP(BA107,'DATABASE F&amp;B'!$C$3:$F$216,2,0)</f>
        <v>0</v>
      </c>
      <c r="BC107" s="18"/>
      <c r="BD107" s="19">
        <f>VLOOKUP(BA107,'DATABASE F&amp;B'!$C$3:$F$216,4,0)</f>
        <v>0</v>
      </c>
      <c r="BE107" s="19">
        <f t="shared" si="161"/>
        <v>0</v>
      </c>
      <c r="BF107" s="16"/>
      <c r="BG107" s="17">
        <f>VLOOKUP(BF107,'DATABASE F&amp;B'!$C$3:$F$216,2,0)</f>
        <v>0</v>
      </c>
      <c r="BH107" s="18"/>
      <c r="BI107" s="19">
        <f>VLOOKUP(BF107,'DATABASE F&amp;B'!$C$3:$F$216,4,0)</f>
        <v>0</v>
      </c>
      <c r="BJ107" s="19">
        <f t="shared" si="162"/>
        <v>0</v>
      </c>
      <c r="BK107" s="16"/>
      <c r="BL107" s="17">
        <f>VLOOKUP(BK107,'DATABASE F&amp;B'!$C$3:$F$210,2,0)</f>
        <v>0</v>
      </c>
      <c r="BM107" s="18"/>
      <c r="BN107" s="19">
        <f>VLOOKUP(BK107,'DATABASE F&amp;B'!$C$3:$F$210,4,0)</f>
        <v>0</v>
      </c>
      <c r="BO107" s="19">
        <f t="shared" si="163"/>
        <v>0</v>
      </c>
      <c r="BP107" s="16"/>
      <c r="BQ107" s="17">
        <f>VLOOKUP(BP107,'DATABASE F&amp;B'!$C$3:$F$210,2,0)</f>
        <v>0</v>
      </c>
      <c r="BR107" s="18"/>
      <c r="BS107" s="19">
        <f>VLOOKUP(BP107,'DATABASE F&amp;B'!$C$3:$F$210,4,0)</f>
        <v>0</v>
      </c>
      <c r="BT107" s="19">
        <f t="shared" si="164"/>
        <v>0</v>
      </c>
      <c r="BU107" s="16"/>
      <c r="BV107" s="17">
        <f>VLOOKUP(BU107,'DATABASE F&amp;B'!$C$3:$F$210,2,0)</f>
        <v>0</v>
      </c>
      <c r="BW107" s="18"/>
      <c r="BX107" s="19">
        <f>VLOOKUP(BU107,'DATABASE F&amp;B'!$C$3:$F$210,4,0)</f>
        <v>0</v>
      </c>
      <c r="BY107" s="19">
        <f t="shared" si="165"/>
        <v>0</v>
      </c>
      <c r="BZ107" s="16"/>
      <c r="CA107" s="17">
        <f>VLOOKUP(BZ107,'DATABASE F&amp;B'!$C$3:$F$210,2,0)</f>
        <v>0</v>
      </c>
      <c r="CB107" s="18"/>
      <c r="CC107" s="19">
        <f>VLOOKUP(BZ107,'DATABASE F&amp;B'!$C$3:$F$210,4,0)</f>
        <v>0</v>
      </c>
      <c r="CD107" s="19">
        <f t="shared" si="166"/>
        <v>0</v>
      </c>
    </row>
    <row r="108" spans="1:82" ht="13.5" x14ac:dyDescent="0.25">
      <c r="A108" s="32" t="str">
        <f t="shared" si="147"/>
        <v>05-'19-2026</v>
      </c>
      <c r="B108" s="22">
        <f t="shared" si="168"/>
        <v>104</v>
      </c>
      <c r="C108" s="22">
        <f t="shared" si="168"/>
        <v>104</v>
      </c>
      <c r="D108" s="34">
        <v>46161</v>
      </c>
      <c r="E108" s="35" t="s">
        <v>71</v>
      </c>
      <c r="F108" s="35" t="s">
        <v>202</v>
      </c>
      <c r="G108" s="52" t="s">
        <v>81</v>
      </c>
      <c r="H108" s="36" t="str">
        <f t="shared" si="145"/>
        <v>RJ-'190526-104</v>
      </c>
      <c r="I108" s="36" t="str">
        <f t="shared" si="148"/>
        <v>'19-05-2026</v>
      </c>
      <c r="J108" s="37" t="str">
        <f>VLOOKUP(D108,Laporan!$C$4:$D$34,2,0)</f>
        <v>Selasa</v>
      </c>
      <c r="K108" s="48"/>
      <c r="L108" s="13" t="s">
        <v>33</v>
      </c>
      <c r="M108" s="19">
        <f>SUMIF('DATABASE Room'!$B$3:$B$7,L108,'DATABASE Room'!$D$3:$D$7)</f>
        <v>0</v>
      </c>
      <c r="N108" s="13">
        <v>1</v>
      </c>
      <c r="O108" s="21">
        <f t="shared" si="149"/>
        <v>0</v>
      </c>
      <c r="P108" s="38"/>
      <c r="Q108" s="19">
        <f t="shared" si="150"/>
        <v>0</v>
      </c>
      <c r="R108" s="21">
        <f t="shared" si="151"/>
        <v>0</v>
      </c>
      <c r="S108" s="19">
        <f t="shared" si="152"/>
        <v>5</v>
      </c>
      <c r="T108" s="19">
        <f t="shared" si="153"/>
        <v>41000</v>
      </c>
      <c r="U108" s="21">
        <f t="shared" si="154"/>
        <v>41000</v>
      </c>
      <c r="V108" s="39"/>
      <c r="W108" s="16">
        <v>27</v>
      </c>
      <c r="X108" s="17" t="str">
        <f>VLOOKUP(W108,'DATABASE F&amp;B'!$C$3:$F$216,2,0)</f>
        <v>KWETIEW SIRAM SAPI JAHE</v>
      </c>
      <c r="Y108" s="18">
        <v>1</v>
      </c>
      <c r="Z108" s="19">
        <f>VLOOKUP(W108,'DATABASE F&amp;B'!$C$3:$F$216,4,0)</f>
        <v>41000</v>
      </c>
      <c r="AA108" s="19">
        <f t="shared" si="155"/>
        <v>41000</v>
      </c>
      <c r="AB108" s="16"/>
      <c r="AC108" s="17">
        <f>VLOOKUP(AB108,'DATABASE F&amp;B'!$C$3:$F$216,2,0)</f>
        <v>0</v>
      </c>
      <c r="AD108" s="18">
        <v>1</v>
      </c>
      <c r="AE108" s="19">
        <f>VLOOKUP(AB108,'DATABASE F&amp;B'!$C$3:$F$216,4,0)</f>
        <v>0</v>
      </c>
      <c r="AF108" s="19">
        <f t="shared" si="156"/>
        <v>0</v>
      </c>
      <c r="AG108" s="16"/>
      <c r="AH108" s="17">
        <f>VLOOKUP(AG108,'DATABASE F&amp;B'!$C$3:$F$216,2,0)</f>
        <v>0</v>
      </c>
      <c r="AI108" s="18">
        <v>1</v>
      </c>
      <c r="AJ108" s="19">
        <f>VLOOKUP(AG108,'DATABASE F&amp;B'!$C$3:$F$216,4,0)</f>
        <v>0</v>
      </c>
      <c r="AK108" s="19">
        <f t="shared" si="157"/>
        <v>0</v>
      </c>
      <c r="AL108" s="16"/>
      <c r="AM108" s="17">
        <f>VLOOKUP(AL108,'DATABASE F&amp;B'!$C$3:$F$216,2,0)</f>
        <v>0</v>
      </c>
      <c r="AN108" s="18">
        <v>1</v>
      </c>
      <c r="AO108" s="19">
        <f>VLOOKUP(AL108,'DATABASE F&amp;B'!$C$3:$F$216,4,0)</f>
        <v>0</v>
      </c>
      <c r="AP108" s="19">
        <f t="shared" si="158"/>
        <v>0</v>
      </c>
      <c r="AQ108" s="16"/>
      <c r="AR108" s="17">
        <f>VLOOKUP(AQ108,'DATABASE F&amp;B'!$C$3:$F$216,2,0)</f>
        <v>0</v>
      </c>
      <c r="AS108" s="18">
        <v>1</v>
      </c>
      <c r="AT108" s="19">
        <f>VLOOKUP(AQ108,'DATABASE F&amp;B'!$C$3:$F$216,4,0)</f>
        <v>0</v>
      </c>
      <c r="AU108" s="19">
        <f t="shared" si="159"/>
        <v>0</v>
      </c>
      <c r="AV108" s="16"/>
      <c r="AW108" s="17">
        <f>VLOOKUP(AV108,'DATABASE F&amp;B'!$C$3:$F$216,2,0)</f>
        <v>0</v>
      </c>
      <c r="AX108" s="18"/>
      <c r="AY108" s="19">
        <f>VLOOKUP(AV108,'DATABASE F&amp;B'!$C$3:$F$216,4,0)</f>
        <v>0</v>
      </c>
      <c r="AZ108" s="19">
        <f t="shared" si="160"/>
        <v>0</v>
      </c>
      <c r="BA108" s="16"/>
      <c r="BB108" s="17">
        <f>VLOOKUP(BA108,'DATABASE F&amp;B'!$C$3:$F$216,2,0)</f>
        <v>0</v>
      </c>
      <c r="BC108" s="18"/>
      <c r="BD108" s="19">
        <f>VLOOKUP(BA108,'DATABASE F&amp;B'!$C$3:$F$216,4,0)</f>
        <v>0</v>
      </c>
      <c r="BE108" s="19">
        <f t="shared" si="161"/>
        <v>0</v>
      </c>
      <c r="BF108" s="16"/>
      <c r="BG108" s="17">
        <f>VLOOKUP(BF108,'DATABASE F&amp;B'!$C$3:$F$216,2,0)</f>
        <v>0</v>
      </c>
      <c r="BH108" s="18"/>
      <c r="BI108" s="19">
        <f>VLOOKUP(BF108,'DATABASE F&amp;B'!$C$3:$F$216,4,0)</f>
        <v>0</v>
      </c>
      <c r="BJ108" s="19">
        <f t="shared" si="162"/>
        <v>0</v>
      </c>
      <c r="BK108" s="16"/>
      <c r="BL108" s="17">
        <f>VLOOKUP(BK108,'DATABASE F&amp;B'!$C$3:$F$210,2,0)</f>
        <v>0</v>
      </c>
      <c r="BM108" s="18"/>
      <c r="BN108" s="19">
        <f>VLOOKUP(BK108,'DATABASE F&amp;B'!$C$3:$F$210,4,0)</f>
        <v>0</v>
      </c>
      <c r="BO108" s="19">
        <f t="shared" si="163"/>
        <v>0</v>
      </c>
      <c r="BP108" s="16"/>
      <c r="BQ108" s="17">
        <f>VLOOKUP(BP108,'DATABASE F&amp;B'!$C$3:$F$210,2,0)</f>
        <v>0</v>
      </c>
      <c r="BR108" s="18"/>
      <c r="BS108" s="19">
        <f>VLOOKUP(BP108,'DATABASE F&amp;B'!$C$3:$F$210,4,0)</f>
        <v>0</v>
      </c>
      <c r="BT108" s="19">
        <f t="shared" si="164"/>
        <v>0</v>
      </c>
      <c r="BU108" s="16"/>
      <c r="BV108" s="17">
        <f>VLOOKUP(BU108,'DATABASE F&amp;B'!$C$3:$F$210,2,0)</f>
        <v>0</v>
      </c>
      <c r="BW108" s="18"/>
      <c r="BX108" s="19">
        <f>VLOOKUP(BU108,'DATABASE F&amp;B'!$C$3:$F$210,4,0)</f>
        <v>0</v>
      </c>
      <c r="BY108" s="19">
        <f t="shared" si="165"/>
        <v>0</v>
      </c>
      <c r="BZ108" s="16"/>
      <c r="CA108" s="17">
        <f>VLOOKUP(BZ108,'DATABASE F&amp;B'!$C$3:$F$210,2,0)</f>
        <v>0</v>
      </c>
      <c r="CB108" s="18"/>
      <c r="CC108" s="19">
        <f>VLOOKUP(BZ108,'DATABASE F&amp;B'!$C$3:$F$210,4,0)</f>
        <v>0</v>
      </c>
      <c r="CD108" s="19">
        <f t="shared" si="166"/>
        <v>0</v>
      </c>
    </row>
    <row r="109" spans="1:82" ht="13.5" x14ac:dyDescent="0.25">
      <c r="A109" s="32" t="str">
        <f t="shared" si="147"/>
        <v>05-'19-2026</v>
      </c>
      <c r="B109" s="22">
        <f t="shared" si="168"/>
        <v>105</v>
      </c>
      <c r="C109" s="22">
        <f t="shared" si="168"/>
        <v>105</v>
      </c>
      <c r="D109" s="34">
        <v>46161</v>
      </c>
      <c r="E109" s="35" t="s">
        <v>71</v>
      </c>
      <c r="F109" s="35" t="s">
        <v>202</v>
      </c>
      <c r="G109" s="52" t="s">
        <v>81</v>
      </c>
      <c r="H109" s="36" t="str">
        <f t="shared" si="145"/>
        <v>RJ-'190526-105</v>
      </c>
      <c r="I109" s="36" t="str">
        <f t="shared" si="148"/>
        <v>'19-05-2026</v>
      </c>
      <c r="J109" s="37" t="str">
        <f>VLOOKUP(D109,Laporan!$C$4:$D$34,2,0)</f>
        <v>Selasa</v>
      </c>
      <c r="K109" s="48"/>
      <c r="L109" s="13" t="s">
        <v>33</v>
      </c>
      <c r="M109" s="19">
        <f>SUMIF('DATABASE Room'!$B$3:$B$7,L109,'DATABASE Room'!$D$3:$D$7)</f>
        <v>0</v>
      </c>
      <c r="N109" s="13">
        <v>1</v>
      </c>
      <c r="O109" s="21">
        <f t="shared" si="149"/>
        <v>0</v>
      </c>
      <c r="P109" s="38"/>
      <c r="Q109" s="19">
        <f t="shared" si="150"/>
        <v>0</v>
      </c>
      <c r="R109" s="21">
        <f t="shared" si="151"/>
        <v>0</v>
      </c>
      <c r="S109" s="19">
        <f t="shared" si="152"/>
        <v>5</v>
      </c>
      <c r="T109" s="19">
        <f t="shared" si="153"/>
        <v>32000</v>
      </c>
      <c r="U109" s="21">
        <f t="shared" si="154"/>
        <v>32000</v>
      </c>
      <c r="V109" s="39"/>
      <c r="W109" s="16">
        <v>20</v>
      </c>
      <c r="X109" s="17" t="str">
        <f>VLOOKUP(W109,'DATABASE F&amp;B'!$C$3:$F$216,2,0)</f>
        <v>NASI SAPI ASAP DABU MATAH</v>
      </c>
      <c r="Y109" s="18">
        <v>1</v>
      </c>
      <c r="Z109" s="19">
        <f>VLOOKUP(W109,'DATABASE F&amp;B'!$C$3:$F$216,4,0)</f>
        <v>32000</v>
      </c>
      <c r="AA109" s="19">
        <f t="shared" si="155"/>
        <v>32000</v>
      </c>
      <c r="AB109" s="16"/>
      <c r="AC109" s="17">
        <f>VLOOKUP(AB109,'DATABASE F&amp;B'!$C$3:$F$216,2,0)</f>
        <v>0</v>
      </c>
      <c r="AD109" s="18">
        <v>1</v>
      </c>
      <c r="AE109" s="19">
        <f>VLOOKUP(AB109,'DATABASE F&amp;B'!$C$3:$F$216,4,0)</f>
        <v>0</v>
      </c>
      <c r="AF109" s="19">
        <f t="shared" si="156"/>
        <v>0</v>
      </c>
      <c r="AG109" s="16"/>
      <c r="AH109" s="17">
        <f>VLOOKUP(AG109,'DATABASE F&amp;B'!$C$3:$F$216,2,0)</f>
        <v>0</v>
      </c>
      <c r="AI109" s="18">
        <v>1</v>
      </c>
      <c r="AJ109" s="19">
        <f>VLOOKUP(AG109,'DATABASE F&amp;B'!$C$3:$F$216,4,0)</f>
        <v>0</v>
      </c>
      <c r="AK109" s="19">
        <f t="shared" si="157"/>
        <v>0</v>
      </c>
      <c r="AL109" s="16"/>
      <c r="AM109" s="17">
        <f>VLOOKUP(AL109,'DATABASE F&amp;B'!$C$3:$F$216,2,0)</f>
        <v>0</v>
      </c>
      <c r="AN109" s="18">
        <v>1</v>
      </c>
      <c r="AO109" s="19">
        <f>VLOOKUP(AL109,'DATABASE F&amp;B'!$C$3:$F$216,4,0)</f>
        <v>0</v>
      </c>
      <c r="AP109" s="19">
        <f t="shared" si="158"/>
        <v>0</v>
      </c>
      <c r="AQ109" s="16"/>
      <c r="AR109" s="17">
        <f>VLOOKUP(AQ109,'DATABASE F&amp;B'!$C$3:$F$216,2,0)</f>
        <v>0</v>
      </c>
      <c r="AS109" s="18">
        <v>1</v>
      </c>
      <c r="AT109" s="19">
        <f>VLOOKUP(AQ109,'DATABASE F&amp;B'!$C$3:$F$216,4,0)</f>
        <v>0</v>
      </c>
      <c r="AU109" s="19">
        <f t="shared" si="159"/>
        <v>0</v>
      </c>
      <c r="AV109" s="16"/>
      <c r="AW109" s="17">
        <f>VLOOKUP(AV109,'DATABASE F&amp;B'!$C$3:$F$216,2,0)</f>
        <v>0</v>
      </c>
      <c r="AX109" s="18"/>
      <c r="AY109" s="19">
        <f>VLOOKUP(AV109,'DATABASE F&amp;B'!$C$3:$F$216,4,0)</f>
        <v>0</v>
      </c>
      <c r="AZ109" s="19">
        <f t="shared" si="160"/>
        <v>0</v>
      </c>
      <c r="BA109" s="16"/>
      <c r="BB109" s="17">
        <f>VLOOKUP(BA109,'DATABASE F&amp;B'!$C$3:$F$216,2,0)</f>
        <v>0</v>
      </c>
      <c r="BC109" s="18"/>
      <c r="BD109" s="19">
        <f>VLOOKUP(BA109,'DATABASE F&amp;B'!$C$3:$F$216,4,0)</f>
        <v>0</v>
      </c>
      <c r="BE109" s="19">
        <f t="shared" si="161"/>
        <v>0</v>
      </c>
      <c r="BF109" s="16"/>
      <c r="BG109" s="17">
        <f>VLOOKUP(BF109,'DATABASE F&amp;B'!$C$3:$F$216,2,0)</f>
        <v>0</v>
      </c>
      <c r="BH109" s="18"/>
      <c r="BI109" s="19">
        <f>VLOOKUP(BF109,'DATABASE F&amp;B'!$C$3:$F$216,4,0)</f>
        <v>0</v>
      </c>
      <c r="BJ109" s="19">
        <f t="shared" si="162"/>
        <v>0</v>
      </c>
      <c r="BK109" s="16"/>
      <c r="BL109" s="17">
        <f>VLOOKUP(BK109,'DATABASE F&amp;B'!$C$3:$F$210,2,0)</f>
        <v>0</v>
      </c>
      <c r="BM109" s="18"/>
      <c r="BN109" s="19">
        <f>VLOOKUP(BK109,'DATABASE F&amp;B'!$C$3:$F$210,4,0)</f>
        <v>0</v>
      </c>
      <c r="BO109" s="19">
        <f t="shared" si="163"/>
        <v>0</v>
      </c>
      <c r="BP109" s="16"/>
      <c r="BQ109" s="17">
        <f>VLOOKUP(BP109,'DATABASE F&amp;B'!$C$3:$F$210,2,0)</f>
        <v>0</v>
      </c>
      <c r="BR109" s="18"/>
      <c r="BS109" s="19">
        <f>VLOOKUP(BP109,'DATABASE F&amp;B'!$C$3:$F$210,4,0)</f>
        <v>0</v>
      </c>
      <c r="BT109" s="19">
        <f t="shared" si="164"/>
        <v>0</v>
      </c>
      <c r="BU109" s="16"/>
      <c r="BV109" s="17">
        <f>VLOOKUP(BU109,'DATABASE F&amp;B'!$C$3:$F$210,2,0)</f>
        <v>0</v>
      </c>
      <c r="BW109" s="18"/>
      <c r="BX109" s="19">
        <f>VLOOKUP(BU109,'DATABASE F&amp;B'!$C$3:$F$210,4,0)</f>
        <v>0</v>
      </c>
      <c r="BY109" s="19">
        <f t="shared" si="165"/>
        <v>0</v>
      </c>
      <c r="BZ109" s="16"/>
      <c r="CA109" s="17">
        <f>VLOOKUP(BZ109,'DATABASE F&amp;B'!$C$3:$F$210,2,0)</f>
        <v>0</v>
      </c>
      <c r="CB109" s="18"/>
      <c r="CC109" s="19">
        <f>VLOOKUP(BZ109,'DATABASE F&amp;B'!$C$3:$F$210,4,0)</f>
        <v>0</v>
      </c>
      <c r="CD109" s="19">
        <f t="shared" si="166"/>
        <v>0</v>
      </c>
    </row>
    <row r="110" spans="1:82" ht="13.5" x14ac:dyDescent="0.25">
      <c r="A110" s="32" t="str">
        <f t="shared" si="147"/>
        <v>05-'20-2026</v>
      </c>
      <c r="B110" s="22">
        <f t="shared" si="168"/>
        <v>106</v>
      </c>
      <c r="C110" s="22">
        <f t="shared" si="168"/>
        <v>106</v>
      </c>
      <c r="D110" s="34">
        <v>46162</v>
      </c>
      <c r="E110" s="35" t="s">
        <v>72</v>
      </c>
      <c r="F110" s="35" t="s">
        <v>202</v>
      </c>
      <c r="G110" s="52" t="s">
        <v>81</v>
      </c>
      <c r="H110" s="36" t="str">
        <f t="shared" si="145"/>
        <v>RJ-'200526-106</v>
      </c>
      <c r="I110" s="36" t="str">
        <f t="shared" si="148"/>
        <v>'20-05-2026</v>
      </c>
      <c r="J110" s="37" t="str">
        <f>VLOOKUP(D110,Laporan!$C$4:$D$34,2,0)</f>
        <v>Rabu</v>
      </c>
      <c r="K110" s="48"/>
      <c r="L110" s="13" t="s">
        <v>33</v>
      </c>
      <c r="M110" s="19">
        <f>SUMIF('DATABASE Room'!$B$3:$B$7,L110,'DATABASE Room'!$D$3:$D$7)</f>
        <v>0</v>
      </c>
      <c r="N110" s="13">
        <v>1</v>
      </c>
      <c r="O110" s="21">
        <f t="shared" si="149"/>
        <v>0</v>
      </c>
      <c r="P110" s="38"/>
      <c r="Q110" s="19">
        <f t="shared" si="150"/>
        <v>0</v>
      </c>
      <c r="R110" s="21">
        <f t="shared" si="151"/>
        <v>0</v>
      </c>
      <c r="S110" s="19">
        <f t="shared" si="152"/>
        <v>5</v>
      </c>
      <c r="T110" s="19">
        <f t="shared" si="153"/>
        <v>10000</v>
      </c>
      <c r="U110" s="21">
        <f t="shared" si="154"/>
        <v>10000</v>
      </c>
      <c r="V110" s="39"/>
      <c r="W110" s="16">
        <v>29</v>
      </c>
      <c r="X110" s="17" t="str">
        <f>VLOOKUP(W110,'DATABASE F&amp;B'!$C$3:$F$216,2,0)</f>
        <v>STEAM RICE</v>
      </c>
      <c r="Y110" s="18">
        <v>1</v>
      </c>
      <c r="Z110" s="19">
        <f>VLOOKUP(W110,'DATABASE F&amp;B'!$C$3:$F$216,4,0)</f>
        <v>10000</v>
      </c>
      <c r="AA110" s="19">
        <f t="shared" si="155"/>
        <v>10000</v>
      </c>
      <c r="AB110" s="16"/>
      <c r="AC110" s="17">
        <f>VLOOKUP(AB110,'DATABASE F&amp;B'!$C$3:$F$216,2,0)</f>
        <v>0</v>
      </c>
      <c r="AD110" s="18">
        <v>1</v>
      </c>
      <c r="AE110" s="19">
        <f>VLOOKUP(AB110,'DATABASE F&amp;B'!$C$3:$F$216,4,0)</f>
        <v>0</v>
      </c>
      <c r="AF110" s="19">
        <f t="shared" si="156"/>
        <v>0</v>
      </c>
      <c r="AG110" s="16"/>
      <c r="AH110" s="17">
        <f>VLOOKUP(AG110,'DATABASE F&amp;B'!$C$3:$F$216,2,0)</f>
        <v>0</v>
      </c>
      <c r="AI110" s="18">
        <v>1</v>
      </c>
      <c r="AJ110" s="19">
        <f>VLOOKUP(AG110,'DATABASE F&amp;B'!$C$3:$F$216,4,0)</f>
        <v>0</v>
      </c>
      <c r="AK110" s="19">
        <f t="shared" si="157"/>
        <v>0</v>
      </c>
      <c r="AL110" s="16"/>
      <c r="AM110" s="17">
        <f>VLOOKUP(AL110,'DATABASE F&amp;B'!$C$3:$F$216,2,0)</f>
        <v>0</v>
      </c>
      <c r="AN110" s="18">
        <v>1</v>
      </c>
      <c r="AO110" s="19">
        <f>VLOOKUP(AL110,'DATABASE F&amp;B'!$C$3:$F$216,4,0)</f>
        <v>0</v>
      </c>
      <c r="AP110" s="19">
        <f t="shared" si="158"/>
        <v>0</v>
      </c>
      <c r="AQ110" s="16"/>
      <c r="AR110" s="17">
        <f>VLOOKUP(AQ110,'DATABASE F&amp;B'!$C$3:$F$216,2,0)</f>
        <v>0</v>
      </c>
      <c r="AS110" s="18">
        <v>1</v>
      </c>
      <c r="AT110" s="19">
        <f>VLOOKUP(AQ110,'DATABASE F&amp;B'!$C$3:$F$216,4,0)</f>
        <v>0</v>
      </c>
      <c r="AU110" s="19">
        <f t="shared" si="159"/>
        <v>0</v>
      </c>
      <c r="AV110" s="16"/>
      <c r="AW110" s="17">
        <f>VLOOKUP(AV110,'DATABASE F&amp;B'!$C$3:$F$216,2,0)</f>
        <v>0</v>
      </c>
      <c r="AX110" s="18"/>
      <c r="AY110" s="19">
        <f>VLOOKUP(AV110,'DATABASE F&amp;B'!$C$3:$F$216,4,0)</f>
        <v>0</v>
      </c>
      <c r="AZ110" s="19">
        <f t="shared" si="160"/>
        <v>0</v>
      </c>
      <c r="BA110" s="16"/>
      <c r="BB110" s="17">
        <f>VLOOKUP(BA110,'DATABASE F&amp;B'!$C$3:$F$216,2,0)</f>
        <v>0</v>
      </c>
      <c r="BC110" s="18"/>
      <c r="BD110" s="19">
        <f>VLOOKUP(BA110,'DATABASE F&amp;B'!$C$3:$F$216,4,0)</f>
        <v>0</v>
      </c>
      <c r="BE110" s="19">
        <f t="shared" si="161"/>
        <v>0</v>
      </c>
      <c r="BF110" s="16"/>
      <c r="BG110" s="17">
        <f>VLOOKUP(BF110,'DATABASE F&amp;B'!$C$3:$F$216,2,0)</f>
        <v>0</v>
      </c>
      <c r="BH110" s="18"/>
      <c r="BI110" s="19">
        <f>VLOOKUP(BF110,'DATABASE F&amp;B'!$C$3:$F$216,4,0)</f>
        <v>0</v>
      </c>
      <c r="BJ110" s="19">
        <f t="shared" si="162"/>
        <v>0</v>
      </c>
      <c r="BK110" s="16"/>
      <c r="BL110" s="17">
        <f>VLOOKUP(BK110,'DATABASE F&amp;B'!$C$3:$F$210,2,0)</f>
        <v>0</v>
      </c>
      <c r="BM110" s="18"/>
      <c r="BN110" s="19">
        <f>VLOOKUP(BK110,'DATABASE F&amp;B'!$C$3:$F$210,4,0)</f>
        <v>0</v>
      </c>
      <c r="BO110" s="19">
        <f t="shared" si="163"/>
        <v>0</v>
      </c>
      <c r="BP110" s="16"/>
      <c r="BQ110" s="17">
        <f>VLOOKUP(BP110,'DATABASE F&amp;B'!$C$3:$F$210,2,0)</f>
        <v>0</v>
      </c>
      <c r="BR110" s="18"/>
      <c r="BS110" s="19">
        <f>VLOOKUP(BP110,'DATABASE F&amp;B'!$C$3:$F$210,4,0)</f>
        <v>0</v>
      </c>
      <c r="BT110" s="19">
        <f t="shared" si="164"/>
        <v>0</v>
      </c>
      <c r="BU110" s="16"/>
      <c r="BV110" s="17">
        <f>VLOOKUP(BU110,'DATABASE F&amp;B'!$C$3:$F$210,2,0)</f>
        <v>0</v>
      </c>
      <c r="BW110" s="18"/>
      <c r="BX110" s="19">
        <f>VLOOKUP(BU110,'DATABASE F&amp;B'!$C$3:$F$210,4,0)</f>
        <v>0</v>
      </c>
      <c r="BY110" s="19">
        <f t="shared" si="165"/>
        <v>0</v>
      </c>
      <c r="BZ110" s="16"/>
      <c r="CA110" s="17">
        <f>VLOOKUP(BZ110,'DATABASE F&amp;B'!$C$3:$F$210,2,0)</f>
        <v>0</v>
      </c>
      <c r="CB110" s="18"/>
      <c r="CC110" s="19">
        <f>VLOOKUP(BZ110,'DATABASE F&amp;B'!$C$3:$F$210,4,0)</f>
        <v>0</v>
      </c>
      <c r="CD110" s="19">
        <f t="shared" si="166"/>
        <v>0</v>
      </c>
    </row>
    <row r="111" spans="1:82" ht="13.5" x14ac:dyDescent="0.25">
      <c r="A111" s="32" t="str">
        <f t="shared" si="147"/>
        <v>05-'20-2026</v>
      </c>
      <c r="B111" s="22">
        <f t="shared" si="168"/>
        <v>107</v>
      </c>
      <c r="C111" s="22">
        <f t="shared" si="168"/>
        <v>107</v>
      </c>
      <c r="D111" s="34">
        <v>46162</v>
      </c>
      <c r="E111" s="35" t="s">
        <v>72</v>
      </c>
      <c r="F111" s="35" t="s">
        <v>202</v>
      </c>
      <c r="G111" s="52" t="s">
        <v>81</v>
      </c>
      <c r="H111" s="36" t="str">
        <f t="shared" si="145"/>
        <v>RJ-'200526-107</v>
      </c>
      <c r="I111" s="36" t="str">
        <f t="shared" si="148"/>
        <v>'20-05-2026</v>
      </c>
      <c r="J111" s="37" t="str">
        <f>VLOOKUP(D111,Laporan!$C$4:$D$34,2,0)</f>
        <v>Rabu</v>
      </c>
      <c r="K111" s="48"/>
      <c r="L111" s="13" t="s">
        <v>33</v>
      </c>
      <c r="M111" s="19">
        <f>SUMIF('DATABASE Room'!$B$3:$B$7,L111,'DATABASE Room'!$D$3:$D$7)</f>
        <v>0</v>
      </c>
      <c r="N111" s="13">
        <v>1</v>
      </c>
      <c r="O111" s="21">
        <f t="shared" si="149"/>
        <v>0</v>
      </c>
      <c r="P111" s="38"/>
      <c r="Q111" s="19">
        <f t="shared" si="150"/>
        <v>0</v>
      </c>
      <c r="R111" s="21">
        <f t="shared" si="151"/>
        <v>0</v>
      </c>
      <c r="S111" s="19">
        <f t="shared" si="152"/>
        <v>5</v>
      </c>
      <c r="T111" s="19">
        <f t="shared" si="153"/>
        <v>183000</v>
      </c>
      <c r="U111" s="21">
        <f t="shared" si="154"/>
        <v>183000</v>
      </c>
      <c r="V111" s="39"/>
      <c r="W111" s="16">
        <v>30</v>
      </c>
      <c r="X111" s="17" t="str">
        <f>VLOOKUP(W111,'DATABASE F&amp;B'!$C$3:$F$216,2,0)</f>
        <v>MENDOAN</v>
      </c>
      <c r="Y111" s="18">
        <v>1</v>
      </c>
      <c r="Z111" s="19">
        <f>VLOOKUP(W111,'DATABASE F&amp;B'!$C$3:$F$216,4,0)</f>
        <v>23000</v>
      </c>
      <c r="AA111" s="19">
        <f t="shared" si="155"/>
        <v>23000</v>
      </c>
      <c r="AB111" s="16">
        <v>81</v>
      </c>
      <c r="AC111" s="17" t="str">
        <f>VLOOKUP(AB111,'DATABASE F&amp;B'!$C$3:$F$216,2,0)</f>
        <v>CONG YANG 620ML</v>
      </c>
      <c r="AD111" s="18">
        <v>1</v>
      </c>
      <c r="AE111" s="19">
        <f>VLOOKUP(AB111,'DATABASE F&amp;B'!$C$3:$F$216,4,0)</f>
        <v>160000</v>
      </c>
      <c r="AF111" s="19">
        <f t="shared" si="156"/>
        <v>160000</v>
      </c>
      <c r="AG111" s="16"/>
      <c r="AH111" s="17">
        <f>VLOOKUP(AG111,'DATABASE F&amp;B'!$C$3:$F$216,2,0)</f>
        <v>0</v>
      </c>
      <c r="AI111" s="18">
        <v>1</v>
      </c>
      <c r="AJ111" s="19">
        <f>VLOOKUP(AG111,'DATABASE F&amp;B'!$C$3:$F$216,4,0)</f>
        <v>0</v>
      </c>
      <c r="AK111" s="19">
        <f t="shared" si="157"/>
        <v>0</v>
      </c>
      <c r="AL111" s="16"/>
      <c r="AM111" s="17">
        <f>VLOOKUP(AL111,'DATABASE F&amp;B'!$C$3:$F$216,2,0)</f>
        <v>0</v>
      </c>
      <c r="AN111" s="18">
        <v>1</v>
      </c>
      <c r="AO111" s="19">
        <f>VLOOKUP(AL111,'DATABASE F&amp;B'!$C$3:$F$216,4,0)</f>
        <v>0</v>
      </c>
      <c r="AP111" s="19">
        <f t="shared" si="158"/>
        <v>0</v>
      </c>
      <c r="AQ111" s="16"/>
      <c r="AR111" s="17">
        <f>VLOOKUP(AQ111,'DATABASE F&amp;B'!$C$3:$F$216,2,0)</f>
        <v>0</v>
      </c>
      <c r="AS111" s="18">
        <v>1</v>
      </c>
      <c r="AT111" s="19">
        <f>VLOOKUP(AQ111,'DATABASE F&amp;B'!$C$3:$F$216,4,0)</f>
        <v>0</v>
      </c>
      <c r="AU111" s="19">
        <f t="shared" si="159"/>
        <v>0</v>
      </c>
      <c r="AV111" s="16"/>
      <c r="AW111" s="17">
        <f>VLOOKUP(AV111,'DATABASE F&amp;B'!$C$3:$F$216,2,0)</f>
        <v>0</v>
      </c>
      <c r="AX111" s="18"/>
      <c r="AY111" s="19">
        <f>VLOOKUP(AV111,'DATABASE F&amp;B'!$C$3:$F$216,4,0)</f>
        <v>0</v>
      </c>
      <c r="AZ111" s="19">
        <f t="shared" si="160"/>
        <v>0</v>
      </c>
      <c r="BA111" s="16"/>
      <c r="BB111" s="17">
        <f>VLOOKUP(BA111,'DATABASE F&amp;B'!$C$3:$F$216,2,0)</f>
        <v>0</v>
      </c>
      <c r="BC111" s="18"/>
      <c r="BD111" s="19">
        <f>VLOOKUP(BA111,'DATABASE F&amp;B'!$C$3:$F$216,4,0)</f>
        <v>0</v>
      </c>
      <c r="BE111" s="19">
        <f t="shared" si="161"/>
        <v>0</v>
      </c>
      <c r="BF111" s="16"/>
      <c r="BG111" s="17">
        <f>VLOOKUP(BF111,'DATABASE F&amp;B'!$C$3:$F$216,2,0)</f>
        <v>0</v>
      </c>
      <c r="BH111" s="18"/>
      <c r="BI111" s="19">
        <f>VLOOKUP(BF111,'DATABASE F&amp;B'!$C$3:$F$216,4,0)</f>
        <v>0</v>
      </c>
      <c r="BJ111" s="19">
        <f t="shared" si="162"/>
        <v>0</v>
      </c>
      <c r="BK111" s="16"/>
      <c r="BL111" s="17">
        <f>VLOOKUP(BK111,'DATABASE F&amp;B'!$C$3:$F$210,2,0)</f>
        <v>0</v>
      </c>
      <c r="BM111" s="18"/>
      <c r="BN111" s="19">
        <f>VLOOKUP(BK111,'DATABASE F&amp;B'!$C$3:$F$210,4,0)</f>
        <v>0</v>
      </c>
      <c r="BO111" s="19">
        <f t="shared" si="163"/>
        <v>0</v>
      </c>
      <c r="BP111" s="16"/>
      <c r="BQ111" s="17">
        <f>VLOOKUP(BP111,'DATABASE F&amp;B'!$C$3:$F$210,2,0)</f>
        <v>0</v>
      </c>
      <c r="BR111" s="18"/>
      <c r="BS111" s="19">
        <f>VLOOKUP(BP111,'DATABASE F&amp;B'!$C$3:$F$210,4,0)</f>
        <v>0</v>
      </c>
      <c r="BT111" s="19">
        <f t="shared" si="164"/>
        <v>0</v>
      </c>
      <c r="BU111" s="16"/>
      <c r="BV111" s="17">
        <f>VLOOKUP(BU111,'DATABASE F&amp;B'!$C$3:$F$210,2,0)</f>
        <v>0</v>
      </c>
      <c r="BW111" s="18"/>
      <c r="BX111" s="19">
        <f>VLOOKUP(BU111,'DATABASE F&amp;B'!$C$3:$F$210,4,0)</f>
        <v>0</v>
      </c>
      <c r="BY111" s="19">
        <f t="shared" si="165"/>
        <v>0</v>
      </c>
      <c r="BZ111" s="16"/>
      <c r="CA111" s="17">
        <f>VLOOKUP(BZ111,'DATABASE F&amp;B'!$C$3:$F$210,2,0)</f>
        <v>0</v>
      </c>
      <c r="CB111" s="18"/>
      <c r="CC111" s="19">
        <f>VLOOKUP(BZ111,'DATABASE F&amp;B'!$C$3:$F$210,4,0)</f>
        <v>0</v>
      </c>
      <c r="CD111" s="19">
        <f t="shared" si="166"/>
        <v>0</v>
      </c>
    </row>
    <row r="112" spans="1:82" ht="13.5" x14ac:dyDescent="0.25">
      <c r="A112" s="32" t="str">
        <f t="shared" si="147"/>
        <v>05-'20-2026</v>
      </c>
      <c r="B112" s="22">
        <f t="shared" si="168"/>
        <v>108</v>
      </c>
      <c r="C112" s="22">
        <f t="shared" si="168"/>
        <v>108</v>
      </c>
      <c r="D112" s="34">
        <v>46162</v>
      </c>
      <c r="E112" s="35" t="s">
        <v>72</v>
      </c>
      <c r="F112" s="35" t="s">
        <v>202</v>
      </c>
      <c r="G112" s="52" t="s">
        <v>81</v>
      </c>
      <c r="H112" s="36" t="str">
        <f t="shared" si="145"/>
        <v>RJ-'200526-108</v>
      </c>
      <c r="I112" s="36" t="str">
        <f t="shared" si="148"/>
        <v>'20-05-2026</v>
      </c>
      <c r="J112" s="37" t="str">
        <f>VLOOKUP(D112,Laporan!$C$4:$D$34,2,0)</f>
        <v>Rabu</v>
      </c>
      <c r="K112" s="48"/>
      <c r="L112" s="13" t="s">
        <v>33</v>
      </c>
      <c r="M112" s="19">
        <f>SUMIF('DATABASE Room'!$B$3:$B$7,L112,'DATABASE Room'!$D$3:$D$7)</f>
        <v>0</v>
      </c>
      <c r="N112" s="13">
        <v>1</v>
      </c>
      <c r="O112" s="21">
        <f t="shared" si="149"/>
        <v>0</v>
      </c>
      <c r="P112" s="38"/>
      <c r="Q112" s="19">
        <f t="shared" si="150"/>
        <v>0</v>
      </c>
      <c r="R112" s="21">
        <f t="shared" si="151"/>
        <v>0</v>
      </c>
      <c r="S112" s="19">
        <f t="shared" si="152"/>
        <v>5</v>
      </c>
      <c r="T112" s="19">
        <f t="shared" si="153"/>
        <v>38000</v>
      </c>
      <c r="U112" s="21">
        <f t="shared" si="154"/>
        <v>38000</v>
      </c>
      <c r="V112" s="39"/>
      <c r="W112" s="16">
        <v>31</v>
      </c>
      <c r="X112" s="17" t="str">
        <f>VLOOKUP(W112,'DATABASE F&amp;B'!$C$3:$F$216,2,0)</f>
        <v>NASI GORENG DAGING ASAP</v>
      </c>
      <c r="Y112" s="18">
        <v>1</v>
      </c>
      <c r="Z112" s="19">
        <f>VLOOKUP(W112,'DATABASE F&amp;B'!$C$3:$F$216,4,0)</f>
        <v>38000</v>
      </c>
      <c r="AA112" s="19">
        <f t="shared" si="155"/>
        <v>38000</v>
      </c>
      <c r="AB112" s="16"/>
      <c r="AC112" s="17">
        <f>VLOOKUP(AB112,'DATABASE F&amp;B'!$C$3:$F$216,2,0)</f>
        <v>0</v>
      </c>
      <c r="AD112" s="18">
        <v>1</v>
      </c>
      <c r="AE112" s="19">
        <f>VLOOKUP(AB112,'DATABASE F&amp;B'!$C$3:$F$216,4,0)</f>
        <v>0</v>
      </c>
      <c r="AF112" s="19">
        <f t="shared" si="156"/>
        <v>0</v>
      </c>
      <c r="AG112" s="16"/>
      <c r="AH112" s="17">
        <f>VLOOKUP(AG112,'DATABASE F&amp;B'!$C$3:$F$216,2,0)</f>
        <v>0</v>
      </c>
      <c r="AI112" s="18">
        <v>1</v>
      </c>
      <c r="AJ112" s="19">
        <f>VLOOKUP(AG112,'DATABASE F&amp;B'!$C$3:$F$216,4,0)</f>
        <v>0</v>
      </c>
      <c r="AK112" s="19">
        <f t="shared" si="157"/>
        <v>0</v>
      </c>
      <c r="AL112" s="16"/>
      <c r="AM112" s="17">
        <f>VLOOKUP(AL112,'DATABASE F&amp;B'!$C$3:$F$216,2,0)</f>
        <v>0</v>
      </c>
      <c r="AN112" s="18">
        <v>1</v>
      </c>
      <c r="AO112" s="19">
        <f>VLOOKUP(AL112,'DATABASE F&amp;B'!$C$3:$F$216,4,0)</f>
        <v>0</v>
      </c>
      <c r="AP112" s="19">
        <f t="shared" si="158"/>
        <v>0</v>
      </c>
      <c r="AQ112" s="16"/>
      <c r="AR112" s="17">
        <f>VLOOKUP(AQ112,'DATABASE F&amp;B'!$C$3:$F$216,2,0)</f>
        <v>0</v>
      </c>
      <c r="AS112" s="18">
        <v>1</v>
      </c>
      <c r="AT112" s="19">
        <f>VLOOKUP(AQ112,'DATABASE F&amp;B'!$C$3:$F$216,4,0)</f>
        <v>0</v>
      </c>
      <c r="AU112" s="19">
        <f t="shared" si="159"/>
        <v>0</v>
      </c>
      <c r="AV112" s="16"/>
      <c r="AW112" s="17">
        <f>VLOOKUP(AV112,'DATABASE F&amp;B'!$C$3:$F$216,2,0)</f>
        <v>0</v>
      </c>
      <c r="AX112" s="18"/>
      <c r="AY112" s="19">
        <f>VLOOKUP(AV112,'DATABASE F&amp;B'!$C$3:$F$216,4,0)</f>
        <v>0</v>
      </c>
      <c r="AZ112" s="19">
        <f t="shared" si="160"/>
        <v>0</v>
      </c>
      <c r="BA112" s="16"/>
      <c r="BB112" s="17">
        <f>VLOOKUP(BA112,'DATABASE F&amp;B'!$C$3:$F$216,2,0)</f>
        <v>0</v>
      </c>
      <c r="BC112" s="18"/>
      <c r="BD112" s="19">
        <f>VLOOKUP(BA112,'DATABASE F&amp;B'!$C$3:$F$216,4,0)</f>
        <v>0</v>
      </c>
      <c r="BE112" s="19">
        <f t="shared" si="161"/>
        <v>0</v>
      </c>
      <c r="BF112" s="16"/>
      <c r="BG112" s="17">
        <f>VLOOKUP(BF112,'DATABASE F&amp;B'!$C$3:$F$216,2,0)</f>
        <v>0</v>
      </c>
      <c r="BH112" s="18"/>
      <c r="BI112" s="19">
        <f>VLOOKUP(BF112,'DATABASE F&amp;B'!$C$3:$F$216,4,0)</f>
        <v>0</v>
      </c>
      <c r="BJ112" s="19">
        <f t="shared" si="162"/>
        <v>0</v>
      </c>
      <c r="BK112" s="16"/>
      <c r="BL112" s="17">
        <f>VLOOKUP(BK112,'DATABASE F&amp;B'!$C$3:$F$210,2,0)</f>
        <v>0</v>
      </c>
      <c r="BM112" s="18"/>
      <c r="BN112" s="19">
        <f>VLOOKUP(BK112,'DATABASE F&amp;B'!$C$3:$F$210,4,0)</f>
        <v>0</v>
      </c>
      <c r="BO112" s="19">
        <f t="shared" si="163"/>
        <v>0</v>
      </c>
      <c r="BP112" s="16"/>
      <c r="BQ112" s="17">
        <f>VLOOKUP(BP112,'DATABASE F&amp;B'!$C$3:$F$210,2,0)</f>
        <v>0</v>
      </c>
      <c r="BR112" s="18"/>
      <c r="BS112" s="19">
        <f>VLOOKUP(BP112,'DATABASE F&amp;B'!$C$3:$F$210,4,0)</f>
        <v>0</v>
      </c>
      <c r="BT112" s="19">
        <f t="shared" si="164"/>
        <v>0</v>
      </c>
      <c r="BU112" s="16"/>
      <c r="BV112" s="17">
        <f>VLOOKUP(BU112,'DATABASE F&amp;B'!$C$3:$F$210,2,0)</f>
        <v>0</v>
      </c>
      <c r="BW112" s="18"/>
      <c r="BX112" s="19">
        <f>VLOOKUP(BU112,'DATABASE F&amp;B'!$C$3:$F$210,4,0)</f>
        <v>0</v>
      </c>
      <c r="BY112" s="19">
        <f t="shared" si="165"/>
        <v>0</v>
      </c>
      <c r="BZ112" s="16"/>
      <c r="CA112" s="17">
        <f>VLOOKUP(BZ112,'DATABASE F&amp;B'!$C$3:$F$210,2,0)</f>
        <v>0</v>
      </c>
      <c r="CB112" s="18"/>
      <c r="CC112" s="19">
        <f>VLOOKUP(BZ112,'DATABASE F&amp;B'!$C$3:$F$210,4,0)</f>
        <v>0</v>
      </c>
      <c r="CD112" s="19">
        <f t="shared" si="166"/>
        <v>0</v>
      </c>
    </row>
    <row r="113" spans="1:82" ht="13.5" x14ac:dyDescent="0.25">
      <c r="A113" s="32" t="str">
        <f t="shared" si="147"/>
        <v>05-'20-2026</v>
      </c>
      <c r="B113" s="22">
        <f t="shared" si="168"/>
        <v>109</v>
      </c>
      <c r="C113" s="22">
        <f t="shared" si="168"/>
        <v>109</v>
      </c>
      <c r="D113" s="34">
        <v>46162</v>
      </c>
      <c r="E113" s="35" t="s">
        <v>72</v>
      </c>
      <c r="F113" s="35" t="s">
        <v>202</v>
      </c>
      <c r="G113" s="52" t="s">
        <v>81</v>
      </c>
      <c r="H113" s="36" t="str">
        <f t="shared" si="145"/>
        <v>RJ-'200526-109</v>
      </c>
      <c r="I113" s="36" t="str">
        <f t="shared" si="148"/>
        <v>'20-05-2026</v>
      </c>
      <c r="J113" s="37" t="str">
        <f>VLOOKUP(D113,Laporan!$C$4:$D$34,2,0)</f>
        <v>Rabu</v>
      </c>
      <c r="K113" s="48"/>
      <c r="L113" s="13" t="s">
        <v>33</v>
      </c>
      <c r="M113" s="19">
        <f>SUMIF('DATABASE Room'!$B$3:$B$7,L113,'DATABASE Room'!$D$3:$D$7)</f>
        <v>0</v>
      </c>
      <c r="N113" s="13">
        <v>1</v>
      </c>
      <c r="O113" s="21">
        <f t="shared" si="149"/>
        <v>0</v>
      </c>
      <c r="P113" s="38"/>
      <c r="Q113" s="19">
        <f t="shared" si="150"/>
        <v>0</v>
      </c>
      <c r="R113" s="21">
        <f t="shared" si="151"/>
        <v>0</v>
      </c>
      <c r="S113" s="19">
        <f t="shared" si="152"/>
        <v>5</v>
      </c>
      <c r="T113" s="19">
        <f t="shared" si="153"/>
        <v>15000</v>
      </c>
      <c r="U113" s="21">
        <f t="shared" si="154"/>
        <v>15000</v>
      </c>
      <c r="V113" s="39"/>
      <c r="W113" s="16">
        <v>47</v>
      </c>
      <c r="X113" s="17" t="str">
        <f>VLOOKUP(W113,'DATABASE F&amp;B'!$C$3:$F$216,2,0)</f>
        <v>PULPY ORANGE 300ML</v>
      </c>
      <c r="Y113" s="18">
        <v>1</v>
      </c>
      <c r="Z113" s="19">
        <f>VLOOKUP(W113,'DATABASE F&amp;B'!$C$3:$F$216,4,0)</f>
        <v>15000</v>
      </c>
      <c r="AA113" s="19">
        <f t="shared" si="155"/>
        <v>15000</v>
      </c>
      <c r="AB113" s="16"/>
      <c r="AC113" s="17">
        <f>VLOOKUP(AB113,'DATABASE F&amp;B'!$C$3:$F$216,2,0)</f>
        <v>0</v>
      </c>
      <c r="AD113" s="18">
        <v>1</v>
      </c>
      <c r="AE113" s="19">
        <f>VLOOKUP(AB113,'DATABASE F&amp;B'!$C$3:$F$216,4,0)</f>
        <v>0</v>
      </c>
      <c r="AF113" s="19">
        <f t="shared" si="156"/>
        <v>0</v>
      </c>
      <c r="AG113" s="16"/>
      <c r="AH113" s="17">
        <f>VLOOKUP(AG113,'DATABASE F&amp;B'!$C$3:$F$216,2,0)</f>
        <v>0</v>
      </c>
      <c r="AI113" s="18">
        <v>1</v>
      </c>
      <c r="AJ113" s="19">
        <f>VLOOKUP(AG113,'DATABASE F&amp;B'!$C$3:$F$216,4,0)</f>
        <v>0</v>
      </c>
      <c r="AK113" s="19">
        <f t="shared" si="157"/>
        <v>0</v>
      </c>
      <c r="AL113" s="16"/>
      <c r="AM113" s="17">
        <f>VLOOKUP(AL113,'DATABASE F&amp;B'!$C$3:$F$216,2,0)</f>
        <v>0</v>
      </c>
      <c r="AN113" s="18">
        <v>1</v>
      </c>
      <c r="AO113" s="19">
        <f>VLOOKUP(AL113,'DATABASE F&amp;B'!$C$3:$F$216,4,0)</f>
        <v>0</v>
      </c>
      <c r="AP113" s="19">
        <f t="shared" si="158"/>
        <v>0</v>
      </c>
      <c r="AQ113" s="16"/>
      <c r="AR113" s="17">
        <f>VLOOKUP(AQ113,'DATABASE F&amp;B'!$C$3:$F$216,2,0)</f>
        <v>0</v>
      </c>
      <c r="AS113" s="18">
        <v>1</v>
      </c>
      <c r="AT113" s="19">
        <f>VLOOKUP(AQ113,'DATABASE F&amp;B'!$C$3:$F$216,4,0)</f>
        <v>0</v>
      </c>
      <c r="AU113" s="19">
        <f t="shared" si="159"/>
        <v>0</v>
      </c>
      <c r="AV113" s="16"/>
      <c r="AW113" s="17">
        <f>VLOOKUP(AV113,'DATABASE F&amp;B'!$C$3:$F$216,2,0)</f>
        <v>0</v>
      </c>
      <c r="AX113" s="18"/>
      <c r="AY113" s="19">
        <f>VLOOKUP(AV113,'DATABASE F&amp;B'!$C$3:$F$216,4,0)</f>
        <v>0</v>
      </c>
      <c r="AZ113" s="19">
        <f t="shared" si="160"/>
        <v>0</v>
      </c>
      <c r="BA113" s="16"/>
      <c r="BB113" s="17">
        <f>VLOOKUP(BA113,'DATABASE F&amp;B'!$C$3:$F$216,2,0)</f>
        <v>0</v>
      </c>
      <c r="BC113" s="18"/>
      <c r="BD113" s="19">
        <f>VLOOKUP(BA113,'DATABASE F&amp;B'!$C$3:$F$216,4,0)</f>
        <v>0</v>
      </c>
      <c r="BE113" s="19">
        <f t="shared" si="161"/>
        <v>0</v>
      </c>
      <c r="BF113" s="16"/>
      <c r="BG113" s="17">
        <f>VLOOKUP(BF113,'DATABASE F&amp;B'!$C$3:$F$216,2,0)</f>
        <v>0</v>
      </c>
      <c r="BH113" s="18"/>
      <c r="BI113" s="19">
        <f>VLOOKUP(BF113,'DATABASE F&amp;B'!$C$3:$F$216,4,0)</f>
        <v>0</v>
      </c>
      <c r="BJ113" s="19">
        <f t="shared" si="162"/>
        <v>0</v>
      </c>
      <c r="BK113" s="16"/>
      <c r="BL113" s="17">
        <f>VLOOKUP(BK113,'DATABASE F&amp;B'!$C$3:$F$210,2,0)</f>
        <v>0</v>
      </c>
      <c r="BM113" s="18"/>
      <c r="BN113" s="19">
        <f>VLOOKUP(BK113,'DATABASE F&amp;B'!$C$3:$F$210,4,0)</f>
        <v>0</v>
      </c>
      <c r="BO113" s="19">
        <f t="shared" si="163"/>
        <v>0</v>
      </c>
      <c r="BP113" s="16"/>
      <c r="BQ113" s="17">
        <f>VLOOKUP(BP113,'DATABASE F&amp;B'!$C$3:$F$210,2,0)</f>
        <v>0</v>
      </c>
      <c r="BR113" s="18"/>
      <c r="BS113" s="19">
        <f>VLOOKUP(BP113,'DATABASE F&amp;B'!$C$3:$F$210,4,0)</f>
        <v>0</v>
      </c>
      <c r="BT113" s="19">
        <f t="shared" si="164"/>
        <v>0</v>
      </c>
      <c r="BU113" s="16"/>
      <c r="BV113" s="17">
        <f>VLOOKUP(BU113,'DATABASE F&amp;B'!$C$3:$F$210,2,0)</f>
        <v>0</v>
      </c>
      <c r="BW113" s="18"/>
      <c r="BX113" s="19">
        <f>VLOOKUP(BU113,'DATABASE F&amp;B'!$C$3:$F$210,4,0)</f>
        <v>0</v>
      </c>
      <c r="BY113" s="19">
        <f t="shared" si="165"/>
        <v>0</v>
      </c>
      <c r="BZ113" s="16"/>
      <c r="CA113" s="17">
        <f>VLOOKUP(BZ113,'DATABASE F&amp;B'!$C$3:$F$210,2,0)</f>
        <v>0</v>
      </c>
      <c r="CB113" s="18"/>
      <c r="CC113" s="19">
        <f>VLOOKUP(BZ113,'DATABASE F&amp;B'!$C$3:$F$210,4,0)</f>
        <v>0</v>
      </c>
      <c r="CD113" s="19">
        <f t="shared" si="166"/>
        <v>0</v>
      </c>
    </row>
    <row r="114" spans="1:82" ht="13.5" x14ac:dyDescent="0.25">
      <c r="A114" s="32" t="str">
        <f t="shared" si="147"/>
        <v>05-'21-2026</v>
      </c>
      <c r="B114" s="22">
        <f t="shared" si="168"/>
        <v>110</v>
      </c>
      <c r="C114" s="22">
        <f t="shared" si="168"/>
        <v>110</v>
      </c>
      <c r="D114" s="34">
        <v>46163</v>
      </c>
      <c r="E114" s="35" t="s">
        <v>73</v>
      </c>
      <c r="F114" s="35" t="s">
        <v>202</v>
      </c>
      <c r="G114" s="52" t="s">
        <v>81</v>
      </c>
      <c r="H114" s="36" t="str">
        <f t="shared" si="145"/>
        <v>RJ-'210526-110</v>
      </c>
      <c r="I114" s="36" t="str">
        <f t="shared" si="148"/>
        <v>'21-05-2026</v>
      </c>
      <c r="J114" s="37" t="str">
        <f>VLOOKUP(D114,Laporan!$C$4:$D$34,2,0)</f>
        <v>Kamis</v>
      </c>
      <c r="K114" s="48"/>
      <c r="L114" s="13" t="s">
        <v>33</v>
      </c>
      <c r="M114" s="19">
        <f>SUMIF('DATABASE Room'!$B$3:$B$7,L114,'DATABASE Room'!$D$3:$D$7)</f>
        <v>0</v>
      </c>
      <c r="N114" s="13">
        <v>1</v>
      </c>
      <c r="O114" s="21">
        <f t="shared" si="149"/>
        <v>0</v>
      </c>
      <c r="P114" s="38"/>
      <c r="Q114" s="19">
        <f t="shared" si="150"/>
        <v>0</v>
      </c>
      <c r="R114" s="21">
        <f t="shared" si="151"/>
        <v>0</v>
      </c>
      <c r="S114" s="19">
        <f t="shared" si="152"/>
        <v>5</v>
      </c>
      <c r="T114" s="19">
        <f t="shared" si="153"/>
        <v>8000</v>
      </c>
      <c r="U114" s="21">
        <f t="shared" si="154"/>
        <v>8000</v>
      </c>
      <c r="V114" s="39"/>
      <c r="W114" s="16">
        <v>45</v>
      </c>
      <c r="X114" s="17" t="str">
        <f>VLOOKUP(W114,'DATABASE F&amp;B'!$C$3:$F$216,2,0)</f>
        <v>LE MINERAL 330ML</v>
      </c>
      <c r="Y114" s="18">
        <v>1</v>
      </c>
      <c r="Z114" s="19">
        <f>VLOOKUP(W114,'DATABASE F&amp;B'!$C$3:$F$216,4,0)</f>
        <v>8000</v>
      </c>
      <c r="AA114" s="19">
        <f t="shared" si="155"/>
        <v>8000</v>
      </c>
      <c r="AB114" s="16"/>
      <c r="AC114" s="17">
        <f>VLOOKUP(AB114,'DATABASE F&amp;B'!$C$3:$F$216,2,0)</f>
        <v>0</v>
      </c>
      <c r="AD114" s="18">
        <v>1</v>
      </c>
      <c r="AE114" s="19">
        <f>VLOOKUP(AB114,'DATABASE F&amp;B'!$C$3:$F$216,4,0)</f>
        <v>0</v>
      </c>
      <c r="AF114" s="19">
        <f t="shared" si="156"/>
        <v>0</v>
      </c>
      <c r="AG114" s="16"/>
      <c r="AH114" s="17">
        <f>VLOOKUP(AG114,'DATABASE F&amp;B'!$C$3:$F$216,2,0)</f>
        <v>0</v>
      </c>
      <c r="AI114" s="18">
        <v>1</v>
      </c>
      <c r="AJ114" s="19">
        <f>VLOOKUP(AG114,'DATABASE F&amp;B'!$C$3:$F$216,4,0)</f>
        <v>0</v>
      </c>
      <c r="AK114" s="19">
        <f t="shared" si="157"/>
        <v>0</v>
      </c>
      <c r="AL114" s="16"/>
      <c r="AM114" s="17">
        <f>VLOOKUP(AL114,'DATABASE F&amp;B'!$C$3:$F$216,2,0)</f>
        <v>0</v>
      </c>
      <c r="AN114" s="18">
        <v>1</v>
      </c>
      <c r="AO114" s="19">
        <f>VLOOKUP(AL114,'DATABASE F&amp;B'!$C$3:$F$216,4,0)</f>
        <v>0</v>
      </c>
      <c r="AP114" s="19">
        <f t="shared" si="158"/>
        <v>0</v>
      </c>
      <c r="AQ114" s="16"/>
      <c r="AR114" s="17">
        <f>VLOOKUP(AQ114,'DATABASE F&amp;B'!$C$3:$F$216,2,0)</f>
        <v>0</v>
      </c>
      <c r="AS114" s="18">
        <v>1</v>
      </c>
      <c r="AT114" s="19">
        <f>VLOOKUP(AQ114,'DATABASE F&amp;B'!$C$3:$F$216,4,0)</f>
        <v>0</v>
      </c>
      <c r="AU114" s="19">
        <f t="shared" si="159"/>
        <v>0</v>
      </c>
      <c r="AV114" s="16"/>
      <c r="AW114" s="17">
        <f>VLOOKUP(AV114,'DATABASE F&amp;B'!$C$3:$F$216,2,0)</f>
        <v>0</v>
      </c>
      <c r="AX114" s="18"/>
      <c r="AY114" s="19">
        <f>VLOOKUP(AV114,'DATABASE F&amp;B'!$C$3:$F$216,4,0)</f>
        <v>0</v>
      </c>
      <c r="AZ114" s="19">
        <f t="shared" si="160"/>
        <v>0</v>
      </c>
      <c r="BA114" s="16"/>
      <c r="BB114" s="17">
        <f>VLOOKUP(BA114,'DATABASE F&amp;B'!$C$3:$F$216,2,0)</f>
        <v>0</v>
      </c>
      <c r="BC114" s="18"/>
      <c r="BD114" s="19">
        <f>VLOOKUP(BA114,'DATABASE F&amp;B'!$C$3:$F$216,4,0)</f>
        <v>0</v>
      </c>
      <c r="BE114" s="19">
        <f t="shared" si="161"/>
        <v>0</v>
      </c>
      <c r="BF114" s="16"/>
      <c r="BG114" s="17">
        <f>VLOOKUP(BF114,'DATABASE F&amp;B'!$C$3:$F$216,2,0)</f>
        <v>0</v>
      </c>
      <c r="BH114" s="18"/>
      <c r="BI114" s="19">
        <f>VLOOKUP(BF114,'DATABASE F&amp;B'!$C$3:$F$216,4,0)</f>
        <v>0</v>
      </c>
      <c r="BJ114" s="19">
        <f t="shared" si="162"/>
        <v>0</v>
      </c>
      <c r="BK114" s="16"/>
      <c r="BL114" s="17">
        <f>VLOOKUP(BK114,'DATABASE F&amp;B'!$C$3:$F$210,2,0)</f>
        <v>0</v>
      </c>
      <c r="BM114" s="18"/>
      <c r="BN114" s="19">
        <f>VLOOKUP(BK114,'DATABASE F&amp;B'!$C$3:$F$210,4,0)</f>
        <v>0</v>
      </c>
      <c r="BO114" s="19">
        <f t="shared" si="163"/>
        <v>0</v>
      </c>
      <c r="BP114" s="16"/>
      <c r="BQ114" s="17">
        <f>VLOOKUP(BP114,'DATABASE F&amp;B'!$C$3:$F$210,2,0)</f>
        <v>0</v>
      </c>
      <c r="BR114" s="18"/>
      <c r="BS114" s="19">
        <f>VLOOKUP(BP114,'DATABASE F&amp;B'!$C$3:$F$210,4,0)</f>
        <v>0</v>
      </c>
      <c r="BT114" s="19">
        <f t="shared" si="164"/>
        <v>0</v>
      </c>
      <c r="BU114" s="16"/>
      <c r="BV114" s="17">
        <f>VLOOKUP(BU114,'DATABASE F&amp;B'!$C$3:$F$210,2,0)</f>
        <v>0</v>
      </c>
      <c r="BW114" s="18"/>
      <c r="BX114" s="19">
        <f>VLOOKUP(BU114,'DATABASE F&amp;B'!$C$3:$F$210,4,0)</f>
        <v>0</v>
      </c>
      <c r="BY114" s="19">
        <f t="shared" si="165"/>
        <v>0</v>
      </c>
      <c r="BZ114" s="16"/>
      <c r="CA114" s="17">
        <f>VLOOKUP(BZ114,'DATABASE F&amp;B'!$C$3:$F$210,2,0)</f>
        <v>0</v>
      </c>
      <c r="CB114" s="18"/>
      <c r="CC114" s="19">
        <f>VLOOKUP(BZ114,'DATABASE F&amp;B'!$C$3:$F$210,4,0)</f>
        <v>0</v>
      </c>
      <c r="CD114" s="19">
        <f t="shared" si="166"/>
        <v>0</v>
      </c>
    </row>
    <row r="115" spans="1:82" ht="13.5" x14ac:dyDescent="0.25">
      <c r="A115" s="32" t="str">
        <f t="shared" si="147"/>
        <v>05-'21-2026</v>
      </c>
      <c r="B115" s="22">
        <f t="shared" si="168"/>
        <v>111</v>
      </c>
      <c r="C115" s="22">
        <f t="shared" si="168"/>
        <v>111</v>
      </c>
      <c r="D115" s="34">
        <v>46163</v>
      </c>
      <c r="E115" s="35" t="s">
        <v>73</v>
      </c>
      <c r="F115" s="35" t="s">
        <v>202</v>
      </c>
      <c r="G115" s="52" t="s">
        <v>81</v>
      </c>
      <c r="H115" s="36" t="str">
        <f t="shared" si="145"/>
        <v>RJ-'210526-111</v>
      </c>
      <c r="I115" s="36" t="str">
        <f t="shared" si="148"/>
        <v>'21-05-2026</v>
      </c>
      <c r="J115" s="37" t="str">
        <f>VLOOKUP(D115,Laporan!$C$4:$D$34,2,0)</f>
        <v>Kamis</v>
      </c>
      <c r="K115" s="48"/>
      <c r="L115" s="13" t="s">
        <v>33</v>
      </c>
      <c r="M115" s="19">
        <f>SUMIF('DATABASE Room'!$B$3:$B$7,L115,'DATABASE Room'!$D$3:$D$7)</f>
        <v>0</v>
      </c>
      <c r="N115" s="13">
        <v>1</v>
      </c>
      <c r="O115" s="21">
        <f t="shared" si="149"/>
        <v>0</v>
      </c>
      <c r="P115" s="38"/>
      <c r="Q115" s="19">
        <f t="shared" si="150"/>
        <v>0</v>
      </c>
      <c r="R115" s="21">
        <f t="shared" si="151"/>
        <v>0</v>
      </c>
      <c r="S115" s="19">
        <f t="shared" si="152"/>
        <v>5</v>
      </c>
      <c r="T115" s="19">
        <f t="shared" si="153"/>
        <v>15000</v>
      </c>
      <c r="U115" s="21">
        <f t="shared" si="154"/>
        <v>15000</v>
      </c>
      <c r="V115" s="39"/>
      <c r="W115" s="16">
        <v>46</v>
      </c>
      <c r="X115" s="17" t="str">
        <f>VLOOKUP(W115,'DATABASE F&amp;B'!$C$3:$F$216,2,0)</f>
        <v>TEH PUCUK HARUM 350ML</v>
      </c>
      <c r="Y115" s="18">
        <v>1</v>
      </c>
      <c r="Z115" s="19">
        <f>VLOOKUP(W115,'DATABASE F&amp;B'!$C$3:$F$216,4,0)</f>
        <v>15000</v>
      </c>
      <c r="AA115" s="19">
        <f t="shared" si="155"/>
        <v>15000</v>
      </c>
      <c r="AB115" s="16"/>
      <c r="AC115" s="17">
        <f>VLOOKUP(AB115,'DATABASE F&amp;B'!$C$3:$F$216,2,0)</f>
        <v>0</v>
      </c>
      <c r="AD115" s="18">
        <v>1</v>
      </c>
      <c r="AE115" s="19">
        <f>VLOOKUP(AB115,'DATABASE F&amp;B'!$C$3:$F$216,4,0)</f>
        <v>0</v>
      </c>
      <c r="AF115" s="19">
        <f t="shared" si="156"/>
        <v>0</v>
      </c>
      <c r="AG115" s="16"/>
      <c r="AH115" s="17">
        <f>VLOOKUP(AG115,'DATABASE F&amp;B'!$C$3:$F$216,2,0)</f>
        <v>0</v>
      </c>
      <c r="AI115" s="18">
        <v>1</v>
      </c>
      <c r="AJ115" s="19">
        <f>VLOOKUP(AG115,'DATABASE F&amp;B'!$C$3:$F$216,4,0)</f>
        <v>0</v>
      </c>
      <c r="AK115" s="19">
        <f t="shared" si="157"/>
        <v>0</v>
      </c>
      <c r="AL115" s="16"/>
      <c r="AM115" s="17">
        <f>VLOOKUP(AL115,'DATABASE F&amp;B'!$C$3:$F$216,2,0)</f>
        <v>0</v>
      </c>
      <c r="AN115" s="18">
        <v>1</v>
      </c>
      <c r="AO115" s="19">
        <f>VLOOKUP(AL115,'DATABASE F&amp;B'!$C$3:$F$216,4,0)</f>
        <v>0</v>
      </c>
      <c r="AP115" s="19">
        <f t="shared" si="158"/>
        <v>0</v>
      </c>
      <c r="AQ115" s="16"/>
      <c r="AR115" s="17">
        <f>VLOOKUP(AQ115,'DATABASE F&amp;B'!$C$3:$F$216,2,0)</f>
        <v>0</v>
      </c>
      <c r="AS115" s="18">
        <v>1</v>
      </c>
      <c r="AT115" s="19">
        <f>VLOOKUP(AQ115,'DATABASE F&amp;B'!$C$3:$F$216,4,0)</f>
        <v>0</v>
      </c>
      <c r="AU115" s="19">
        <f t="shared" si="159"/>
        <v>0</v>
      </c>
      <c r="AV115" s="16"/>
      <c r="AW115" s="17">
        <f>VLOOKUP(AV115,'DATABASE F&amp;B'!$C$3:$F$216,2,0)</f>
        <v>0</v>
      </c>
      <c r="AX115" s="18"/>
      <c r="AY115" s="19">
        <f>VLOOKUP(AV115,'DATABASE F&amp;B'!$C$3:$F$216,4,0)</f>
        <v>0</v>
      </c>
      <c r="AZ115" s="19">
        <f t="shared" si="160"/>
        <v>0</v>
      </c>
      <c r="BA115" s="16"/>
      <c r="BB115" s="17">
        <f>VLOOKUP(BA115,'DATABASE F&amp;B'!$C$3:$F$216,2,0)</f>
        <v>0</v>
      </c>
      <c r="BC115" s="18"/>
      <c r="BD115" s="19">
        <f>VLOOKUP(BA115,'DATABASE F&amp;B'!$C$3:$F$216,4,0)</f>
        <v>0</v>
      </c>
      <c r="BE115" s="19">
        <f t="shared" si="161"/>
        <v>0</v>
      </c>
      <c r="BF115" s="16"/>
      <c r="BG115" s="17">
        <f>VLOOKUP(BF115,'DATABASE F&amp;B'!$C$3:$F$216,2,0)</f>
        <v>0</v>
      </c>
      <c r="BH115" s="18"/>
      <c r="BI115" s="19">
        <f>VLOOKUP(BF115,'DATABASE F&amp;B'!$C$3:$F$216,4,0)</f>
        <v>0</v>
      </c>
      <c r="BJ115" s="19">
        <f t="shared" si="162"/>
        <v>0</v>
      </c>
      <c r="BK115" s="16"/>
      <c r="BL115" s="17">
        <f>VLOOKUP(BK115,'DATABASE F&amp;B'!$C$3:$F$210,2,0)</f>
        <v>0</v>
      </c>
      <c r="BM115" s="18"/>
      <c r="BN115" s="19">
        <f>VLOOKUP(BK115,'DATABASE F&amp;B'!$C$3:$F$210,4,0)</f>
        <v>0</v>
      </c>
      <c r="BO115" s="19">
        <f t="shared" si="163"/>
        <v>0</v>
      </c>
      <c r="BP115" s="16"/>
      <c r="BQ115" s="17">
        <f>VLOOKUP(BP115,'DATABASE F&amp;B'!$C$3:$F$210,2,0)</f>
        <v>0</v>
      </c>
      <c r="BR115" s="18"/>
      <c r="BS115" s="19">
        <f>VLOOKUP(BP115,'DATABASE F&amp;B'!$C$3:$F$210,4,0)</f>
        <v>0</v>
      </c>
      <c r="BT115" s="19">
        <f t="shared" si="164"/>
        <v>0</v>
      </c>
      <c r="BU115" s="16"/>
      <c r="BV115" s="17">
        <f>VLOOKUP(BU115,'DATABASE F&amp;B'!$C$3:$F$210,2,0)</f>
        <v>0</v>
      </c>
      <c r="BW115" s="18"/>
      <c r="BX115" s="19">
        <f>VLOOKUP(BU115,'DATABASE F&amp;B'!$C$3:$F$210,4,0)</f>
        <v>0</v>
      </c>
      <c r="BY115" s="19">
        <f t="shared" si="165"/>
        <v>0</v>
      </c>
      <c r="BZ115" s="16"/>
      <c r="CA115" s="17">
        <f>VLOOKUP(BZ115,'DATABASE F&amp;B'!$C$3:$F$210,2,0)</f>
        <v>0</v>
      </c>
      <c r="CB115" s="18"/>
      <c r="CC115" s="19">
        <f>VLOOKUP(BZ115,'DATABASE F&amp;B'!$C$3:$F$210,4,0)</f>
        <v>0</v>
      </c>
      <c r="CD115" s="19">
        <f t="shared" si="166"/>
        <v>0</v>
      </c>
    </row>
    <row r="116" spans="1:82" ht="13.5" x14ac:dyDescent="0.25">
      <c r="A116" s="32" t="str">
        <f t="shared" si="147"/>
        <v>05-'21-2026</v>
      </c>
      <c r="B116" s="22">
        <f t="shared" si="168"/>
        <v>112</v>
      </c>
      <c r="C116" s="22">
        <f t="shared" si="168"/>
        <v>112</v>
      </c>
      <c r="D116" s="34">
        <v>46163</v>
      </c>
      <c r="E116" s="35" t="s">
        <v>73</v>
      </c>
      <c r="F116" s="35" t="s">
        <v>202</v>
      </c>
      <c r="G116" s="52" t="s">
        <v>81</v>
      </c>
      <c r="H116" s="36" t="str">
        <f t="shared" si="145"/>
        <v>RJ-'210526-112</v>
      </c>
      <c r="I116" s="36" t="str">
        <f t="shared" si="148"/>
        <v>'21-05-2026</v>
      </c>
      <c r="J116" s="37" t="str">
        <f>VLOOKUP(D116,Laporan!$C$4:$D$34,2,0)</f>
        <v>Kamis</v>
      </c>
      <c r="K116" s="48"/>
      <c r="L116" s="13" t="s">
        <v>33</v>
      </c>
      <c r="M116" s="19">
        <f>SUMIF('DATABASE Room'!$B$3:$B$7,L116,'DATABASE Room'!$D$3:$D$7)</f>
        <v>0</v>
      </c>
      <c r="N116" s="13">
        <v>1</v>
      </c>
      <c r="O116" s="21">
        <f t="shared" si="149"/>
        <v>0</v>
      </c>
      <c r="P116" s="38"/>
      <c r="Q116" s="19">
        <f t="shared" si="150"/>
        <v>0</v>
      </c>
      <c r="R116" s="21">
        <f t="shared" si="151"/>
        <v>0</v>
      </c>
      <c r="S116" s="19">
        <f t="shared" si="152"/>
        <v>5</v>
      </c>
      <c r="T116" s="19">
        <f t="shared" si="153"/>
        <v>15000</v>
      </c>
      <c r="U116" s="21">
        <f t="shared" si="154"/>
        <v>15000</v>
      </c>
      <c r="V116" s="39"/>
      <c r="W116" s="16">
        <v>47</v>
      </c>
      <c r="X116" s="17" t="str">
        <f>VLOOKUP(W116,'DATABASE F&amp;B'!$C$3:$F$216,2,0)</f>
        <v>PULPY ORANGE 300ML</v>
      </c>
      <c r="Y116" s="18">
        <v>1</v>
      </c>
      <c r="Z116" s="19">
        <f>VLOOKUP(W116,'DATABASE F&amp;B'!$C$3:$F$216,4,0)</f>
        <v>15000</v>
      </c>
      <c r="AA116" s="19">
        <f t="shared" si="155"/>
        <v>15000</v>
      </c>
      <c r="AB116" s="16"/>
      <c r="AC116" s="17">
        <f>VLOOKUP(AB116,'DATABASE F&amp;B'!$C$3:$F$216,2,0)</f>
        <v>0</v>
      </c>
      <c r="AD116" s="18">
        <v>1</v>
      </c>
      <c r="AE116" s="19">
        <f>VLOOKUP(AB116,'DATABASE F&amp;B'!$C$3:$F$216,4,0)</f>
        <v>0</v>
      </c>
      <c r="AF116" s="19">
        <f t="shared" si="156"/>
        <v>0</v>
      </c>
      <c r="AG116" s="16"/>
      <c r="AH116" s="17">
        <f>VLOOKUP(AG116,'DATABASE F&amp;B'!$C$3:$F$216,2,0)</f>
        <v>0</v>
      </c>
      <c r="AI116" s="18">
        <v>1</v>
      </c>
      <c r="AJ116" s="19">
        <f>VLOOKUP(AG116,'DATABASE F&amp;B'!$C$3:$F$216,4,0)</f>
        <v>0</v>
      </c>
      <c r="AK116" s="19">
        <f t="shared" si="157"/>
        <v>0</v>
      </c>
      <c r="AL116" s="16"/>
      <c r="AM116" s="17">
        <f>VLOOKUP(AL116,'DATABASE F&amp;B'!$C$3:$F$216,2,0)</f>
        <v>0</v>
      </c>
      <c r="AN116" s="18">
        <v>1</v>
      </c>
      <c r="AO116" s="19">
        <f>VLOOKUP(AL116,'DATABASE F&amp;B'!$C$3:$F$216,4,0)</f>
        <v>0</v>
      </c>
      <c r="AP116" s="19">
        <f t="shared" si="158"/>
        <v>0</v>
      </c>
      <c r="AQ116" s="16"/>
      <c r="AR116" s="17">
        <f>VLOOKUP(AQ116,'DATABASE F&amp;B'!$C$3:$F$216,2,0)</f>
        <v>0</v>
      </c>
      <c r="AS116" s="18">
        <v>1</v>
      </c>
      <c r="AT116" s="19">
        <f>VLOOKUP(AQ116,'DATABASE F&amp;B'!$C$3:$F$216,4,0)</f>
        <v>0</v>
      </c>
      <c r="AU116" s="19">
        <f t="shared" si="159"/>
        <v>0</v>
      </c>
      <c r="AV116" s="16"/>
      <c r="AW116" s="17">
        <f>VLOOKUP(AV116,'DATABASE F&amp;B'!$C$3:$F$216,2,0)</f>
        <v>0</v>
      </c>
      <c r="AX116" s="18"/>
      <c r="AY116" s="19">
        <f>VLOOKUP(AV116,'DATABASE F&amp;B'!$C$3:$F$216,4,0)</f>
        <v>0</v>
      </c>
      <c r="AZ116" s="19">
        <f t="shared" si="160"/>
        <v>0</v>
      </c>
      <c r="BA116" s="16"/>
      <c r="BB116" s="17">
        <f>VLOOKUP(BA116,'DATABASE F&amp;B'!$C$3:$F$216,2,0)</f>
        <v>0</v>
      </c>
      <c r="BC116" s="18"/>
      <c r="BD116" s="19">
        <f>VLOOKUP(BA116,'DATABASE F&amp;B'!$C$3:$F$216,4,0)</f>
        <v>0</v>
      </c>
      <c r="BE116" s="19">
        <f t="shared" si="161"/>
        <v>0</v>
      </c>
      <c r="BF116" s="16"/>
      <c r="BG116" s="17">
        <f>VLOOKUP(BF116,'DATABASE F&amp;B'!$C$3:$F$216,2,0)</f>
        <v>0</v>
      </c>
      <c r="BH116" s="18"/>
      <c r="BI116" s="19">
        <f>VLOOKUP(BF116,'DATABASE F&amp;B'!$C$3:$F$216,4,0)</f>
        <v>0</v>
      </c>
      <c r="BJ116" s="19">
        <f t="shared" si="162"/>
        <v>0</v>
      </c>
      <c r="BK116" s="16"/>
      <c r="BL116" s="17">
        <f>VLOOKUP(BK116,'DATABASE F&amp;B'!$C$3:$F$210,2,0)</f>
        <v>0</v>
      </c>
      <c r="BM116" s="18"/>
      <c r="BN116" s="19">
        <f>VLOOKUP(BK116,'DATABASE F&amp;B'!$C$3:$F$210,4,0)</f>
        <v>0</v>
      </c>
      <c r="BO116" s="19">
        <f t="shared" si="163"/>
        <v>0</v>
      </c>
      <c r="BP116" s="16"/>
      <c r="BQ116" s="17">
        <f>VLOOKUP(BP116,'DATABASE F&amp;B'!$C$3:$F$210,2,0)</f>
        <v>0</v>
      </c>
      <c r="BR116" s="18"/>
      <c r="BS116" s="19">
        <f>VLOOKUP(BP116,'DATABASE F&amp;B'!$C$3:$F$210,4,0)</f>
        <v>0</v>
      </c>
      <c r="BT116" s="19">
        <f t="shared" si="164"/>
        <v>0</v>
      </c>
      <c r="BU116" s="16"/>
      <c r="BV116" s="17">
        <f>VLOOKUP(BU116,'DATABASE F&amp;B'!$C$3:$F$210,2,0)</f>
        <v>0</v>
      </c>
      <c r="BW116" s="18"/>
      <c r="BX116" s="19">
        <f>VLOOKUP(BU116,'DATABASE F&amp;B'!$C$3:$F$210,4,0)</f>
        <v>0</v>
      </c>
      <c r="BY116" s="19">
        <f t="shared" si="165"/>
        <v>0</v>
      </c>
      <c r="BZ116" s="16"/>
      <c r="CA116" s="17">
        <f>VLOOKUP(BZ116,'DATABASE F&amp;B'!$C$3:$F$210,2,0)</f>
        <v>0</v>
      </c>
      <c r="CB116" s="18"/>
      <c r="CC116" s="19">
        <f>VLOOKUP(BZ116,'DATABASE F&amp;B'!$C$3:$F$210,4,0)</f>
        <v>0</v>
      </c>
      <c r="CD116" s="19">
        <f t="shared" si="166"/>
        <v>0</v>
      </c>
    </row>
    <row r="117" spans="1:82" ht="13.5" x14ac:dyDescent="0.25">
      <c r="A117" s="32" t="str">
        <f t="shared" si="147"/>
        <v>05-'21-2026</v>
      </c>
      <c r="B117" s="22">
        <f t="shared" si="168"/>
        <v>113</v>
      </c>
      <c r="C117" s="22">
        <f t="shared" si="168"/>
        <v>113</v>
      </c>
      <c r="D117" s="34">
        <v>46163</v>
      </c>
      <c r="E117" s="35" t="s">
        <v>73</v>
      </c>
      <c r="F117" s="35" t="s">
        <v>202</v>
      </c>
      <c r="G117" s="52" t="s">
        <v>81</v>
      </c>
      <c r="H117" s="36" t="str">
        <f t="shared" si="145"/>
        <v>RJ-'210526-113</v>
      </c>
      <c r="I117" s="36" t="str">
        <f t="shared" si="148"/>
        <v>'21-05-2026</v>
      </c>
      <c r="J117" s="37" t="str">
        <f>VLOOKUP(D117,Laporan!$C$4:$D$34,2,0)</f>
        <v>Kamis</v>
      </c>
      <c r="K117" s="48"/>
      <c r="L117" s="13" t="s">
        <v>33</v>
      </c>
      <c r="M117" s="19">
        <f>SUMIF('DATABASE Room'!$B$3:$B$7,L117,'DATABASE Room'!$D$3:$D$7)</f>
        <v>0</v>
      </c>
      <c r="N117" s="13">
        <v>1</v>
      </c>
      <c r="O117" s="21">
        <f t="shared" si="149"/>
        <v>0</v>
      </c>
      <c r="P117" s="38"/>
      <c r="Q117" s="19">
        <f t="shared" si="150"/>
        <v>0</v>
      </c>
      <c r="R117" s="21">
        <f t="shared" si="151"/>
        <v>0</v>
      </c>
      <c r="S117" s="19">
        <f t="shared" si="152"/>
        <v>5</v>
      </c>
      <c r="T117" s="19">
        <f t="shared" si="153"/>
        <v>185000</v>
      </c>
      <c r="U117" s="21">
        <f t="shared" si="154"/>
        <v>185000</v>
      </c>
      <c r="V117" s="39"/>
      <c r="W117" s="16">
        <v>48</v>
      </c>
      <c r="X117" s="17" t="str">
        <f>VLOOKUP(W117,'DATABASE F&amp;B'!$C$3:$F$216,2,0)</f>
        <v>TONIC 250ML</v>
      </c>
      <c r="Y117" s="18">
        <v>1</v>
      </c>
      <c r="Z117" s="19">
        <f>VLOOKUP(W117,'DATABASE F&amp;B'!$C$3:$F$216,4,0)</f>
        <v>15000</v>
      </c>
      <c r="AA117" s="19">
        <f t="shared" si="155"/>
        <v>15000</v>
      </c>
      <c r="AB117" s="16">
        <v>85</v>
      </c>
      <c r="AC117" s="17" t="str">
        <f>VLOOKUP(AB117,'DATABASE F&amp;B'!$C$3:$F$216,2,0)</f>
        <v>KAWA KAWA ANGGUR HIJAU</v>
      </c>
      <c r="AD117" s="18">
        <v>1</v>
      </c>
      <c r="AE117" s="19">
        <f>VLOOKUP(AB117,'DATABASE F&amp;B'!$C$3:$F$216,4,0)</f>
        <v>170000</v>
      </c>
      <c r="AF117" s="19">
        <f t="shared" si="156"/>
        <v>170000</v>
      </c>
      <c r="AG117" s="16"/>
      <c r="AH117" s="17">
        <f>VLOOKUP(AG117,'DATABASE F&amp;B'!$C$3:$F$216,2,0)</f>
        <v>0</v>
      </c>
      <c r="AI117" s="18">
        <v>1</v>
      </c>
      <c r="AJ117" s="19">
        <f>VLOOKUP(AG117,'DATABASE F&amp;B'!$C$3:$F$216,4,0)</f>
        <v>0</v>
      </c>
      <c r="AK117" s="19">
        <f t="shared" si="157"/>
        <v>0</v>
      </c>
      <c r="AL117" s="16"/>
      <c r="AM117" s="17">
        <f>VLOOKUP(AL117,'DATABASE F&amp;B'!$C$3:$F$216,2,0)</f>
        <v>0</v>
      </c>
      <c r="AN117" s="18">
        <v>1</v>
      </c>
      <c r="AO117" s="19">
        <f>VLOOKUP(AL117,'DATABASE F&amp;B'!$C$3:$F$216,4,0)</f>
        <v>0</v>
      </c>
      <c r="AP117" s="19">
        <f t="shared" si="158"/>
        <v>0</v>
      </c>
      <c r="AQ117" s="16"/>
      <c r="AR117" s="17">
        <f>VLOOKUP(AQ117,'DATABASE F&amp;B'!$C$3:$F$216,2,0)</f>
        <v>0</v>
      </c>
      <c r="AS117" s="18">
        <v>1</v>
      </c>
      <c r="AT117" s="19">
        <f>VLOOKUP(AQ117,'DATABASE F&amp;B'!$C$3:$F$216,4,0)</f>
        <v>0</v>
      </c>
      <c r="AU117" s="19">
        <f t="shared" si="159"/>
        <v>0</v>
      </c>
      <c r="AV117" s="16"/>
      <c r="AW117" s="17">
        <f>VLOOKUP(AV117,'DATABASE F&amp;B'!$C$3:$F$216,2,0)</f>
        <v>0</v>
      </c>
      <c r="AX117" s="18"/>
      <c r="AY117" s="19">
        <f>VLOOKUP(AV117,'DATABASE F&amp;B'!$C$3:$F$216,4,0)</f>
        <v>0</v>
      </c>
      <c r="AZ117" s="19">
        <f t="shared" si="160"/>
        <v>0</v>
      </c>
      <c r="BA117" s="16"/>
      <c r="BB117" s="17">
        <f>VLOOKUP(BA117,'DATABASE F&amp;B'!$C$3:$F$216,2,0)</f>
        <v>0</v>
      </c>
      <c r="BC117" s="18"/>
      <c r="BD117" s="19">
        <f>VLOOKUP(BA117,'DATABASE F&amp;B'!$C$3:$F$216,4,0)</f>
        <v>0</v>
      </c>
      <c r="BE117" s="19">
        <f t="shared" si="161"/>
        <v>0</v>
      </c>
      <c r="BF117" s="16"/>
      <c r="BG117" s="17">
        <f>VLOOKUP(BF117,'DATABASE F&amp;B'!$C$3:$F$216,2,0)</f>
        <v>0</v>
      </c>
      <c r="BH117" s="18"/>
      <c r="BI117" s="19">
        <f>VLOOKUP(BF117,'DATABASE F&amp;B'!$C$3:$F$216,4,0)</f>
        <v>0</v>
      </c>
      <c r="BJ117" s="19">
        <f t="shared" si="162"/>
        <v>0</v>
      </c>
      <c r="BK117" s="16"/>
      <c r="BL117" s="17">
        <f>VLOOKUP(BK117,'DATABASE F&amp;B'!$C$3:$F$210,2,0)</f>
        <v>0</v>
      </c>
      <c r="BM117" s="18"/>
      <c r="BN117" s="19">
        <f>VLOOKUP(BK117,'DATABASE F&amp;B'!$C$3:$F$210,4,0)</f>
        <v>0</v>
      </c>
      <c r="BO117" s="19">
        <f t="shared" si="163"/>
        <v>0</v>
      </c>
      <c r="BP117" s="16"/>
      <c r="BQ117" s="17">
        <f>VLOOKUP(BP117,'DATABASE F&amp;B'!$C$3:$F$210,2,0)</f>
        <v>0</v>
      </c>
      <c r="BR117" s="18"/>
      <c r="BS117" s="19">
        <f>VLOOKUP(BP117,'DATABASE F&amp;B'!$C$3:$F$210,4,0)</f>
        <v>0</v>
      </c>
      <c r="BT117" s="19">
        <f t="shared" si="164"/>
        <v>0</v>
      </c>
      <c r="BU117" s="16"/>
      <c r="BV117" s="17">
        <f>VLOOKUP(BU117,'DATABASE F&amp;B'!$C$3:$F$210,2,0)</f>
        <v>0</v>
      </c>
      <c r="BW117" s="18"/>
      <c r="BX117" s="19">
        <f>VLOOKUP(BU117,'DATABASE F&amp;B'!$C$3:$F$210,4,0)</f>
        <v>0</v>
      </c>
      <c r="BY117" s="19">
        <f t="shared" si="165"/>
        <v>0</v>
      </c>
      <c r="BZ117" s="16"/>
      <c r="CA117" s="17">
        <f>VLOOKUP(BZ117,'DATABASE F&amp;B'!$C$3:$F$210,2,0)</f>
        <v>0</v>
      </c>
      <c r="CB117" s="18"/>
      <c r="CC117" s="19">
        <f>VLOOKUP(BZ117,'DATABASE F&amp;B'!$C$3:$F$210,4,0)</f>
        <v>0</v>
      </c>
      <c r="CD117" s="19">
        <f t="shared" si="166"/>
        <v>0</v>
      </c>
    </row>
    <row r="118" spans="1:82" ht="13.5" x14ac:dyDescent="0.25">
      <c r="A118" s="32" t="str">
        <f t="shared" si="147"/>
        <v>05-'21-2026</v>
      </c>
      <c r="B118" s="22">
        <f t="shared" si="168"/>
        <v>114</v>
      </c>
      <c r="C118" s="22">
        <f t="shared" si="168"/>
        <v>114</v>
      </c>
      <c r="D118" s="34">
        <v>46163</v>
      </c>
      <c r="E118" s="35" t="s">
        <v>73</v>
      </c>
      <c r="F118" s="35" t="s">
        <v>202</v>
      </c>
      <c r="G118" s="52" t="s">
        <v>81</v>
      </c>
      <c r="H118" s="36" t="str">
        <f t="shared" si="145"/>
        <v>RJ-'210526-114</v>
      </c>
      <c r="I118" s="36" t="str">
        <f t="shared" si="148"/>
        <v>'21-05-2026</v>
      </c>
      <c r="J118" s="37" t="str">
        <f>VLOOKUP(D118,Laporan!$C$4:$D$34,2,0)</f>
        <v>Kamis</v>
      </c>
      <c r="K118" s="48"/>
      <c r="L118" s="13" t="s">
        <v>33</v>
      </c>
      <c r="M118" s="19">
        <f>SUMIF('DATABASE Room'!$B$3:$B$7,L118,'DATABASE Room'!$D$3:$D$7)</f>
        <v>0</v>
      </c>
      <c r="N118" s="13">
        <v>1</v>
      </c>
      <c r="O118" s="21">
        <f t="shared" si="149"/>
        <v>0</v>
      </c>
      <c r="P118" s="38"/>
      <c r="Q118" s="19">
        <f t="shared" si="150"/>
        <v>0</v>
      </c>
      <c r="R118" s="21">
        <f t="shared" si="151"/>
        <v>0</v>
      </c>
      <c r="S118" s="19">
        <f t="shared" si="152"/>
        <v>5</v>
      </c>
      <c r="T118" s="19">
        <f t="shared" si="153"/>
        <v>15000</v>
      </c>
      <c r="U118" s="21">
        <f t="shared" si="154"/>
        <v>15000</v>
      </c>
      <c r="V118" s="39"/>
      <c r="W118" s="16">
        <v>49</v>
      </c>
      <c r="X118" s="17" t="str">
        <f>VLOOKUP(W118,'DATABASE F&amp;B'!$C$3:$F$216,2,0)</f>
        <v>SPRITE 250ML</v>
      </c>
      <c r="Y118" s="18">
        <v>1</v>
      </c>
      <c r="Z118" s="19">
        <f>VLOOKUP(W118,'DATABASE F&amp;B'!$C$3:$F$216,4,0)</f>
        <v>15000</v>
      </c>
      <c r="AA118" s="19">
        <f t="shared" si="155"/>
        <v>15000</v>
      </c>
      <c r="AB118" s="16"/>
      <c r="AC118" s="17">
        <f>VLOOKUP(AB118,'DATABASE F&amp;B'!$C$3:$F$216,2,0)</f>
        <v>0</v>
      </c>
      <c r="AD118" s="18">
        <v>1</v>
      </c>
      <c r="AE118" s="19">
        <f>VLOOKUP(AB118,'DATABASE F&amp;B'!$C$3:$F$216,4,0)</f>
        <v>0</v>
      </c>
      <c r="AF118" s="19">
        <f t="shared" si="156"/>
        <v>0</v>
      </c>
      <c r="AG118" s="16"/>
      <c r="AH118" s="17">
        <f>VLOOKUP(AG118,'DATABASE F&amp;B'!$C$3:$F$216,2,0)</f>
        <v>0</v>
      </c>
      <c r="AI118" s="18">
        <v>1</v>
      </c>
      <c r="AJ118" s="19">
        <f>VLOOKUP(AG118,'DATABASE F&amp;B'!$C$3:$F$216,4,0)</f>
        <v>0</v>
      </c>
      <c r="AK118" s="19">
        <f t="shared" si="157"/>
        <v>0</v>
      </c>
      <c r="AL118" s="16"/>
      <c r="AM118" s="17">
        <f>VLOOKUP(AL118,'DATABASE F&amp;B'!$C$3:$F$216,2,0)</f>
        <v>0</v>
      </c>
      <c r="AN118" s="18">
        <v>1</v>
      </c>
      <c r="AO118" s="19">
        <f>VLOOKUP(AL118,'DATABASE F&amp;B'!$C$3:$F$216,4,0)</f>
        <v>0</v>
      </c>
      <c r="AP118" s="19">
        <f t="shared" si="158"/>
        <v>0</v>
      </c>
      <c r="AQ118" s="16"/>
      <c r="AR118" s="17">
        <f>VLOOKUP(AQ118,'DATABASE F&amp;B'!$C$3:$F$216,2,0)</f>
        <v>0</v>
      </c>
      <c r="AS118" s="18">
        <v>1</v>
      </c>
      <c r="AT118" s="19">
        <f>VLOOKUP(AQ118,'DATABASE F&amp;B'!$C$3:$F$216,4,0)</f>
        <v>0</v>
      </c>
      <c r="AU118" s="19">
        <f t="shared" si="159"/>
        <v>0</v>
      </c>
      <c r="AV118" s="16"/>
      <c r="AW118" s="17">
        <f>VLOOKUP(AV118,'DATABASE F&amp;B'!$C$3:$F$216,2,0)</f>
        <v>0</v>
      </c>
      <c r="AX118" s="18"/>
      <c r="AY118" s="19">
        <f>VLOOKUP(AV118,'DATABASE F&amp;B'!$C$3:$F$216,4,0)</f>
        <v>0</v>
      </c>
      <c r="AZ118" s="19">
        <f t="shared" si="160"/>
        <v>0</v>
      </c>
      <c r="BA118" s="16"/>
      <c r="BB118" s="17">
        <f>VLOOKUP(BA118,'DATABASE F&amp;B'!$C$3:$F$216,2,0)</f>
        <v>0</v>
      </c>
      <c r="BC118" s="18"/>
      <c r="BD118" s="19">
        <f>VLOOKUP(BA118,'DATABASE F&amp;B'!$C$3:$F$216,4,0)</f>
        <v>0</v>
      </c>
      <c r="BE118" s="19">
        <f t="shared" si="161"/>
        <v>0</v>
      </c>
      <c r="BF118" s="16"/>
      <c r="BG118" s="17">
        <f>VLOOKUP(BF118,'DATABASE F&amp;B'!$C$3:$F$216,2,0)</f>
        <v>0</v>
      </c>
      <c r="BH118" s="18"/>
      <c r="BI118" s="19">
        <f>VLOOKUP(BF118,'DATABASE F&amp;B'!$C$3:$F$216,4,0)</f>
        <v>0</v>
      </c>
      <c r="BJ118" s="19">
        <f t="shared" si="162"/>
        <v>0</v>
      </c>
      <c r="BK118" s="16"/>
      <c r="BL118" s="17">
        <f>VLOOKUP(BK118,'DATABASE F&amp;B'!$C$3:$F$210,2,0)</f>
        <v>0</v>
      </c>
      <c r="BM118" s="18"/>
      <c r="BN118" s="19">
        <f>VLOOKUP(BK118,'DATABASE F&amp;B'!$C$3:$F$210,4,0)</f>
        <v>0</v>
      </c>
      <c r="BO118" s="19">
        <f t="shared" si="163"/>
        <v>0</v>
      </c>
      <c r="BP118" s="16"/>
      <c r="BQ118" s="17">
        <f>VLOOKUP(BP118,'DATABASE F&amp;B'!$C$3:$F$210,2,0)</f>
        <v>0</v>
      </c>
      <c r="BR118" s="18"/>
      <c r="BS118" s="19">
        <f>VLOOKUP(BP118,'DATABASE F&amp;B'!$C$3:$F$210,4,0)</f>
        <v>0</v>
      </c>
      <c r="BT118" s="19">
        <f t="shared" si="164"/>
        <v>0</v>
      </c>
      <c r="BU118" s="16"/>
      <c r="BV118" s="17">
        <f>VLOOKUP(BU118,'DATABASE F&amp;B'!$C$3:$F$210,2,0)</f>
        <v>0</v>
      </c>
      <c r="BW118" s="18"/>
      <c r="BX118" s="19">
        <f>VLOOKUP(BU118,'DATABASE F&amp;B'!$C$3:$F$210,4,0)</f>
        <v>0</v>
      </c>
      <c r="BY118" s="19">
        <f t="shared" si="165"/>
        <v>0</v>
      </c>
      <c r="BZ118" s="16"/>
      <c r="CA118" s="17">
        <f>VLOOKUP(BZ118,'DATABASE F&amp;B'!$C$3:$F$210,2,0)</f>
        <v>0</v>
      </c>
      <c r="CB118" s="18"/>
      <c r="CC118" s="19">
        <f>VLOOKUP(BZ118,'DATABASE F&amp;B'!$C$3:$F$210,4,0)</f>
        <v>0</v>
      </c>
      <c r="CD118" s="19">
        <f t="shared" si="166"/>
        <v>0</v>
      </c>
    </row>
    <row r="119" spans="1:82" ht="13.5" x14ac:dyDescent="0.25">
      <c r="A119" s="32" t="str">
        <f t="shared" si="147"/>
        <v>05-'22-2026</v>
      </c>
      <c r="B119" s="22">
        <f t="shared" ref="B119:C134" si="169">B118+1</f>
        <v>115</v>
      </c>
      <c r="C119" s="22">
        <f t="shared" si="169"/>
        <v>115</v>
      </c>
      <c r="D119" s="34">
        <v>46164</v>
      </c>
      <c r="E119" s="35" t="s">
        <v>62</v>
      </c>
      <c r="F119" s="35" t="s">
        <v>202</v>
      </c>
      <c r="G119" s="52" t="s">
        <v>81</v>
      </c>
      <c r="H119" s="36" t="str">
        <f t="shared" si="145"/>
        <v>RJ-'220526-115</v>
      </c>
      <c r="I119" s="36" t="str">
        <f t="shared" si="148"/>
        <v>'22-05-2026</v>
      </c>
      <c r="J119" s="37" t="str">
        <f>VLOOKUP(D119,Laporan!$C$4:$D$34,2,0)</f>
        <v>Jumat</v>
      </c>
      <c r="K119" s="48"/>
      <c r="L119" s="13" t="s">
        <v>33</v>
      </c>
      <c r="M119" s="19">
        <f>SUMIF('DATABASE Room'!$B$3:$B$7,L119,'DATABASE Room'!$D$3:$D$7)</f>
        <v>0</v>
      </c>
      <c r="N119" s="13">
        <v>1</v>
      </c>
      <c r="O119" s="21">
        <f t="shared" si="149"/>
        <v>0</v>
      </c>
      <c r="P119" s="38"/>
      <c r="Q119" s="19">
        <f t="shared" si="150"/>
        <v>0</v>
      </c>
      <c r="R119" s="21">
        <f t="shared" si="151"/>
        <v>0</v>
      </c>
      <c r="S119" s="19">
        <f t="shared" si="152"/>
        <v>5</v>
      </c>
      <c r="T119" s="19">
        <f t="shared" si="153"/>
        <v>15000</v>
      </c>
      <c r="U119" s="21">
        <f t="shared" si="154"/>
        <v>15000</v>
      </c>
      <c r="V119" s="39"/>
      <c r="W119" s="16">
        <v>50</v>
      </c>
      <c r="X119" s="17" t="str">
        <f>VLOOKUP(W119,'DATABASE F&amp;B'!$C$3:$F$216,2,0)</f>
        <v>COKE 250ML</v>
      </c>
      <c r="Y119" s="18">
        <v>1</v>
      </c>
      <c r="Z119" s="19">
        <f>VLOOKUP(W119,'DATABASE F&amp;B'!$C$3:$F$216,4,0)</f>
        <v>15000</v>
      </c>
      <c r="AA119" s="19">
        <f t="shared" si="155"/>
        <v>15000</v>
      </c>
      <c r="AB119" s="16"/>
      <c r="AC119" s="17">
        <f>VLOOKUP(AB119,'DATABASE F&amp;B'!$C$3:$F$216,2,0)</f>
        <v>0</v>
      </c>
      <c r="AD119" s="18">
        <v>1</v>
      </c>
      <c r="AE119" s="19">
        <f>VLOOKUP(AB119,'DATABASE F&amp;B'!$C$3:$F$216,4,0)</f>
        <v>0</v>
      </c>
      <c r="AF119" s="19">
        <f t="shared" si="156"/>
        <v>0</v>
      </c>
      <c r="AG119" s="16"/>
      <c r="AH119" s="17">
        <f>VLOOKUP(AG119,'DATABASE F&amp;B'!$C$3:$F$216,2,0)</f>
        <v>0</v>
      </c>
      <c r="AI119" s="18">
        <v>1</v>
      </c>
      <c r="AJ119" s="19">
        <f>VLOOKUP(AG119,'DATABASE F&amp;B'!$C$3:$F$216,4,0)</f>
        <v>0</v>
      </c>
      <c r="AK119" s="19">
        <f t="shared" si="157"/>
        <v>0</v>
      </c>
      <c r="AL119" s="16"/>
      <c r="AM119" s="17">
        <f>VLOOKUP(AL119,'DATABASE F&amp;B'!$C$3:$F$216,2,0)</f>
        <v>0</v>
      </c>
      <c r="AN119" s="18">
        <v>1</v>
      </c>
      <c r="AO119" s="19">
        <f>VLOOKUP(AL119,'DATABASE F&amp;B'!$C$3:$F$216,4,0)</f>
        <v>0</v>
      </c>
      <c r="AP119" s="19">
        <f t="shared" si="158"/>
        <v>0</v>
      </c>
      <c r="AQ119" s="16"/>
      <c r="AR119" s="17">
        <f>VLOOKUP(AQ119,'DATABASE F&amp;B'!$C$3:$F$216,2,0)</f>
        <v>0</v>
      </c>
      <c r="AS119" s="18">
        <v>1</v>
      </c>
      <c r="AT119" s="19">
        <f>VLOOKUP(AQ119,'DATABASE F&amp;B'!$C$3:$F$216,4,0)</f>
        <v>0</v>
      </c>
      <c r="AU119" s="19">
        <f t="shared" si="159"/>
        <v>0</v>
      </c>
      <c r="AV119" s="16"/>
      <c r="AW119" s="17">
        <f>VLOOKUP(AV119,'DATABASE F&amp;B'!$C$3:$F$216,2,0)</f>
        <v>0</v>
      </c>
      <c r="AX119" s="18"/>
      <c r="AY119" s="19">
        <f>VLOOKUP(AV119,'DATABASE F&amp;B'!$C$3:$F$216,4,0)</f>
        <v>0</v>
      </c>
      <c r="AZ119" s="19">
        <f t="shared" si="160"/>
        <v>0</v>
      </c>
      <c r="BA119" s="16"/>
      <c r="BB119" s="17">
        <f>VLOOKUP(BA119,'DATABASE F&amp;B'!$C$3:$F$216,2,0)</f>
        <v>0</v>
      </c>
      <c r="BC119" s="18"/>
      <c r="BD119" s="19">
        <f>VLOOKUP(BA119,'DATABASE F&amp;B'!$C$3:$F$216,4,0)</f>
        <v>0</v>
      </c>
      <c r="BE119" s="19">
        <f t="shared" si="161"/>
        <v>0</v>
      </c>
      <c r="BF119" s="16"/>
      <c r="BG119" s="17">
        <f>VLOOKUP(BF119,'DATABASE F&amp;B'!$C$3:$F$216,2,0)</f>
        <v>0</v>
      </c>
      <c r="BH119" s="18"/>
      <c r="BI119" s="19">
        <f>VLOOKUP(BF119,'DATABASE F&amp;B'!$C$3:$F$216,4,0)</f>
        <v>0</v>
      </c>
      <c r="BJ119" s="19">
        <f t="shared" si="162"/>
        <v>0</v>
      </c>
      <c r="BK119" s="16"/>
      <c r="BL119" s="17">
        <f>VLOOKUP(BK119,'DATABASE F&amp;B'!$C$3:$F$210,2,0)</f>
        <v>0</v>
      </c>
      <c r="BM119" s="18"/>
      <c r="BN119" s="19">
        <f>VLOOKUP(BK119,'DATABASE F&amp;B'!$C$3:$F$210,4,0)</f>
        <v>0</v>
      </c>
      <c r="BO119" s="19">
        <f t="shared" si="163"/>
        <v>0</v>
      </c>
      <c r="BP119" s="16"/>
      <c r="BQ119" s="17">
        <f>VLOOKUP(BP119,'DATABASE F&amp;B'!$C$3:$F$210,2,0)</f>
        <v>0</v>
      </c>
      <c r="BR119" s="18"/>
      <c r="BS119" s="19">
        <f>VLOOKUP(BP119,'DATABASE F&amp;B'!$C$3:$F$210,4,0)</f>
        <v>0</v>
      </c>
      <c r="BT119" s="19">
        <f t="shared" si="164"/>
        <v>0</v>
      </c>
      <c r="BU119" s="16"/>
      <c r="BV119" s="17">
        <f>VLOOKUP(BU119,'DATABASE F&amp;B'!$C$3:$F$210,2,0)</f>
        <v>0</v>
      </c>
      <c r="BW119" s="18"/>
      <c r="BX119" s="19">
        <f>VLOOKUP(BU119,'DATABASE F&amp;B'!$C$3:$F$210,4,0)</f>
        <v>0</v>
      </c>
      <c r="BY119" s="19">
        <f t="shared" si="165"/>
        <v>0</v>
      </c>
      <c r="BZ119" s="16"/>
      <c r="CA119" s="17">
        <f>VLOOKUP(BZ119,'DATABASE F&amp;B'!$C$3:$F$210,2,0)</f>
        <v>0</v>
      </c>
      <c r="CB119" s="18"/>
      <c r="CC119" s="19">
        <f>VLOOKUP(BZ119,'DATABASE F&amp;B'!$C$3:$F$210,4,0)</f>
        <v>0</v>
      </c>
      <c r="CD119" s="19">
        <f t="shared" si="166"/>
        <v>0</v>
      </c>
    </row>
    <row r="120" spans="1:82" ht="13.5" x14ac:dyDescent="0.25">
      <c r="A120" s="32" t="str">
        <f t="shared" si="147"/>
        <v>05-'22-2026</v>
      </c>
      <c r="B120" s="22">
        <f t="shared" si="169"/>
        <v>116</v>
      </c>
      <c r="C120" s="22">
        <f t="shared" si="169"/>
        <v>116</v>
      </c>
      <c r="D120" s="34">
        <v>46164</v>
      </c>
      <c r="E120" s="35" t="s">
        <v>62</v>
      </c>
      <c r="F120" s="35" t="s">
        <v>202</v>
      </c>
      <c r="G120" s="52" t="s">
        <v>81</v>
      </c>
      <c r="H120" s="36" t="str">
        <f t="shared" si="145"/>
        <v>RJ-'220526-116</v>
      </c>
      <c r="I120" s="36" t="str">
        <f t="shared" si="148"/>
        <v>'22-05-2026</v>
      </c>
      <c r="J120" s="37" t="str">
        <f>VLOOKUP(D120,Laporan!$C$4:$D$34,2,0)</f>
        <v>Jumat</v>
      </c>
      <c r="K120" s="48"/>
      <c r="L120" s="13" t="s">
        <v>33</v>
      </c>
      <c r="M120" s="19">
        <f>SUMIF('DATABASE Room'!$B$3:$B$7,L120,'DATABASE Room'!$D$3:$D$7)</f>
        <v>0</v>
      </c>
      <c r="N120" s="13">
        <v>1</v>
      </c>
      <c r="O120" s="21">
        <f t="shared" si="149"/>
        <v>0</v>
      </c>
      <c r="P120" s="38"/>
      <c r="Q120" s="19">
        <f t="shared" si="150"/>
        <v>0</v>
      </c>
      <c r="R120" s="21">
        <f t="shared" si="151"/>
        <v>0</v>
      </c>
      <c r="S120" s="19">
        <f t="shared" si="152"/>
        <v>5</v>
      </c>
      <c r="T120" s="19">
        <f t="shared" si="153"/>
        <v>15000</v>
      </c>
      <c r="U120" s="21">
        <f t="shared" si="154"/>
        <v>15000</v>
      </c>
      <c r="V120" s="39"/>
      <c r="W120" s="16">
        <v>51</v>
      </c>
      <c r="X120" s="17" t="str">
        <f>VLOOKUP(W120,'DATABASE F&amp;B'!$C$3:$F$216,2,0)</f>
        <v>GINGER ALE</v>
      </c>
      <c r="Y120" s="18">
        <v>1</v>
      </c>
      <c r="Z120" s="19">
        <f>VLOOKUP(W120,'DATABASE F&amp;B'!$C$3:$F$216,4,0)</f>
        <v>15000</v>
      </c>
      <c r="AA120" s="19">
        <f t="shared" si="155"/>
        <v>15000</v>
      </c>
      <c r="AB120" s="16"/>
      <c r="AC120" s="17">
        <f>VLOOKUP(AB120,'DATABASE F&amp;B'!$C$3:$F$216,2,0)</f>
        <v>0</v>
      </c>
      <c r="AD120" s="18">
        <v>1</v>
      </c>
      <c r="AE120" s="19">
        <f>VLOOKUP(AB120,'DATABASE F&amp;B'!$C$3:$F$216,4,0)</f>
        <v>0</v>
      </c>
      <c r="AF120" s="19">
        <f t="shared" si="156"/>
        <v>0</v>
      </c>
      <c r="AG120" s="16"/>
      <c r="AH120" s="17">
        <f>VLOOKUP(AG120,'DATABASE F&amp;B'!$C$3:$F$216,2,0)</f>
        <v>0</v>
      </c>
      <c r="AI120" s="18">
        <v>1</v>
      </c>
      <c r="AJ120" s="19">
        <f>VLOOKUP(AG120,'DATABASE F&amp;B'!$C$3:$F$216,4,0)</f>
        <v>0</v>
      </c>
      <c r="AK120" s="19">
        <f t="shared" si="157"/>
        <v>0</v>
      </c>
      <c r="AL120" s="16"/>
      <c r="AM120" s="17">
        <f>VLOOKUP(AL120,'DATABASE F&amp;B'!$C$3:$F$216,2,0)</f>
        <v>0</v>
      </c>
      <c r="AN120" s="18">
        <v>1</v>
      </c>
      <c r="AO120" s="19">
        <f>VLOOKUP(AL120,'DATABASE F&amp;B'!$C$3:$F$216,4,0)</f>
        <v>0</v>
      </c>
      <c r="AP120" s="19">
        <f t="shared" si="158"/>
        <v>0</v>
      </c>
      <c r="AQ120" s="16"/>
      <c r="AR120" s="17">
        <f>VLOOKUP(AQ120,'DATABASE F&amp;B'!$C$3:$F$216,2,0)</f>
        <v>0</v>
      </c>
      <c r="AS120" s="18">
        <v>1</v>
      </c>
      <c r="AT120" s="19">
        <f>VLOOKUP(AQ120,'DATABASE F&amp;B'!$C$3:$F$216,4,0)</f>
        <v>0</v>
      </c>
      <c r="AU120" s="19">
        <f t="shared" si="159"/>
        <v>0</v>
      </c>
      <c r="AV120" s="16"/>
      <c r="AW120" s="17">
        <f>VLOOKUP(AV120,'DATABASE F&amp;B'!$C$3:$F$216,2,0)</f>
        <v>0</v>
      </c>
      <c r="AX120" s="18"/>
      <c r="AY120" s="19">
        <f>VLOOKUP(AV120,'DATABASE F&amp;B'!$C$3:$F$216,4,0)</f>
        <v>0</v>
      </c>
      <c r="AZ120" s="19">
        <f t="shared" si="160"/>
        <v>0</v>
      </c>
      <c r="BA120" s="16"/>
      <c r="BB120" s="17">
        <f>VLOOKUP(BA120,'DATABASE F&amp;B'!$C$3:$F$216,2,0)</f>
        <v>0</v>
      </c>
      <c r="BC120" s="18"/>
      <c r="BD120" s="19">
        <f>VLOOKUP(BA120,'DATABASE F&amp;B'!$C$3:$F$216,4,0)</f>
        <v>0</v>
      </c>
      <c r="BE120" s="19">
        <f t="shared" si="161"/>
        <v>0</v>
      </c>
      <c r="BF120" s="16"/>
      <c r="BG120" s="17">
        <f>VLOOKUP(BF120,'DATABASE F&amp;B'!$C$3:$F$216,2,0)</f>
        <v>0</v>
      </c>
      <c r="BH120" s="18"/>
      <c r="BI120" s="19">
        <f>VLOOKUP(BF120,'DATABASE F&amp;B'!$C$3:$F$216,4,0)</f>
        <v>0</v>
      </c>
      <c r="BJ120" s="19">
        <f t="shared" si="162"/>
        <v>0</v>
      </c>
      <c r="BK120" s="16"/>
      <c r="BL120" s="17">
        <f>VLOOKUP(BK120,'DATABASE F&amp;B'!$C$3:$F$210,2,0)</f>
        <v>0</v>
      </c>
      <c r="BM120" s="18"/>
      <c r="BN120" s="19">
        <f>VLOOKUP(BK120,'DATABASE F&amp;B'!$C$3:$F$210,4,0)</f>
        <v>0</v>
      </c>
      <c r="BO120" s="19">
        <f t="shared" si="163"/>
        <v>0</v>
      </c>
      <c r="BP120" s="16"/>
      <c r="BQ120" s="17">
        <f>VLOOKUP(BP120,'DATABASE F&amp;B'!$C$3:$F$210,2,0)</f>
        <v>0</v>
      </c>
      <c r="BR120" s="18"/>
      <c r="BS120" s="19">
        <f>VLOOKUP(BP120,'DATABASE F&amp;B'!$C$3:$F$210,4,0)</f>
        <v>0</v>
      </c>
      <c r="BT120" s="19">
        <f t="shared" si="164"/>
        <v>0</v>
      </c>
      <c r="BU120" s="16"/>
      <c r="BV120" s="17">
        <f>VLOOKUP(BU120,'DATABASE F&amp;B'!$C$3:$F$210,2,0)</f>
        <v>0</v>
      </c>
      <c r="BW120" s="18"/>
      <c r="BX120" s="19">
        <f>VLOOKUP(BU120,'DATABASE F&amp;B'!$C$3:$F$210,4,0)</f>
        <v>0</v>
      </c>
      <c r="BY120" s="19">
        <f t="shared" si="165"/>
        <v>0</v>
      </c>
      <c r="BZ120" s="16"/>
      <c r="CA120" s="17">
        <f>VLOOKUP(BZ120,'DATABASE F&amp;B'!$C$3:$F$210,2,0)</f>
        <v>0</v>
      </c>
      <c r="CB120" s="18"/>
      <c r="CC120" s="19">
        <f>VLOOKUP(BZ120,'DATABASE F&amp;B'!$C$3:$F$210,4,0)</f>
        <v>0</v>
      </c>
      <c r="CD120" s="19">
        <f t="shared" si="166"/>
        <v>0</v>
      </c>
    </row>
    <row r="121" spans="1:82" ht="13.5" x14ac:dyDescent="0.25">
      <c r="A121" s="32" t="str">
        <f t="shared" si="147"/>
        <v>05-'22-2026</v>
      </c>
      <c r="B121" s="22">
        <f t="shared" si="169"/>
        <v>117</v>
      </c>
      <c r="C121" s="22">
        <f t="shared" si="169"/>
        <v>117</v>
      </c>
      <c r="D121" s="34">
        <v>46164</v>
      </c>
      <c r="E121" s="35" t="s">
        <v>62</v>
      </c>
      <c r="F121" s="35" t="s">
        <v>202</v>
      </c>
      <c r="G121" s="52" t="s">
        <v>81</v>
      </c>
      <c r="H121" s="36" t="str">
        <f t="shared" si="145"/>
        <v>RJ-'220526-117</v>
      </c>
      <c r="I121" s="36" t="str">
        <f t="shared" si="148"/>
        <v>'22-05-2026</v>
      </c>
      <c r="J121" s="37" t="str">
        <f>VLOOKUP(D121,Laporan!$C$4:$D$34,2,0)</f>
        <v>Jumat</v>
      </c>
      <c r="K121" s="48"/>
      <c r="L121" s="13" t="s">
        <v>33</v>
      </c>
      <c r="M121" s="19">
        <f>SUMIF('DATABASE Room'!$B$3:$B$7,L121,'DATABASE Room'!$D$3:$D$7)</f>
        <v>0</v>
      </c>
      <c r="N121" s="13">
        <v>1</v>
      </c>
      <c r="O121" s="21">
        <f t="shared" si="149"/>
        <v>0</v>
      </c>
      <c r="P121" s="38"/>
      <c r="Q121" s="19">
        <f t="shared" si="150"/>
        <v>0</v>
      </c>
      <c r="R121" s="21">
        <f t="shared" si="151"/>
        <v>0</v>
      </c>
      <c r="S121" s="19">
        <f t="shared" si="152"/>
        <v>5</v>
      </c>
      <c r="T121" s="19">
        <f t="shared" si="153"/>
        <v>15000</v>
      </c>
      <c r="U121" s="21">
        <f t="shared" si="154"/>
        <v>15000</v>
      </c>
      <c r="V121" s="39"/>
      <c r="W121" s="16">
        <v>52</v>
      </c>
      <c r="X121" s="17" t="str">
        <f>VLOOKUP(W121,'DATABASE F&amp;B'!$C$3:$F$216,2,0)</f>
        <v>SODA WATER ZODA 250ML</v>
      </c>
      <c r="Y121" s="18">
        <v>1</v>
      </c>
      <c r="Z121" s="19">
        <f>VLOOKUP(W121,'DATABASE F&amp;B'!$C$3:$F$216,4,0)</f>
        <v>15000</v>
      </c>
      <c r="AA121" s="19">
        <f t="shared" si="155"/>
        <v>15000</v>
      </c>
      <c r="AB121" s="16"/>
      <c r="AC121" s="17">
        <f>VLOOKUP(AB121,'DATABASE F&amp;B'!$C$3:$F$216,2,0)</f>
        <v>0</v>
      </c>
      <c r="AD121" s="18">
        <v>1</v>
      </c>
      <c r="AE121" s="19">
        <f>VLOOKUP(AB121,'DATABASE F&amp;B'!$C$3:$F$216,4,0)</f>
        <v>0</v>
      </c>
      <c r="AF121" s="19">
        <f t="shared" si="156"/>
        <v>0</v>
      </c>
      <c r="AG121" s="16"/>
      <c r="AH121" s="17">
        <f>VLOOKUP(AG121,'DATABASE F&amp;B'!$C$3:$F$216,2,0)</f>
        <v>0</v>
      </c>
      <c r="AI121" s="18">
        <v>1</v>
      </c>
      <c r="AJ121" s="19">
        <f>VLOOKUP(AG121,'DATABASE F&amp;B'!$C$3:$F$216,4,0)</f>
        <v>0</v>
      </c>
      <c r="AK121" s="19">
        <f t="shared" si="157"/>
        <v>0</v>
      </c>
      <c r="AL121" s="16"/>
      <c r="AM121" s="17">
        <f>VLOOKUP(AL121,'DATABASE F&amp;B'!$C$3:$F$216,2,0)</f>
        <v>0</v>
      </c>
      <c r="AN121" s="18">
        <v>1</v>
      </c>
      <c r="AO121" s="19">
        <f>VLOOKUP(AL121,'DATABASE F&amp;B'!$C$3:$F$216,4,0)</f>
        <v>0</v>
      </c>
      <c r="AP121" s="19">
        <f t="shared" si="158"/>
        <v>0</v>
      </c>
      <c r="AQ121" s="16"/>
      <c r="AR121" s="17">
        <f>VLOOKUP(AQ121,'DATABASE F&amp;B'!$C$3:$F$216,2,0)</f>
        <v>0</v>
      </c>
      <c r="AS121" s="18">
        <v>1</v>
      </c>
      <c r="AT121" s="19">
        <f>VLOOKUP(AQ121,'DATABASE F&amp;B'!$C$3:$F$216,4,0)</f>
        <v>0</v>
      </c>
      <c r="AU121" s="19">
        <f t="shared" si="159"/>
        <v>0</v>
      </c>
      <c r="AV121" s="16"/>
      <c r="AW121" s="17">
        <f>VLOOKUP(AV121,'DATABASE F&amp;B'!$C$3:$F$216,2,0)</f>
        <v>0</v>
      </c>
      <c r="AX121" s="18"/>
      <c r="AY121" s="19">
        <f>VLOOKUP(AV121,'DATABASE F&amp;B'!$C$3:$F$216,4,0)</f>
        <v>0</v>
      </c>
      <c r="AZ121" s="19">
        <f t="shared" si="160"/>
        <v>0</v>
      </c>
      <c r="BA121" s="16"/>
      <c r="BB121" s="17">
        <f>VLOOKUP(BA121,'DATABASE F&amp;B'!$C$3:$F$216,2,0)</f>
        <v>0</v>
      </c>
      <c r="BC121" s="18"/>
      <c r="BD121" s="19">
        <f>VLOOKUP(BA121,'DATABASE F&amp;B'!$C$3:$F$216,4,0)</f>
        <v>0</v>
      </c>
      <c r="BE121" s="19">
        <f t="shared" si="161"/>
        <v>0</v>
      </c>
      <c r="BF121" s="16"/>
      <c r="BG121" s="17">
        <f>VLOOKUP(BF121,'DATABASE F&amp;B'!$C$3:$F$216,2,0)</f>
        <v>0</v>
      </c>
      <c r="BH121" s="18"/>
      <c r="BI121" s="19">
        <f>VLOOKUP(BF121,'DATABASE F&amp;B'!$C$3:$F$216,4,0)</f>
        <v>0</v>
      </c>
      <c r="BJ121" s="19">
        <f t="shared" si="162"/>
        <v>0</v>
      </c>
      <c r="BK121" s="16"/>
      <c r="BL121" s="17">
        <f>VLOOKUP(BK121,'DATABASE F&amp;B'!$C$3:$F$210,2,0)</f>
        <v>0</v>
      </c>
      <c r="BM121" s="18"/>
      <c r="BN121" s="19">
        <f>VLOOKUP(BK121,'DATABASE F&amp;B'!$C$3:$F$210,4,0)</f>
        <v>0</v>
      </c>
      <c r="BO121" s="19">
        <f t="shared" si="163"/>
        <v>0</v>
      </c>
      <c r="BP121" s="16"/>
      <c r="BQ121" s="17">
        <f>VLOOKUP(BP121,'DATABASE F&amp;B'!$C$3:$F$210,2,0)</f>
        <v>0</v>
      </c>
      <c r="BR121" s="18"/>
      <c r="BS121" s="19">
        <f>VLOOKUP(BP121,'DATABASE F&amp;B'!$C$3:$F$210,4,0)</f>
        <v>0</v>
      </c>
      <c r="BT121" s="19">
        <f t="shared" si="164"/>
        <v>0</v>
      </c>
      <c r="BU121" s="16"/>
      <c r="BV121" s="17">
        <f>VLOOKUP(BU121,'DATABASE F&amp;B'!$C$3:$F$210,2,0)</f>
        <v>0</v>
      </c>
      <c r="BW121" s="18"/>
      <c r="BX121" s="19">
        <f>VLOOKUP(BU121,'DATABASE F&amp;B'!$C$3:$F$210,4,0)</f>
        <v>0</v>
      </c>
      <c r="BY121" s="19">
        <f t="shared" si="165"/>
        <v>0</v>
      </c>
      <c r="BZ121" s="16"/>
      <c r="CA121" s="17">
        <f>VLOOKUP(BZ121,'DATABASE F&amp;B'!$C$3:$F$210,2,0)</f>
        <v>0</v>
      </c>
      <c r="CB121" s="18"/>
      <c r="CC121" s="19">
        <f>VLOOKUP(BZ121,'DATABASE F&amp;B'!$C$3:$F$210,4,0)</f>
        <v>0</v>
      </c>
      <c r="CD121" s="19">
        <f t="shared" si="166"/>
        <v>0</v>
      </c>
    </row>
    <row r="122" spans="1:82" ht="13.5" x14ac:dyDescent="0.25">
      <c r="A122" s="32" t="str">
        <f t="shared" si="147"/>
        <v>05-'22-2026</v>
      </c>
      <c r="B122" s="22">
        <f t="shared" si="169"/>
        <v>118</v>
      </c>
      <c r="C122" s="22">
        <f t="shared" si="169"/>
        <v>118</v>
      </c>
      <c r="D122" s="34">
        <v>46164</v>
      </c>
      <c r="E122" s="35" t="s">
        <v>62</v>
      </c>
      <c r="F122" s="35" t="s">
        <v>202</v>
      </c>
      <c r="G122" s="52" t="s">
        <v>81</v>
      </c>
      <c r="H122" s="36" t="str">
        <f t="shared" si="145"/>
        <v>RJ-'220526-118</v>
      </c>
      <c r="I122" s="36" t="str">
        <f t="shared" si="148"/>
        <v>'22-05-2026</v>
      </c>
      <c r="J122" s="37" t="str">
        <f>VLOOKUP(D122,Laporan!$C$4:$D$34,2,0)</f>
        <v>Jumat</v>
      </c>
      <c r="K122" s="48"/>
      <c r="L122" s="13" t="s">
        <v>33</v>
      </c>
      <c r="M122" s="19">
        <f>SUMIF('DATABASE Room'!$B$3:$B$7,L122,'DATABASE Room'!$D$3:$D$7)</f>
        <v>0</v>
      </c>
      <c r="N122" s="13">
        <v>1</v>
      </c>
      <c r="O122" s="21">
        <f t="shared" si="149"/>
        <v>0</v>
      </c>
      <c r="P122" s="38"/>
      <c r="Q122" s="19">
        <f t="shared" si="150"/>
        <v>0</v>
      </c>
      <c r="R122" s="21">
        <f t="shared" si="151"/>
        <v>0</v>
      </c>
      <c r="S122" s="19">
        <f t="shared" si="152"/>
        <v>5</v>
      </c>
      <c r="T122" s="19">
        <f t="shared" si="153"/>
        <v>140000</v>
      </c>
      <c r="U122" s="21">
        <f t="shared" si="154"/>
        <v>140000</v>
      </c>
      <c r="V122" s="39"/>
      <c r="W122" s="16">
        <v>53</v>
      </c>
      <c r="X122" s="17" t="str">
        <f>VLOOKUP(W122,'DATABASE F&amp;B'!$C$3:$F$216,2,0)</f>
        <v>ZODA WATER</v>
      </c>
      <c r="Y122" s="18">
        <v>1</v>
      </c>
      <c r="Z122" s="19">
        <f>VLOOKUP(W122,'DATABASE F&amp;B'!$C$3:$F$216,4,0)</f>
        <v>15000</v>
      </c>
      <c r="AA122" s="19">
        <f t="shared" si="155"/>
        <v>15000</v>
      </c>
      <c r="AB122" s="16">
        <v>88</v>
      </c>
      <c r="AC122" s="17" t="str">
        <f>VLOOKUP(AB122,'DATABASE F&amp;B'!$C$3:$F$216,2,0)</f>
        <v>SOJU GREEN ROYAL MANGO</v>
      </c>
      <c r="AD122" s="18">
        <v>1</v>
      </c>
      <c r="AE122" s="19">
        <f>VLOOKUP(AB122,'DATABASE F&amp;B'!$C$3:$F$216,4,0)</f>
        <v>125000</v>
      </c>
      <c r="AF122" s="19">
        <f t="shared" si="156"/>
        <v>125000</v>
      </c>
      <c r="AG122" s="16"/>
      <c r="AH122" s="17">
        <f>VLOOKUP(AG122,'DATABASE F&amp;B'!$C$3:$F$216,2,0)</f>
        <v>0</v>
      </c>
      <c r="AI122" s="18">
        <v>1</v>
      </c>
      <c r="AJ122" s="19">
        <f>VLOOKUP(AG122,'DATABASE F&amp;B'!$C$3:$F$216,4,0)</f>
        <v>0</v>
      </c>
      <c r="AK122" s="19">
        <f t="shared" si="157"/>
        <v>0</v>
      </c>
      <c r="AL122" s="16"/>
      <c r="AM122" s="17">
        <f>VLOOKUP(AL122,'DATABASE F&amp;B'!$C$3:$F$216,2,0)</f>
        <v>0</v>
      </c>
      <c r="AN122" s="18">
        <v>1</v>
      </c>
      <c r="AO122" s="19">
        <f>VLOOKUP(AL122,'DATABASE F&amp;B'!$C$3:$F$216,4,0)</f>
        <v>0</v>
      </c>
      <c r="AP122" s="19">
        <f t="shared" si="158"/>
        <v>0</v>
      </c>
      <c r="AQ122" s="16"/>
      <c r="AR122" s="17">
        <f>VLOOKUP(AQ122,'DATABASE F&amp;B'!$C$3:$F$216,2,0)</f>
        <v>0</v>
      </c>
      <c r="AS122" s="18">
        <v>1</v>
      </c>
      <c r="AT122" s="19">
        <f>VLOOKUP(AQ122,'DATABASE F&amp;B'!$C$3:$F$216,4,0)</f>
        <v>0</v>
      </c>
      <c r="AU122" s="19">
        <f t="shared" si="159"/>
        <v>0</v>
      </c>
      <c r="AV122" s="16"/>
      <c r="AW122" s="17">
        <f>VLOOKUP(AV122,'DATABASE F&amp;B'!$C$3:$F$216,2,0)</f>
        <v>0</v>
      </c>
      <c r="AX122" s="18"/>
      <c r="AY122" s="19">
        <f>VLOOKUP(AV122,'DATABASE F&amp;B'!$C$3:$F$216,4,0)</f>
        <v>0</v>
      </c>
      <c r="AZ122" s="19">
        <f t="shared" si="160"/>
        <v>0</v>
      </c>
      <c r="BA122" s="16"/>
      <c r="BB122" s="17">
        <f>VLOOKUP(BA122,'DATABASE F&amp;B'!$C$3:$F$216,2,0)</f>
        <v>0</v>
      </c>
      <c r="BC122" s="18"/>
      <c r="BD122" s="19">
        <f>VLOOKUP(BA122,'DATABASE F&amp;B'!$C$3:$F$216,4,0)</f>
        <v>0</v>
      </c>
      <c r="BE122" s="19">
        <f t="shared" si="161"/>
        <v>0</v>
      </c>
      <c r="BF122" s="16"/>
      <c r="BG122" s="17">
        <f>VLOOKUP(BF122,'DATABASE F&amp;B'!$C$3:$F$216,2,0)</f>
        <v>0</v>
      </c>
      <c r="BH122" s="18"/>
      <c r="BI122" s="19">
        <f>VLOOKUP(BF122,'DATABASE F&amp;B'!$C$3:$F$216,4,0)</f>
        <v>0</v>
      </c>
      <c r="BJ122" s="19">
        <f t="shared" si="162"/>
        <v>0</v>
      </c>
      <c r="BK122" s="16"/>
      <c r="BL122" s="17">
        <f>VLOOKUP(BK122,'DATABASE F&amp;B'!$C$3:$F$210,2,0)</f>
        <v>0</v>
      </c>
      <c r="BM122" s="18"/>
      <c r="BN122" s="19">
        <f>VLOOKUP(BK122,'DATABASE F&amp;B'!$C$3:$F$210,4,0)</f>
        <v>0</v>
      </c>
      <c r="BO122" s="19">
        <f t="shared" si="163"/>
        <v>0</v>
      </c>
      <c r="BP122" s="16"/>
      <c r="BQ122" s="17">
        <f>VLOOKUP(BP122,'DATABASE F&amp;B'!$C$3:$F$210,2,0)</f>
        <v>0</v>
      </c>
      <c r="BR122" s="18"/>
      <c r="BS122" s="19">
        <f>VLOOKUP(BP122,'DATABASE F&amp;B'!$C$3:$F$210,4,0)</f>
        <v>0</v>
      </c>
      <c r="BT122" s="19">
        <f t="shared" si="164"/>
        <v>0</v>
      </c>
      <c r="BU122" s="16"/>
      <c r="BV122" s="17">
        <f>VLOOKUP(BU122,'DATABASE F&amp;B'!$C$3:$F$210,2,0)</f>
        <v>0</v>
      </c>
      <c r="BW122" s="18"/>
      <c r="BX122" s="19">
        <f>VLOOKUP(BU122,'DATABASE F&amp;B'!$C$3:$F$210,4,0)</f>
        <v>0</v>
      </c>
      <c r="BY122" s="19">
        <f t="shared" si="165"/>
        <v>0</v>
      </c>
      <c r="BZ122" s="16"/>
      <c r="CA122" s="17">
        <f>VLOOKUP(BZ122,'DATABASE F&amp;B'!$C$3:$F$210,2,0)</f>
        <v>0</v>
      </c>
      <c r="CB122" s="18"/>
      <c r="CC122" s="19">
        <f>VLOOKUP(BZ122,'DATABASE F&amp;B'!$C$3:$F$210,4,0)</f>
        <v>0</v>
      </c>
      <c r="CD122" s="19">
        <f t="shared" si="166"/>
        <v>0</v>
      </c>
    </row>
    <row r="123" spans="1:82" ht="13.5" x14ac:dyDescent="0.25">
      <c r="A123" s="32" t="str">
        <f t="shared" si="147"/>
        <v>05-'22-2026</v>
      </c>
      <c r="B123" s="22">
        <f t="shared" si="169"/>
        <v>119</v>
      </c>
      <c r="C123" s="22">
        <f t="shared" si="169"/>
        <v>119</v>
      </c>
      <c r="D123" s="34">
        <v>46164</v>
      </c>
      <c r="E123" s="35" t="s">
        <v>62</v>
      </c>
      <c r="F123" s="35" t="s">
        <v>202</v>
      </c>
      <c r="G123" s="52" t="s">
        <v>81</v>
      </c>
      <c r="H123" s="36" t="str">
        <f t="shared" si="145"/>
        <v>RJ-'220526-119</v>
      </c>
      <c r="I123" s="36" t="str">
        <f t="shared" si="148"/>
        <v>'22-05-2026</v>
      </c>
      <c r="J123" s="37" t="str">
        <f>VLOOKUP(D123,Laporan!$C$4:$D$34,2,0)</f>
        <v>Jumat</v>
      </c>
      <c r="K123" s="48"/>
      <c r="L123" s="13" t="s">
        <v>33</v>
      </c>
      <c r="M123" s="19">
        <f>SUMIF('DATABASE Room'!$B$3:$B$7,L123,'DATABASE Room'!$D$3:$D$7)</f>
        <v>0</v>
      </c>
      <c r="N123" s="13">
        <v>1</v>
      </c>
      <c r="O123" s="21">
        <f t="shared" si="149"/>
        <v>0</v>
      </c>
      <c r="P123" s="38"/>
      <c r="Q123" s="19">
        <f t="shared" si="150"/>
        <v>0</v>
      </c>
      <c r="R123" s="21">
        <f t="shared" si="151"/>
        <v>0</v>
      </c>
      <c r="S123" s="19">
        <f t="shared" si="152"/>
        <v>5</v>
      </c>
      <c r="T123" s="19">
        <f t="shared" si="153"/>
        <v>20000</v>
      </c>
      <c r="U123" s="21">
        <f t="shared" si="154"/>
        <v>20000</v>
      </c>
      <c r="V123" s="39"/>
      <c r="W123" s="16">
        <v>54</v>
      </c>
      <c r="X123" s="17" t="str">
        <f>VLOOKUP(W123,'DATABASE F&amp;B'!$C$3:$F$216,2,0)</f>
        <v>POKKA GREEN TEA</v>
      </c>
      <c r="Y123" s="18">
        <v>1</v>
      </c>
      <c r="Z123" s="19">
        <f>VLOOKUP(W123,'DATABASE F&amp;B'!$C$3:$F$216,4,0)</f>
        <v>20000</v>
      </c>
      <c r="AA123" s="19">
        <f t="shared" si="155"/>
        <v>20000</v>
      </c>
      <c r="AB123" s="16"/>
      <c r="AC123" s="17">
        <f>VLOOKUP(AB123,'DATABASE F&amp;B'!$C$3:$F$216,2,0)</f>
        <v>0</v>
      </c>
      <c r="AD123" s="18">
        <v>1</v>
      </c>
      <c r="AE123" s="19">
        <f>VLOOKUP(AB123,'DATABASE F&amp;B'!$C$3:$F$216,4,0)</f>
        <v>0</v>
      </c>
      <c r="AF123" s="19">
        <f t="shared" si="156"/>
        <v>0</v>
      </c>
      <c r="AG123" s="16"/>
      <c r="AH123" s="17">
        <f>VLOOKUP(AG123,'DATABASE F&amp;B'!$C$3:$F$216,2,0)</f>
        <v>0</v>
      </c>
      <c r="AI123" s="18">
        <v>1</v>
      </c>
      <c r="AJ123" s="19">
        <f>VLOOKUP(AG123,'DATABASE F&amp;B'!$C$3:$F$216,4,0)</f>
        <v>0</v>
      </c>
      <c r="AK123" s="19">
        <f t="shared" si="157"/>
        <v>0</v>
      </c>
      <c r="AL123" s="16"/>
      <c r="AM123" s="17">
        <f>VLOOKUP(AL123,'DATABASE F&amp;B'!$C$3:$F$216,2,0)</f>
        <v>0</v>
      </c>
      <c r="AN123" s="18">
        <v>1</v>
      </c>
      <c r="AO123" s="19">
        <f>VLOOKUP(AL123,'DATABASE F&amp;B'!$C$3:$F$216,4,0)</f>
        <v>0</v>
      </c>
      <c r="AP123" s="19">
        <f t="shared" si="158"/>
        <v>0</v>
      </c>
      <c r="AQ123" s="16"/>
      <c r="AR123" s="17">
        <f>VLOOKUP(AQ123,'DATABASE F&amp;B'!$C$3:$F$216,2,0)</f>
        <v>0</v>
      </c>
      <c r="AS123" s="18">
        <v>1</v>
      </c>
      <c r="AT123" s="19">
        <f>VLOOKUP(AQ123,'DATABASE F&amp;B'!$C$3:$F$216,4,0)</f>
        <v>0</v>
      </c>
      <c r="AU123" s="19">
        <f t="shared" si="159"/>
        <v>0</v>
      </c>
      <c r="AV123" s="16"/>
      <c r="AW123" s="17">
        <f>VLOOKUP(AV123,'DATABASE F&amp;B'!$C$3:$F$216,2,0)</f>
        <v>0</v>
      </c>
      <c r="AX123" s="18"/>
      <c r="AY123" s="19">
        <f>VLOOKUP(AV123,'DATABASE F&amp;B'!$C$3:$F$216,4,0)</f>
        <v>0</v>
      </c>
      <c r="AZ123" s="19">
        <f t="shared" si="160"/>
        <v>0</v>
      </c>
      <c r="BA123" s="16"/>
      <c r="BB123" s="17">
        <f>VLOOKUP(BA123,'DATABASE F&amp;B'!$C$3:$F$216,2,0)</f>
        <v>0</v>
      </c>
      <c r="BC123" s="18"/>
      <c r="BD123" s="19">
        <f>VLOOKUP(BA123,'DATABASE F&amp;B'!$C$3:$F$216,4,0)</f>
        <v>0</v>
      </c>
      <c r="BE123" s="19">
        <f t="shared" si="161"/>
        <v>0</v>
      </c>
      <c r="BF123" s="16"/>
      <c r="BG123" s="17">
        <f>VLOOKUP(BF123,'DATABASE F&amp;B'!$C$3:$F$216,2,0)</f>
        <v>0</v>
      </c>
      <c r="BH123" s="18"/>
      <c r="BI123" s="19">
        <f>VLOOKUP(BF123,'DATABASE F&amp;B'!$C$3:$F$216,4,0)</f>
        <v>0</v>
      </c>
      <c r="BJ123" s="19">
        <f t="shared" si="162"/>
        <v>0</v>
      </c>
      <c r="BK123" s="16"/>
      <c r="BL123" s="17">
        <f>VLOOKUP(BK123,'DATABASE F&amp;B'!$C$3:$F$210,2,0)</f>
        <v>0</v>
      </c>
      <c r="BM123" s="18"/>
      <c r="BN123" s="19">
        <f>VLOOKUP(BK123,'DATABASE F&amp;B'!$C$3:$F$210,4,0)</f>
        <v>0</v>
      </c>
      <c r="BO123" s="19">
        <f t="shared" si="163"/>
        <v>0</v>
      </c>
      <c r="BP123" s="16"/>
      <c r="BQ123" s="17">
        <f>VLOOKUP(BP123,'DATABASE F&amp;B'!$C$3:$F$210,2,0)</f>
        <v>0</v>
      </c>
      <c r="BR123" s="18"/>
      <c r="BS123" s="19">
        <f>VLOOKUP(BP123,'DATABASE F&amp;B'!$C$3:$F$210,4,0)</f>
        <v>0</v>
      </c>
      <c r="BT123" s="19">
        <f t="shared" si="164"/>
        <v>0</v>
      </c>
      <c r="BU123" s="16"/>
      <c r="BV123" s="17">
        <f>VLOOKUP(BU123,'DATABASE F&amp;B'!$C$3:$F$210,2,0)</f>
        <v>0</v>
      </c>
      <c r="BW123" s="18"/>
      <c r="BX123" s="19">
        <f>VLOOKUP(BU123,'DATABASE F&amp;B'!$C$3:$F$210,4,0)</f>
        <v>0</v>
      </c>
      <c r="BY123" s="19">
        <f t="shared" si="165"/>
        <v>0</v>
      </c>
      <c r="BZ123" s="16"/>
      <c r="CA123" s="17">
        <f>VLOOKUP(BZ123,'DATABASE F&amp;B'!$C$3:$F$210,2,0)</f>
        <v>0</v>
      </c>
      <c r="CB123" s="18"/>
      <c r="CC123" s="19">
        <f>VLOOKUP(BZ123,'DATABASE F&amp;B'!$C$3:$F$210,4,0)</f>
        <v>0</v>
      </c>
      <c r="CD123" s="19">
        <f t="shared" si="166"/>
        <v>0</v>
      </c>
    </row>
    <row r="124" spans="1:82" ht="13.5" x14ac:dyDescent="0.25">
      <c r="A124" s="32" t="str">
        <f t="shared" si="147"/>
        <v>05-'22-2026</v>
      </c>
      <c r="B124" s="22">
        <f t="shared" si="169"/>
        <v>120</v>
      </c>
      <c r="C124" s="22">
        <f t="shared" si="169"/>
        <v>120</v>
      </c>
      <c r="D124" s="34">
        <v>46164</v>
      </c>
      <c r="E124" s="35" t="s">
        <v>62</v>
      </c>
      <c r="F124" s="35" t="s">
        <v>202</v>
      </c>
      <c r="G124" s="52" t="s">
        <v>81</v>
      </c>
      <c r="H124" s="36" t="str">
        <f t="shared" si="145"/>
        <v>RJ-'220526-120</v>
      </c>
      <c r="I124" s="36" t="str">
        <f t="shared" si="148"/>
        <v>'22-05-2026</v>
      </c>
      <c r="J124" s="37" t="str">
        <f>VLOOKUP(D124,Laporan!$C$4:$D$34,2,0)</f>
        <v>Jumat</v>
      </c>
      <c r="K124" s="48"/>
      <c r="L124" s="13" t="s">
        <v>33</v>
      </c>
      <c r="M124" s="19">
        <f>SUMIF('DATABASE Room'!$B$3:$B$7,L124,'DATABASE Room'!$D$3:$D$7)</f>
        <v>0</v>
      </c>
      <c r="N124" s="13">
        <v>1</v>
      </c>
      <c r="O124" s="21">
        <f t="shared" si="149"/>
        <v>0</v>
      </c>
      <c r="P124" s="38"/>
      <c r="Q124" s="19">
        <f t="shared" si="150"/>
        <v>0</v>
      </c>
      <c r="R124" s="21">
        <f t="shared" si="151"/>
        <v>0</v>
      </c>
      <c r="S124" s="19">
        <f t="shared" si="152"/>
        <v>5</v>
      </c>
      <c r="T124" s="19">
        <f t="shared" si="153"/>
        <v>25000</v>
      </c>
      <c r="U124" s="21">
        <f t="shared" si="154"/>
        <v>25000</v>
      </c>
      <c r="V124" s="39"/>
      <c r="W124" s="16">
        <v>55</v>
      </c>
      <c r="X124" s="17" t="str">
        <f>VLOOKUP(W124,'DATABASE F&amp;B'!$C$3:$F$216,2,0)</f>
        <v>YAKULT ORI</v>
      </c>
      <c r="Y124" s="18">
        <v>1</v>
      </c>
      <c r="Z124" s="19">
        <f>VLOOKUP(W124,'DATABASE F&amp;B'!$C$3:$F$216,4,0)</f>
        <v>25000</v>
      </c>
      <c r="AA124" s="19">
        <f t="shared" si="155"/>
        <v>25000</v>
      </c>
      <c r="AB124" s="16"/>
      <c r="AC124" s="17">
        <f>VLOOKUP(AB124,'DATABASE F&amp;B'!$C$3:$F$216,2,0)</f>
        <v>0</v>
      </c>
      <c r="AD124" s="18">
        <v>1</v>
      </c>
      <c r="AE124" s="19">
        <f>VLOOKUP(AB124,'DATABASE F&amp;B'!$C$3:$F$216,4,0)</f>
        <v>0</v>
      </c>
      <c r="AF124" s="19">
        <f t="shared" si="156"/>
        <v>0</v>
      </c>
      <c r="AG124" s="16"/>
      <c r="AH124" s="17">
        <f>VLOOKUP(AG124,'DATABASE F&amp;B'!$C$3:$F$216,2,0)</f>
        <v>0</v>
      </c>
      <c r="AI124" s="18">
        <v>1</v>
      </c>
      <c r="AJ124" s="19">
        <f>VLOOKUP(AG124,'DATABASE F&amp;B'!$C$3:$F$216,4,0)</f>
        <v>0</v>
      </c>
      <c r="AK124" s="19">
        <f t="shared" si="157"/>
        <v>0</v>
      </c>
      <c r="AL124" s="16"/>
      <c r="AM124" s="17">
        <f>VLOOKUP(AL124,'DATABASE F&amp;B'!$C$3:$F$216,2,0)</f>
        <v>0</v>
      </c>
      <c r="AN124" s="18">
        <v>1</v>
      </c>
      <c r="AO124" s="19">
        <f>VLOOKUP(AL124,'DATABASE F&amp;B'!$C$3:$F$216,4,0)</f>
        <v>0</v>
      </c>
      <c r="AP124" s="19">
        <f t="shared" si="158"/>
        <v>0</v>
      </c>
      <c r="AQ124" s="16"/>
      <c r="AR124" s="17">
        <f>VLOOKUP(AQ124,'DATABASE F&amp;B'!$C$3:$F$216,2,0)</f>
        <v>0</v>
      </c>
      <c r="AS124" s="18">
        <v>1</v>
      </c>
      <c r="AT124" s="19">
        <f>VLOOKUP(AQ124,'DATABASE F&amp;B'!$C$3:$F$216,4,0)</f>
        <v>0</v>
      </c>
      <c r="AU124" s="19">
        <f t="shared" si="159"/>
        <v>0</v>
      </c>
      <c r="AV124" s="16"/>
      <c r="AW124" s="17">
        <f>VLOOKUP(AV124,'DATABASE F&amp;B'!$C$3:$F$216,2,0)</f>
        <v>0</v>
      </c>
      <c r="AX124" s="18"/>
      <c r="AY124" s="19">
        <f>VLOOKUP(AV124,'DATABASE F&amp;B'!$C$3:$F$216,4,0)</f>
        <v>0</v>
      </c>
      <c r="AZ124" s="19">
        <f t="shared" si="160"/>
        <v>0</v>
      </c>
      <c r="BA124" s="16"/>
      <c r="BB124" s="17">
        <f>VLOOKUP(BA124,'DATABASE F&amp;B'!$C$3:$F$216,2,0)</f>
        <v>0</v>
      </c>
      <c r="BC124" s="18"/>
      <c r="BD124" s="19">
        <f>VLOOKUP(BA124,'DATABASE F&amp;B'!$C$3:$F$216,4,0)</f>
        <v>0</v>
      </c>
      <c r="BE124" s="19">
        <f t="shared" si="161"/>
        <v>0</v>
      </c>
      <c r="BF124" s="16"/>
      <c r="BG124" s="17">
        <f>VLOOKUP(BF124,'DATABASE F&amp;B'!$C$3:$F$216,2,0)</f>
        <v>0</v>
      </c>
      <c r="BH124" s="18"/>
      <c r="BI124" s="19">
        <f>VLOOKUP(BF124,'DATABASE F&amp;B'!$C$3:$F$216,4,0)</f>
        <v>0</v>
      </c>
      <c r="BJ124" s="19">
        <f t="shared" si="162"/>
        <v>0</v>
      </c>
      <c r="BK124" s="16"/>
      <c r="BL124" s="17">
        <f>VLOOKUP(BK124,'DATABASE F&amp;B'!$C$3:$F$210,2,0)</f>
        <v>0</v>
      </c>
      <c r="BM124" s="18"/>
      <c r="BN124" s="19">
        <f>VLOOKUP(BK124,'DATABASE F&amp;B'!$C$3:$F$210,4,0)</f>
        <v>0</v>
      </c>
      <c r="BO124" s="19">
        <f t="shared" si="163"/>
        <v>0</v>
      </c>
      <c r="BP124" s="16"/>
      <c r="BQ124" s="17">
        <f>VLOOKUP(BP124,'DATABASE F&amp;B'!$C$3:$F$210,2,0)</f>
        <v>0</v>
      </c>
      <c r="BR124" s="18"/>
      <c r="BS124" s="19">
        <f>VLOOKUP(BP124,'DATABASE F&amp;B'!$C$3:$F$210,4,0)</f>
        <v>0</v>
      </c>
      <c r="BT124" s="19">
        <f t="shared" si="164"/>
        <v>0</v>
      </c>
      <c r="BU124" s="16"/>
      <c r="BV124" s="17">
        <f>VLOOKUP(BU124,'DATABASE F&amp;B'!$C$3:$F$210,2,0)</f>
        <v>0</v>
      </c>
      <c r="BW124" s="18"/>
      <c r="BX124" s="19">
        <f>VLOOKUP(BU124,'DATABASE F&amp;B'!$C$3:$F$210,4,0)</f>
        <v>0</v>
      </c>
      <c r="BY124" s="19">
        <f t="shared" si="165"/>
        <v>0</v>
      </c>
      <c r="BZ124" s="16"/>
      <c r="CA124" s="17">
        <f>VLOOKUP(BZ124,'DATABASE F&amp;B'!$C$3:$F$210,2,0)</f>
        <v>0</v>
      </c>
      <c r="CB124" s="18"/>
      <c r="CC124" s="19">
        <f>VLOOKUP(BZ124,'DATABASE F&amp;B'!$C$3:$F$210,4,0)</f>
        <v>0</v>
      </c>
      <c r="CD124" s="19">
        <f t="shared" si="166"/>
        <v>0</v>
      </c>
    </row>
    <row r="125" spans="1:82" ht="13.5" x14ac:dyDescent="0.25">
      <c r="A125" s="32" t="str">
        <f t="shared" si="147"/>
        <v>05-'23-2026</v>
      </c>
      <c r="B125" s="22">
        <f t="shared" si="169"/>
        <v>121</v>
      </c>
      <c r="C125" s="22">
        <f t="shared" si="169"/>
        <v>121</v>
      </c>
      <c r="D125" s="34">
        <v>46165</v>
      </c>
      <c r="E125" s="35" t="s">
        <v>63</v>
      </c>
      <c r="F125" s="35" t="s">
        <v>202</v>
      </c>
      <c r="G125" s="52" t="s">
        <v>81</v>
      </c>
      <c r="H125" s="36" t="str">
        <f t="shared" si="145"/>
        <v>RJ-'230526-121</v>
      </c>
      <c r="I125" s="36" t="str">
        <f t="shared" si="148"/>
        <v>'23-05-2026</v>
      </c>
      <c r="J125" s="37" t="str">
        <f>VLOOKUP(D125,Laporan!$C$4:$D$34,2,0)</f>
        <v>Sabtu</v>
      </c>
      <c r="K125" s="48"/>
      <c r="L125" s="13" t="s">
        <v>33</v>
      </c>
      <c r="M125" s="19">
        <f>SUMIF('DATABASE Room'!$B$3:$B$7,L125,'DATABASE Room'!$D$3:$D$7)</f>
        <v>0</v>
      </c>
      <c r="N125" s="13">
        <v>1</v>
      </c>
      <c r="O125" s="21">
        <f t="shared" si="149"/>
        <v>0</v>
      </c>
      <c r="P125" s="38"/>
      <c r="Q125" s="19">
        <f t="shared" si="150"/>
        <v>0</v>
      </c>
      <c r="R125" s="21">
        <f t="shared" si="151"/>
        <v>0</v>
      </c>
      <c r="S125" s="19">
        <f t="shared" si="152"/>
        <v>5</v>
      </c>
      <c r="T125" s="19">
        <f t="shared" si="153"/>
        <v>20000</v>
      </c>
      <c r="U125" s="21">
        <f t="shared" si="154"/>
        <v>20000</v>
      </c>
      <c r="V125" s="39"/>
      <c r="W125" s="16">
        <v>56</v>
      </c>
      <c r="X125" s="17" t="str">
        <f>VLOOKUP(W125,'DATABASE F&amp;B'!$C$3:$F$216,2,0)</f>
        <v>BEAR BRAND 189ML</v>
      </c>
      <c r="Y125" s="18">
        <v>1</v>
      </c>
      <c r="Z125" s="19">
        <f>VLOOKUP(W125,'DATABASE F&amp;B'!$C$3:$F$216,4,0)</f>
        <v>20000</v>
      </c>
      <c r="AA125" s="19">
        <f t="shared" si="155"/>
        <v>20000</v>
      </c>
      <c r="AB125" s="16"/>
      <c r="AC125" s="17">
        <f>VLOOKUP(AB125,'DATABASE F&amp;B'!$C$3:$F$216,2,0)</f>
        <v>0</v>
      </c>
      <c r="AD125" s="18">
        <v>1</v>
      </c>
      <c r="AE125" s="19">
        <f>VLOOKUP(AB125,'DATABASE F&amp;B'!$C$3:$F$216,4,0)</f>
        <v>0</v>
      </c>
      <c r="AF125" s="19">
        <f t="shared" si="156"/>
        <v>0</v>
      </c>
      <c r="AG125" s="16"/>
      <c r="AH125" s="17">
        <f>VLOOKUP(AG125,'DATABASE F&amp;B'!$C$3:$F$216,2,0)</f>
        <v>0</v>
      </c>
      <c r="AI125" s="18">
        <v>1</v>
      </c>
      <c r="AJ125" s="19">
        <f>VLOOKUP(AG125,'DATABASE F&amp;B'!$C$3:$F$216,4,0)</f>
        <v>0</v>
      </c>
      <c r="AK125" s="19">
        <f t="shared" si="157"/>
        <v>0</v>
      </c>
      <c r="AL125" s="16"/>
      <c r="AM125" s="17">
        <f>VLOOKUP(AL125,'DATABASE F&amp;B'!$C$3:$F$216,2,0)</f>
        <v>0</v>
      </c>
      <c r="AN125" s="18">
        <v>1</v>
      </c>
      <c r="AO125" s="19">
        <f>VLOOKUP(AL125,'DATABASE F&amp;B'!$C$3:$F$216,4,0)</f>
        <v>0</v>
      </c>
      <c r="AP125" s="19">
        <f t="shared" si="158"/>
        <v>0</v>
      </c>
      <c r="AQ125" s="16"/>
      <c r="AR125" s="17">
        <f>VLOOKUP(AQ125,'DATABASE F&amp;B'!$C$3:$F$216,2,0)</f>
        <v>0</v>
      </c>
      <c r="AS125" s="18">
        <v>1</v>
      </c>
      <c r="AT125" s="19">
        <f>VLOOKUP(AQ125,'DATABASE F&amp;B'!$C$3:$F$216,4,0)</f>
        <v>0</v>
      </c>
      <c r="AU125" s="19">
        <f t="shared" si="159"/>
        <v>0</v>
      </c>
      <c r="AV125" s="16"/>
      <c r="AW125" s="17">
        <f>VLOOKUP(AV125,'DATABASE F&amp;B'!$C$3:$F$216,2,0)</f>
        <v>0</v>
      </c>
      <c r="AX125" s="18"/>
      <c r="AY125" s="19">
        <f>VLOOKUP(AV125,'DATABASE F&amp;B'!$C$3:$F$216,4,0)</f>
        <v>0</v>
      </c>
      <c r="AZ125" s="19">
        <f t="shared" si="160"/>
        <v>0</v>
      </c>
      <c r="BA125" s="16"/>
      <c r="BB125" s="17">
        <f>VLOOKUP(BA125,'DATABASE F&amp;B'!$C$3:$F$216,2,0)</f>
        <v>0</v>
      </c>
      <c r="BC125" s="18"/>
      <c r="BD125" s="19">
        <f>VLOOKUP(BA125,'DATABASE F&amp;B'!$C$3:$F$216,4,0)</f>
        <v>0</v>
      </c>
      <c r="BE125" s="19">
        <f t="shared" si="161"/>
        <v>0</v>
      </c>
      <c r="BF125" s="16"/>
      <c r="BG125" s="17">
        <f>VLOOKUP(BF125,'DATABASE F&amp;B'!$C$3:$F$216,2,0)</f>
        <v>0</v>
      </c>
      <c r="BH125" s="18"/>
      <c r="BI125" s="19">
        <f>VLOOKUP(BF125,'DATABASE F&amp;B'!$C$3:$F$216,4,0)</f>
        <v>0</v>
      </c>
      <c r="BJ125" s="19">
        <f t="shared" si="162"/>
        <v>0</v>
      </c>
      <c r="BK125" s="16"/>
      <c r="BL125" s="17">
        <f>VLOOKUP(BK125,'DATABASE F&amp;B'!$C$3:$F$210,2,0)</f>
        <v>0</v>
      </c>
      <c r="BM125" s="18"/>
      <c r="BN125" s="19">
        <f>VLOOKUP(BK125,'DATABASE F&amp;B'!$C$3:$F$210,4,0)</f>
        <v>0</v>
      </c>
      <c r="BO125" s="19">
        <f t="shared" si="163"/>
        <v>0</v>
      </c>
      <c r="BP125" s="16"/>
      <c r="BQ125" s="17">
        <f>VLOOKUP(BP125,'DATABASE F&amp;B'!$C$3:$F$210,2,0)</f>
        <v>0</v>
      </c>
      <c r="BR125" s="18"/>
      <c r="BS125" s="19">
        <f>VLOOKUP(BP125,'DATABASE F&amp;B'!$C$3:$F$210,4,0)</f>
        <v>0</v>
      </c>
      <c r="BT125" s="19">
        <f t="shared" si="164"/>
        <v>0</v>
      </c>
      <c r="BU125" s="16"/>
      <c r="BV125" s="17">
        <f>VLOOKUP(BU125,'DATABASE F&amp;B'!$C$3:$F$210,2,0)</f>
        <v>0</v>
      </c>
      <c r="BW125" s="18"/>
      <c r="BX125" s="19">
        <f>VLOOKUP(BU125,'DATABASE F&amp;B'!$C$3:$F$210,4,0)</f>
        <v>0</v>
      </c>
      <c r="BY125" s="19">
        <f t="shared" si="165"/>
        <v>0</v>
      </c>
      <c r="BZ125" s="16"/>
      <c r="CA125" s="17">
        <f>VLOOKUP(BZ125,'DATABASE F&amp;B'!$C$3:$F$210,2,0)</f>
        <v>0</v>
      </c>
      <c r="CB125" s="18"/>
      <c r="CC125" s="19">
        <f>VLOOKUP(BZ125,'DATABASE F&amp;B'!$C$3:$F$210,4,0)</f>
        <v>0</v>
      </c>
      <c r="CD125" s="19">
        <f t="shared" si="166"/>
        <v>0</v>
      </c>
    </row>
    <row r="126" spans="1:82" ht="13.5" x14ac:dyDescent="0.25">
      <c r="A126" s="32" t="str">
        <f t="shared" si="147"/>
        <v>05-'23-2026</v>
      </c>
      <c r="B126" s="22">
        <f t="shared" si="169"/>
        <v>122</v>
      </c>
      <c r="C126" s="22">
        <f t="shared" si="169"/>
        <v>122</v>
      </c>
      <c r="D126" s="34">
        <v>46165</v>
      </c>
      <c r="E126" s="35" t="s">
        <v>63</v>
      </c>
      <c r="F126" s="35" t="s">
        <v>202</v>
      </c>
      <c r="G126" s="52" t="s">
        <v>81</v>
      </c>
      <c r="H126" s="36" t="str">
        <f t="shared" si="145"/>
        <v>RJ-'230526-122</v>
      </c>
      <c r="I126" s="36" t="str">
        <f t="shared" si="148"/>
        <v>'23-05-2026</v>
      </c>
      <c r="J126" s="37" t="str">
        <f>VLOOKUP(D126,Laporan!$C$4:$D$34,2,0)</f>
        <v>Sabtu</v>
      </c>
      <c r="K126" s="48"/>
      <c r="L126" s="13" t="s">
        <v>33</v>
      </c>
      <c r="M126" s="19">
        <f>SUMIF('DATABASE Room'!$B$3:$B$7,L126,'DATABASE Room'!$D$3:$D$7)</f>
        <v>0</v>
      </c>
      <c r="N126" s="13">
        <v>1</v>
      </c>
      <c r="O126" s="21">
        <f t="shared" si="149"/>
        <v>0</v>
      </c>
      <c r="P126" s="38"/>
      <c r="Q126" s="19">
        <f t="shared" si="150"/>
        <v>0</v>
      </c>
      <c r="R126" s="21">
        <f t="shared" si="151"/>
        <v>0</v>
      </c>
      <c r="S126" s="19">
        <f t="shared" si="152"/>
        <v>5</v>
      </c>
      <c r="T126" s="19">
        <f t="shared" si="153"/>
        <v>29000</v>
      </c>
      <c r="U126" s="21">
        <f t="shared" si="154"/>
        <v>29000</v>
      </c>
      <c r="V126" s="39"/>
      <c r="W126" s="16">
        <v>57</v>
      </c>
      <c r="X126" s="17" t="str">
        <f>VLOOKUP(W126,'DATABASE F&amp;B'!$C$3:$F$216,2,0)</f>
        <v>KOPI REDJEKI</v>
      </c>
      <c r="Y126" s="18">
        <v>1</v>
      </c>
      <c r="Z126" s="19">
        <f>VLOOKUP(W126,'DATABASE F&amp;B'!$C$3:$F$216,4,0)</f>
        <v>29000</v>
      </c>
      <c r="AA126" s="19">
        <f t="shared" si="155"/>
        <v>29000</v>
      </c>
      <c r="AB126" s="16"/>
      <c r="AC126" s="17">
        <f>VLOOKUP(AB126,'DATABASE F&amp;B'!$C$3:$F$216,2,0)</f>
        <v>0</v>
      </c>
      <c r="AD126" s="18">
        <v>1</v>
      </c>
      <c r="AE126" s="19">
        <f>VLOOKUP(AB126,'DATABASE F&amp;B'!$C$3:$F$216,4,0)</f>
        <v>0</v>
      </c>
      <c r="AF126" s="19">
        <f t="shared" si="156"/>
        <v>0</v>
      </c>
      <c r="AG126" s="16"/>
      <c r="AH126" s="17">
        <f>VLOOKUP(AG126,'DATABASE F&amp;B'!$C$3:$F$216,2,0)</f>
        <v>0</v>
      </c>
      <c r="AI126" s="18">
        <v>1</v>
      </c>
      <c r="AJ126" s="19">
        <f>VLOOKUP(AG126,'DATABASE F&amp;B'!$C$3:$F$216,4,0)</f>
        <v>0</v>
      </c>
      <c r="AK126" s="19">
        <f t="shared" si="157"/>
        <v>0</v>
      </c>
      <c r="AL126" s="16"/>
      <c r="AM126" s="17">
        <f>VLOOKUP(AL126,'DATABASE F&amp;B'!$C$3:$F$216,2,0)</f>
        <v>0</v>
      </c>
      <c r="AN126" s="18">
        <v>1</v>
      </c>
      <c r="AO126" s="19">
        <f>VLOOKUP(AL126,'DATABASE F&amp;B'!$C$3:$F$216,4,0)</f>
        <v>0</v>
      </c>
      <c r="AP126" s="19">
        <f t="shared" si="158"/>
        <v>0</v>
      </c>
      <c r="AQ126" s="16"/>
      <c r="AR126" s="17">
        <f>VLOOKUP(AQ126,'DATABASE F&amp;B'!$C$3:$F$216,2,0)</f>
        <v>0</v>
      </c>
      <c r="AS126" s="18">
        <v>1</v>
      </c>
      <c r="AT126" s="19">
        <f>VLOOKUP(AQ126,'DATABASE F&amp;B'!$C$3:$F$216,4,0)</f>
        <v>0</v>
      </c>
      <c r="AU126" s="19">
        <f t="shared" si="159"/>
        <v>0</v>
      </c>
      <c r="AV126" s="16"/>
      <c r="AW126" s="17">
        <f>VLOOKUP(AV126,'DATABASE F&amp;B'!$C$3:$F$216,2,0)</f>
        <v>0</v>
      </c>
      <c r="AX126" s="18"/>
      <c r="AY126" s="19">
        <f>VLOOKUP(AV126,'DATABASE F&amp;B'!$C$3:$F$216,4,0)</f>
        <v>0</v>
      </c>
      <c r="AZ126" s="19">
        <f t="shared" si="160"/>
        <v>0</v>
      </c>
      <c r="BA126" s="16"/>
      <c r="BB126" s="17">
        <f>VLOOKUP(BA126,'DATABASE F&amp;B'!$C$3:$F$216,2,0)</f>
        <v>0</v>
      </c>
      <c r="BC126" s="18"/>
      <c r="BD126" s="19">
        <f>VLOOKUP(BA126,'DATABASE F&amp;B'!$C$3:$F$216,4,0)</f>
        <v>0</v>
      </c>
      <c r="BE126" s="19">
        <f t="shared" si="161"/>
        <v>0</v>
      </c>
      <c r="BF126" s="16"/>
      <c r="BG126" s="17">
        <f>VLOOKUP(BF126,'DATABASE F&amp;B'!$C$3:$F$216,2,0)</f>
        <v>0</v>
      </c>
      <c r="BH126" s="18"/>
      <c r="BI126" s="19">
        <f>VLOOKUP(BF126,'DATABASE F&amp;B'!$C$3:$F$216,4,0)</f>
        <v>0</v>
      </c>
      <c r="BJ126" s="19">
        <f t="shared" si="162"/>
        <v>0</v>
      </c>
      <c r="BK126" s="16"/>
      <c r="BL126" s="17">
        <f>VLOOKUP(BK126,'DATABASE F&amp;B'!$C$3:$F$210,2,0)</f>
        <v>0</v>
      </c>
      <c r="BM126" s="18"/>
      <c r="BN126" s="19">
        <f>VLOOKUP(BK126,'DATABASE F&amp;B'!$C$3:$F$210,4,0)</f>
        <v>0</v>
      </c>
      <c r="BO126" s="19">
        <f t="shared" si="163"/>
        <v>0</v>
      </c>
      <c r="BP126" s="16"/>
      <c r="BQ126" s="17">
        <f>VLOOKUP(BP126,'DATABASE F&amp;B'!$C$3:$F$210,2,0)</f>
        <v>0</v>
      </c>
      <c r="BR126" s="18"/>
      <c r="BS126" s="19">
        <f>VLOOKUP(BP126,'DATABASE F&amp;B'!$C$3:$F$210,4,0)</f>
        <v>0</v>
      </c>
      <c r="BT126" s="19">
        <f t="shared" si="164"/>
        <v>0</v>
      </c>
      <c r="BU126" s="16"/>
      <c r="BV126" s="17">
        <f>VLOOKUP(BU126,'DATABASE F&amp;B'!$C$3:$F$210,2,0)</f>
        <v>0</v>
      </c>
      <c r="BW126" s="18"/>
      <c r="BX126" s="19">
        <f>VLOOKUP(BU126,'DATABASE F&amp;B'!$C$3:$F$210,4,0)</f>
        <v>0</v>
      </c>
      <c r="BY126" s="19">
        <f t="shared" si="165"/>
        <v>0</v>
      </c>
      <c r="BZ126" s="16"/>
      <c r="CA126" s="17">
        <f>VLOOKUP(BZ126,'DATABASE F&amp;B'!$C$3:$F$210,2,0)</f>
        <v>0</v>
      </c>
      <c r="CB126" s="18"/>
      <c r="CC126" s="19">
        <f>VLOOKUP(BZ126,'DATABASE F&amp;B'!$C$3:$F$210,4,0)</f>
        <v>0</v>
      </c>
      <c r="CD126" s="19">
        <f t="shared" si="166"/>
        <v>0</v>
      </c>
    </row>
    <row r="127" spans="1:82" ht="13.5" x14ac:dyDescent="0.25">
      <c r="A127" s="32" t="str">
        <f t="shared" si="147"/>
        <v>05-'23-2026</v>
      </c>
      <c r="B127" s="22">
        <f t="shared" si="169"/>
        <v>123</v>
      </c>
      <c r="C127" s="22">
        <f t="shared" si="169"/>
        <v>123</v>
      </c>
      <c r="D127" s="34">
        <v>46165</v>
      </c>
      <c r="E127" s="35" t="s">
        <v>63</v>
      </c>
      <c r="F127" s="35" t="s">
        <v>202</v>
      </c>
      <c r="G127" s="52" t="s">
        <v>81</v>
      </c>
      <c r="H127" s="36" t="str">
        <f t="shared" si="145"/>
        <v>RJ-'230526-123</v>
      </c>
      <c r="I127" s="36" t="str">
        <f t="shared" si="148"/>
        <v>'23-05-2026</v>
      </c>
      <c r="J127" s="37" t="str">
        <f>VLOOKUP(D127,Laporan!$C$4:$D$34,2,0)</f>
        <v>Sabtu</v>
      </c>
      <c r="K127" s="48"/>
      <c r="L127" s="13" t="s">
        <v>33</v>
      </c>
      <c r="M127" s="19">
        <f>SUMIF('DATABASE Room'!$B$3:$B$7,L127,'DATABASE Room'!$D$3:$D$7)</f>
        <v>0</v>
      </c>
      <c r="N127" s="13">
        <v>1</v>
      </c>
      <c r="O127" s="21">
        <f t="shared" si="149"/>
        <v>0</v>
      </c>
      <c r="P127" s="38"/>
      <c r="Q127" s="19">
        <f t="shared" si="150"/>
        <v>0</v>
      </c>
      <c r="R127" s="21">
        <f t="shared" si="151"/>
        <v>0</v>
      </c>
      <c r="S127" s="19">
        <f t="shared" si="152"/>
        <v>5</v>
      </c>
      <c r="T127" s="19">
        <f t="shared" si="153"/>
        <v>29000</v>
      </c>
      <c r="U127" s="21">
        <f t="shared" si="154"/>
        <v>29000</v>
      </c>
      <c r="V127" s="39"/>
      <c r="W127" s="16">
        <v>58</v>
      </c>
      <c r="X127" s="17" t="str">
        <f>VLOOKUP(W127,'DATABASE F&amp;B'!$C$3:$F$216,2,0)</f>
        <v>KOPSU REDJEKI</v>
      </c>
      <c r="Y127" s="18">
        <v>1</v>
      </c>
      <c r="Z127" s="19">
        <f>VLOOKUP(W127,'DATABASE F&amp;B'!$C$3:$F$216,4,0)</f>
        <v>29000</v>
      </c>
      <c r="AA127" s="19">
        <f t="shared" si="155"/>
        <v>29000</v>
      </c>
      <c r="AB127" s="16"/>
      <c r="AC127" s="17">
        <f>VLOOKUP(AB127,'DATABASE F&amp;B'!$C$3:$F$216,2,0)</f>
        <v>0</v>
      </c>
      <c r="AD127" s="18">
        <v>1</v>
      </c>
      <c r="AE127" s="19">
        <f>VLOOKUP(AB127,'DATABASE F&amp;B'!$C$3:$F$216,4,0)</f>
        <v>0</v>
      </c>
      <c r="AF127" s="19">
        <f t="shared" si="156"/>
        <v>0</v>
      </c>
      <c r="AG127" s="16"/>
      <c r="AH127" s="17">
        <f>VLOOKUP(AG127,'DATABASE F&amp;B'!$C$3:$F$216,2,0)</f>
        <v>0</v>
      </c>
      <c r="AI127" s="18">
        <v>1</v>
      </c>
      <c r="AJ127" s="19">
        <f>VLOOKUP(AG127,'DATABASE F&amp;B'!$C$3:$F$216,4,0)</f>
        <v>0</v>
      </c>
      <c r="AK127" s="19">
        <f t="shared" si="157"/>
        <v>0</v>
      </c>
      <c r="AL127" s="16"/>
      <c r="AM127" s="17">
        <f>VLOOKUP(AL127,'DATABASE F&amp;B'!$C$3:$F$216,2,0)</f>
        <v>0</v>
      </c>
      <c r="AN127" s="18">
        <v>1</v>
      </c>
      <c r="AO127" s="19">
        <f>VLOOKUP(AL127,'DATABASE F&amp;B'!$C$3:$F$216,4,0)</f>
        <v>0</v>
      </c>
      <c r="AP127" s="19">
        <f t="shared" si="158"/>
        <v>0</v>
      </c>
      <c r="AQ127" s="16"/>
      <c r="AR127" s="17">
        <f>VLOOKUP(AQ127,'DATABASE F&amp;B'!$C$3:$F$216,2,0)</f>
        <v>0</v>
      </c>
      <c r="AS127" s="18">
        <v>1</v>
      </c>
      <c r="AT127" s="19">
        <f>VLOOKUP(AQ127,'DATABASE F&amp;B'!$C$3:$F$216,4,0)</f>
        <v>0</v>
      </c>
      <c r="AU127" s="19">
        <f t="shared" si="159"/>
        <v>0</v>
      </c>
      <c r="AV127" s="16"/>
      <c r="AW127" s="17">
        <f>VLOOKUP(AV127,'DATABASE F&amp;B'!$C$3:$F$216,2,0)</f>
        <v>0</v>
      </c>
      <c r="AX127" s="18"/>
      <c r="AY127" s="19">
        <f>VLOOKUP(AV127,'DATABASE F&amp;B'!$C$3:$F$216,4,0)</f>
        <v>0</v>
      </c>
      <c r="AZ127" s="19">
        <f t="shared" si="160"/>
        <v>0</v>
      </c>
      <c r="BA127" s="16"/>
      <c r="BB127" s="17">
        <f>VLOOKUP(BA127,'DATABASE F&amp;B'!$C$3:$F$216,2,0)</f>
        <v>0</v>
      </c>
      <c r="BC127" s="18"/>
      <c r="BD127" s="19">
        <f>VLOOKUP(BA127,'DATABASE F&amp;B'!$C$3:$F$216,4,0)</f>
        <v>0</v>
      </c>
      <c r="BE127" s="19">
        <f t="shared" si="161"/>
        <v>0</v>
      </c>
      <c r="BF127" s="16"/>
      <c r="BG127" s="17">
        <f>VLOOKUP(BF127,'DATABASE F&amp;B'!$C$3:$F$216,2,0)</f>
        <v>0</v>
      </c>
      <c r="BH127" s="18"/>
      <c r="BI127" s="19">
        <f>VLOOKUP(BF127,'DATABASE F&amp;B'!$C$3:$F$216,4,0)</f>
        <v>0</v>
      </c>
      <c r="BJ127" s="19">
        <f t="shared" si="162"/>
        <v>0</v>
      </c>
      <c r="BK127" s="16"/>
      <c r="BL127" s="17">
        <f>VLOOKUP(BK127,'DATABASE F&amp;B'!$C$3:$F$210,2,0)</f>
        <v>0</v>
      </c>
      <c r="BM127" s="18"/>
      <c r="BN127" s="19">
        <f>VLOOKUP(BK127,'DATABASE F&amp;B'!$C$3:$F$210,4,0)</f>
        <v>0</v>
      </c>
      <c r="BO127" s="19">
        <f t="shared" si="163"/>
        <v>0</v>
      </c>
      <c r="BP127" s="16"/>
      <c r="BQ127" s="17">
        <f>VLOOKUP(BP127,'DATABASE F&amp;B'!$C$3:$F$210,2,0)</f>
        <v>0</v>
      </c>
      <c r="BR127" s="18"/>
      <c r="BS127" s="19">
        <f>VLOOKUP(BP127,'DATABASE F&amp;B'!$C$3:$F$210,4,0)</f>
        <v>0</v>
      </c>
      <c r="BT127" s="19">
        <f t="shared" si="164"/>
        <v>0</v>
      </c>
      <c r="BU127" s="16"/>
      <c r="BV127" s="17">
        <f>VLOOKUP(BU127,'DATABASE F&amp;B'!$C$3:$F$210,2,0)</f>
        <v>0</v>
      </c>
      <c r="BW127" s="18"/>
      <c r="BX127" s="19">
        <f>VLOOKUP(BU127,'DATABASE F&amp;B'!$C$3:$F$210,4,0)</f>
        <v>0</v>
      </c>
      <c r="BY127" s="19">
        <f t="shared" si="165"/>
        <v>0</v>
      </c>
      <c r="BZ127" s="16"/>
      <c r="CA127" s="17">
        <f>VLOOKUP(BZ127,'DATABASE F&amp;B'!$C$3:$F$210,2,0)</f>
        <v>0</v>
      </c>
      <c r="CB127" s="18"/>
      <c r="CC127" s="19">
        <f>VLOOKUP(BZ127,'DATABASE F&amp;B'!$C$3:$F$210,4,0)</f>
        <v>0</v>
      </c>
      <c r="CD127" s="19">
        <f t="shared" si="166"/>
        <v>0</v>
      </c>
    </row>
    <row r="128" spans="1:82" ht="13.5" x14ac:dyDescent="0.25">
      <c r="A128" s="32" t="str">
        <f t="shared" si="147"/>
        <v>05-'23-2026</v>
      </c>
      <c r="B128" s="22">
        <f t="shared" si="169"/>
        <v>124</v>
      </c>
      <c r="C128" s="22">
        <f t="shared" si="169"/>
        <v>124</v>
      </c>
      <c r="D128" s="34">
        <v>46165</v>
      </c>
      <c r="E128" s="35" t="s">
        <v>63</v>
      </c>
      <c r="F128" s="35" t="s">
        <v>202</v>
      </c>
      <c r="G128" s="52" t="s">
        <v>81</v>
      </c>
      <c r="H128" s="36" t="str">
        <f t="shared" si="145"/>
        <v>RJ-'230526-124</v>
      </c>
      <c r="I128" s="36" t="str">
        <f t="shared" si="148"/>
        <v>'23-05-2026</v>
      </c>
      <c r="J128" s="37" t="str">
        <f>VLOOKUP(D128,Laporan!$C$4:$D$34,2,0)</f>
        <v>Sabtu</v>
      </c>
      <c r="K128" s="48"/>
      <c r="L128" s="13" t="s">
        <v>33</v>
      </c>
      <c r="M128" s="19">
        <f>SUMIF('DATABASE Room'!$B$3:$B$7,L128,'DATABASE Room'!$D$3:$D$7)</f>
        <v>0</v>
      </c>
      <c r="N128" s="13">
        <v>1</v>
      </c>
      <c r="O128" s="21">
        <f t="shared" si="149"/>
        <v>0</v>
      </c>
      <c r="P128" s="38"/>
      <c r="Q128" s="19">
        <f t="shared" si="150"/>
        <v>0</v>
      </c>
      <c r="R128" s="21">
        <f t="shared" si="151"/>
        <v>0</v>
      </c>
      <c r="S128" s="19">
        <f t="shared" si="152"/>
        <v>5</v>
      </c>
      <c r="T128" s="19">
        <f t="shared" si="153"/>
        <v>27500</v>
      </c>
      <c r="U128" s="21">
        <f t="shared" si="154"/>
        <v>27500</v>
      </c>
      <c r="V128" s="39"/>
      <c r="W128" s="16">
        <v>59</v>
      </c>
      <c r="X128" s="17" t="str">
        <f>VLOOKUP(W128,'DATABASE F&amp;B'!$C$3:$F$216,2,0)</f>
        <v>KOPI AMERICANO</v>
      </c>
      <c r="Y128" s="18">
        <v>1</v>
      </c>
      <c r="Z128" s="19">
        <f>VLOOKUP(W128,'DATABASE F&amp;B'!$C$3:$F$216,4,0)</f>
        <v>27500</v>
      </c>
      <c r="AA128" s="19">
        <f t="shared" si="155"/>
        <v>27500</v>
      </c>
      <c r="AB128" s="16"/>
      <c r="AC128" s="17">
        <f>VLOOKUP(AB128,'DATABASE F&amp;B'!$C$3:$F$216,2,0)</f>
        <v>0</v>
      </c>
      <c r="AD128" s="18">
        <v>1</v>
      </c>
      <c r="AE128" s="19">
        <f>VLOOKUP(AB128,'DATABASE F&amp;B'!$C$3:$F$216,4,0)</f>
        <v>0</v>
      </c>
      <c r="AF128" s="19">
        <f t="shared" si="156"/>
        <v>0</v>
      </c>
      <c r="AG128" s="16"/>
      <c r="AH128" s="17">
        <f>VLOOKUP(AG128,'DATABASE F&amp;B'!$C$3:$F$216,2,0)</f>
        <v>0</v>
      </c>
      <c r="AI128" s="18">
        <v>1</v>
      </c>
      <c r="AJ128" s="19">
        <f>VLOOKUP(AG128,'DATABASE F&amp;B'!$C$3:$F$216,4,0)</f>
        <v>0</v>
      </c>
      <c r="AK128" s="19">
        <f t="shared" si="157"/>
        <v>0</v>
      </c>
      <c r="AL128" s="16"/>
      <c r="AM128" s="17">
        <f>VLOOKUP(AL128,'DATABASE F&amp;B'!$C$3:$F$216,2,0)</f>
        <v>0</v>
      </c>
      <c r="AN128" s="18">
        <v>1</v>
      </c>
      <c r="AO128" s="19">
        <f>VLOOKUP(AL128,'DATABASE F&amp;B'!$C$3:$F$216,4,0)</f>
        <v>0</v>
      </c>
      <c r="AP128" s="19">
        <f t="shared" si="158"/>
        <v>0</v>
      </c>
      <c r="AQ128" s="16"/>
      <c r="AR128" s="17">
        <f>VLOOKUP(AQ128,'DATABASE F&amp;B'!$C$3:$F$216,2,0)</f>
        <v>0</v>
      </c>
      <c r="AS128" s="18">
        <v>1</v>
      </c>
      <c r="AT128" s="19">
        <f>VLOOKUP(AQ128,'DATABASE F&amp;B'!$C$3:$F$216,4,0)</f>
        <v>0</v>
      </c>
      <c r="AU128" s="19">
        <f t="shared" si="159"/>
        <v>0</v>
      </c>
      <c r="AV128" s="16"/>
      <c r="AW128" s="17">
        <f>VLOOKUP(AV128,'DATABASE F&amp;B'!$C$3:$F$216,2,0)</f>
        <v>0</v>
      </c>
      <c r="AX128" s="18"/>
      <c r="AY128" s="19">
        <f>VLOOKUP(AV128,'DATABASE F&amp;B'!$C$3:$F$216,4,0)</f>
        <v>0</v>
      </c>
      <c r="AZ128" s="19">
        <f t="shared" si="160"/>
        <v>0</v>
      </c>
      <c r="BA128" s="16"/>
      <c r="BB128" s="17">
        <f>VLOOKUP(BA128,'DATABASE F&amp;B'!$C$3:$F$216,2,0)</f>
        <v>0</v>
      </c>
      <c r="BC128" s="18"/>
      <c r="BD128" s="19">
        <f>VLOOKUP(BA128,'DATABASE F&amp;B'!$C$3:$F$216,4,0)</f>
        <v>0</v>
      </c>
      <c r="BE128" s="19">
        <f t="shared" si="161"/>
        <v>0</v>
      </c>
      <c r="BF128" s="16"/>
      <c r="BG128" s="17">
        <f>VLOOKUP(BF128,'DATABASE F&amp;B'!$C$3:$F$216,2,0)</f>
        <v>0</v>
      </c>
      <c r="BH128" s="18"/>
      <c r="BI128" s="19">
        <f>VLOOKUP(BF128,'DATABASE F&amp;B'!$C$3:$F$216,4,0)</f>
        <v>0</v>
      </c>
      <c r="BJ128" s="19">
        <f t="shared" si="162"/>
        <v>0</v>
      </c>
      <c r="BK128" s="16"/>
      <c r="BL128" s="17">
        <f>VLOOKUP(BK128,'DATABASE F&amp;B'!$C$3:$F$210,2,0)</f>
        <v>0</v>
      </c>
      <c r="BM128" s="18"/>
      <c r="BN128" s="19">
        <f>VLOOKUP(BK128,'DATABASE F&amp;B'!$C$3:$F$210,4,0)</f>
        <v>0</v>
      </c>
      <c r="BO128" s="19">
        <f t="shared" si="163"/>
        <v>0</v>
      </c>
      <c r="BP128" s="16"/>
      <c r="BQ128" s="17">
        <f>VLOOKUP(BP128,'DATABASE F&amp;B'!$C$3:$F$210,2,0)</f>
        <v>0</v>
      </c>
      <c r="BR128" s="18"/>
      <c r="BS128" s="19">
        <f>VLOOKUP(BP128,'DATABASE F&amp;B'!$C$3:$F$210,4,0)</f>
        <v>0</v>
      </c>
      <c r="BT128" s="19">
        <f t="shared" si="164"/>
        <v>0</v>
      </c>
      <c r="BU128" s="16"/>
      <c r="BV128" s="17">
        <f>VLOOKUP(BU128,'DATABASE F&amp;B'!$C$3:$F$210,2,0)</f>
        <v>0</v>
      </c>
      <c r="BW128" s="18"/>
      <c r="BX128" s="19">
        <f>VLOOKUP(BU128,'DATABASE F&amp;B'!$C$3:$F$210,4,0)</f>
        <v>0</v>
      </c>
      <c r="BY128" s="19">
        <f t="shared" si="165"/>
        <v>0</v>
      </c>
      <c r="BZ128" s="16"/>
      <c r="CA128" s="17">
        <f>VLOOKUP(BZ128,'DATABASE F&amp;B'!$C$3:$F$210,2,0)</f>
        <v>0</v>
      </c>
      <c r="CB128" s="18"/>
      <c r="CC128" s="19">
        <f>VLOOKUP(BZ128,'DATABASE F&amp;B'!$C$3:$F$210,4,0)</f>
        <v>0</v>
      </c>
      <c r="CD128" s="19">
        <f t="shared" si="166"/>
        <v>0</v>
      </c>
    </row>
    <row r="129" spans="1:82" ht="13.5" x14ac:dyDescent="0.25">
      <c r="A129" s="32" t="str">
        <f t="shared" si="147"/>
        <v>05-'23-2026</v>
      </c>
      <c r="B129" s="22">
        <f t="shared" si="169"/>
        <v>125</v>
      </c>
      <c r="C129" s="22">
        <f t="shared" si="169"/>
        <v>125</v>
      </c>
      <c r="D129" s="34">
        <v>46165</v>
      </c>
      <c r="E129" s="35" t="s">
        <v>63</v>
      </c>
      <c r="F129" s="35" t="s">
        <v>202</v>
      </c>
      <c r="G129" s="52" t="s">
        <v>81</v>
      </c>
      <c r="H129" s="36" t="str">
        <f t="shared" si="145"/>
        <v>RJ-'230526-125</v>
      </c>
      <c r="I129" s="36" t="str">
        <f t="shared" si="148"/>
        <v>'23-05-2026</v>
      </c>
      <c r="J129" s="37" t="str">
        <f>VLOOKUP(D129,Laporan!$C$4:$D$34,2,0)</f>
        <v>Sabtu</v>
      </c>
      <c r="K129" s="48"/>
      <c r="L129" s="13" t="s">
        <v>33</v>
      </c>
      <c r="M129" s="19">
        <f>SUMIF('DATABASE Room'!$B$3:$B$7,L129,'DATABASE Room'!$D$3:$D$7)</f>
        <v>0</v>
      </c>
      <c r="N129" s="13">
        <v>1</v>
      </c>
      <c r="O129" s="21">
        <f t="shared" si="149"/>
        <v>0</v>
      </c>
      <c r="P129" s="38"/>
      <c r="Q129" s="19">
        <f t="shared" si="150"/>
        <v>0</v>
      </c>
      <c r="R129" s="21">
        <f t="shared" si="151"/>
        <v>0</v>
      </c>
      <c r="S129" s="19">
        <f t="shared" si="152"/>
        <v>5</v>
      </c>
      <c r="T129" s="19">
        <f t="shared" si="153"/>
        <v>140000</v>
      </c>
      <c r="U129" s="21">
        <f t="shared" si="154"/>
        <v>140000</v>
      </c>
      <c r="V129" s="39"/>
      <c r="W129" s="16">
        <v>60</v>
      </c>
      <c r="X129" s="17" t="str">
        <f>VLOOKUP(W129,'DATABASE F&amp;B'!$C$3:$F$216,2,0)</f>
        <v>ANKER PINEAPPLE 330 ML</v>
      </c>
      <c r="Y129" s="18">
        <v>1</v>
      </c>
      <c r="Z129" s="19">
        <f>VLOOKUP(W129,'DATABASE F&amp;B'!$C$3:$F$216,4,0)</f>
        <v>30000</v>
      </c>
      <c r="AA129" s="19">
        <f t="shared" si="155"/>
        <v>30000</v>
      </c>
      <c r="AB129" s="16">
        <v>89</v>
      </c>
      <c r="AC129" s="17" t="str">
        <f>VLOOKUP(AB129,'DATABASE F&amp;B'!$C$3:$F$216,2,0)</f>
        <v>ANGGUR MERAH GOLD</v>
      </c>
      <c r="AD129" s="18">
        <v>1</v>
      </c>
      <c r="AE129" s="19">
        <f>VLOOKUP(AB129,'DATABASE F&amp;B'!$C$3:$F$216,4,0)</f>
        <v>110000</v>
      </c>
      <c r="AF129" s="19">
        <f t="shared" si="156"/>
        <v>110000</v>
      </c>
      <c r="AG129" s="16"/>
      <c r="AH129" s="17">
        <f>VLOOKUP(AG129,'DATABASE F&amp;B'!$C$3:$F$216,2,0)</f>
        <v>0</v>
      </c>
      <c r="AI129" s="18">
        <v>1</v>
      </c>
      <c r="AJ129" s="19">
        <f>VLOOKUP(AG129,'DATABASE F&amp;B'!$C$3:$F$216,4,0)</f>
        <v>0</v>
      </c>
      <c r="AK129" s="19">
        <f t="shared" si="157"/>
        <v>0</v>
      </c>
      <c r="AL129" s="16"/>
      <c r="AM129" s="17">
        <f>VLOOKUP(AL129,'DATABASE F&amp;B'!$C$3:$F$216,2,0)</f>
        <v>0</v>
      </c>
      <c r="AN129" s="18">
        <v>1</v>
      </c>
      <c r="AO129" s="19">
        <f>VLOOKUP(AL129,'DATABASE F&amp;B'!$C$3:$F$216,4,0)</f>
        <v>0</v>
      </c>
      <c r="AP129" s="19">
        <f t="shared" si="158"/>
        <v>0</v>
      </c>
      <c r="AQ129" s="16"/>
      <c r="AR129" s="17">
        <f>VLOOKUP(AQ129,'DATABASE F&amp;B'!$C$3:$F$216,2,0)</f>
        <v>0</v>
      </c>
      <c r="AS129" s="18">
        <v>1</v>
      </c>
      <c r="AT129" s="19">
        <f>VLOOKUP(AQ129,'DATABASE F&amp;B'!$C$3:$F$216,4,0)</f>
        <v>0</v>
      </c>
      <c r="AU129" s="19">
        <f t="shared" si="159"/>
        <v>0</v>
      </c>
      <c r="AV129" s="16"/>
      <c r="AW129" s="17">
        <f>VLOOKUP(AV129,'DATABASE F&amp;B'!$C$3:$F$216,2,0)</f>
        <v>0</v>
      </c>
      <c r="AX129" s="18"/>
      <c r="AY129" s="19">
        <f>VLOOKUP(AV129,'DATABASE F&amp;B'!$C$3:$F$216,4,0)</f>
        <v>0</v>
      </c>
      <c r="AZ129" s="19">
        <f t="shared" si="160"/>
        <v>0</v>
      </c>
      <c r="BA129" s="16"/>
      <c r="BB129" s="17">
        <f>VLOOKUP(BA129,'DATABASE F&amp;B'!$C$3:$F$216,2,0)</f>
        <v>0</v>
      </c>
      <c r="BC129" s="18"/>
      <c r="BD129" s="19">
        <f>VLOOKUP(BA129,'DATABASE F&amp;B'!$C$3:$F$216,4,0)</f>
        <v>0</v>
      </c>
      <c r="BE129" s="19">
        <f t="shared" si="161"/>
        <v>0</v>
      </c>
      <c r="BF129" s="16"/>
      <c r="BG129" s="17">
        <f>VLOOKUP(BF129,'DATABASE F&amp;B'!$C$3:$F$216,2,0)</f>
        <v>0</v>
      </c>
      <c r="BH129" s="18"/>
      <c r="BI129" s="19">
        <f>VLOOKUP(BF129,'DATABASE F&amp;B'!$C$3:$F$216,4,0)</f>
        <v>0</v>
      </c>
      <c r="BJ129" s="19">
        <f t="shared" si="162"/>
        <v>0</v>
      </c>
      <c r="BK129" s="16"/>
      <c r="BL129" s="17">
        <f>VLOOKUP(BK129,'DATABASE F&amp;B'!$C$3:$F$210,2,0)</f>
        <v>0</v>
      </c>
      <c r="BM129" s="18"/>
      <c r="BN129" s="19">
        <f>VLOOKUP(BK129,'DATABASE F&amp;B'!$C$3:$F$210,4,0)</f>
        <v>0</v>
      </c>
      <c r="BO129" s="19">
        <f t="shared" si="163"/>
        <v>0</v>
      </c>
      <c r="BP129" s="16"/>
      <c r="BQ129" s="17">
        <f>VLOOKUP(BP129,'DATABASE F&amp;B'!$C$3:$F$210,2,0)</f>
        <v>0</v>
      </c>
      <c r="BR129" s="18"/>
      <c r="BS129" s="19">
        <f>VLOOKUP(BP129,'DATABASE F&amp;B'!$C$3:$F$210,4,0)</f>
        <v>0</v>
      </c>
      <c r="BT129" s="19">
        <f t="shared" si="164"/>
        <v>0</v>
      </c>
      <c r="BU129" s="16"/>
      <c r="BV129" s="17">
        <f>VLOOKUP(BU129,'DATABASE F&amp;B'!$C$3:$F$210,2,0)</f>
        <v>0</v>
      </c>
      <c r="BW129" s="18"/>
      <c r="BX129" s="19">
        <f>VLOOKUP(BU129,'DATABASE F&amp;B'!$C$3:$F$210,4,0)</f>
        <v>0</v>
      </c>
      <c r="BY129" s="19">
        <f t="shared" si="165"/>
        <v>0</v>
      </c>
      <c r="BZ129" s="16"/>
      <c r="CA129" s="17">
        <f>VLOOKUP(BZ129,'DATABASE F&amp;B'!$C$3:$F$210,2,0)</f>
        <v>0</v>
      </c>
      <c r="CB129" s="18"/>
      <c r="CC129" s="19">
        <f>VLOOKUP(BZ129,'DATABASE F&amp;B'!$C$3:$F$210,4,0)</f>
        <v>0</v>
      </c>
      <c r="CD129" s="19">
        <f t="shared" si="166"/>
        <v>0</v>
      </c>
    </row>
    <row r="130" spans="1:82" ht="13.5" x14ac:dyDescent="0.25">
      <c r="A130" s="32" t="str">
        <f t="shared" si="147"/>
        <v>05-'23-2026</v>
      </c>
      <c r="B130" s="22">
        <f t="shared" si="169"/>
        <v>126</v>
      </c>
      <c r="C130" s="22">
        <f t="shared" si="169"/>
        <v>126</v>
      </c>
      <c r="D130" s="34">
        <v>46165</v>
      </c>
      <c r="E130" s="35" t="s">
        <v>63</v>
      </c>
      <c r="F130" s="35" t="s">
        <v>202</v>
      </c>
      <c r="G130" s="52" t="s">
        <v>81</v>
      </c>
      <c r="H130" s="36" t="str">
        <f t="shared" si="145"/>
        <v>RJ-'230526-126</v>
      </c>
      <c r="I130" s="36" t="str">
        <f t="shared" si="148"/>
        <v>'23-05-2026</v>
      </c>
      <c r="J130" s="37" t="str">
        <f>VLOOKUP(D130,Laporan!$C$4:$D$34,2,0)</f>
        <v>Sabtu</v>
      </c>
      <c r="K130" s="48"/>
      <c r="L130" s="13" t="s">
        <v>33</v>
      </c>
      <c r="M130" s="19">
        <f>SUMIF('DATABASE Room'!$B$3:$B$7,L130,'DATABASE Room'!$D$3:$D$7)</f>
        <v>0</v>
      </c>
      <c r="N130" s="13">
        <v>1</v>
      </c>
      <c r="O130" s="21">
        <f t="shared" si="149"/>
        <v>0</v>
      </c>
      <c r="P130" s="38"/>
      <c r="Q130" s="19">
        <f t="shared" si="150"/>
        <v>0</v>
      </c>
      <c r="R130" s="21">
        <f t="shared" si="151"/>
        <v>0</v>
      </c>
      <c r="S130" s="19">
        <f t="shared" si="152"/>
        <v>5</v>
      </c>
      <c r="T130" s="19">
        <f t="shared" si="153"/>
        <v>30000</v>
      </c>
      <c r="U130" s="21">
        <f t="shared" si="154"/>
        <v>30000</v>
      </c>
      <c r="V130" s="39"/>
      <c r="W130" s="16">
        <v>61</v>
      </c>
      <c r="X130" s="17" t="str">
        <f>VLOOKUP(W130,'DATABASE F&amp;B'!$C$3:$F$216,2,0)</f>
        <v>ANKER PINT</v>
      </c>
      <c r="Y130" s="18">
        <v>1</v>
      </c>
      <c r="Z130" s="19">
        <f>VLOOKUP(W130,'DATABASE F&amp;B'!$C$3:$F$216,4,0)</f>
        <v>30000</v>
      </c>
      <c r="AA130" s="19">
        <f t="shared" si="155"/>
        <v>30000</v>
      </c>
      <c r="AB130" s="16"/>
      <c r="AC130" s="17">
        <f>VLOOKUP(AB130,'DATABASE F&amp;B'!$C$3:$F$216,2,0)</f>
        <v>0</v>
      </c>
      <c r="AD130" s="18">
        <v>1</v>
      </c>
      <c r="AE130" s="19">
        <f>VLOOKUP(AB130,'DATABASE F&amp;B'!$C$3:$F$216,4,0)</f>
        <v>0</v>
      </c>
      <c r="AF130" s="19">
        <f t="shared" si="156"/>
        <v>0</v>
      </c>
      <c r="AG130" s="16"/>
      <c r="AH130" s="17">
        <f>VLOOKUP(AG130,'DATABASE F&amp;B'!$C$3:$F$216,2,0)</f>
        <v>0</v>
      </c>
      <c r="AI130" s="18">
        <v>1</v>
      </c>
      <c r="AJ130" s="19">
        <f>VLOOKUP(AG130,'DATABASE F&amp;B'!$C$3:$F$216,4,0)</f>
        <v>0</v>
      </c>
      <c r="AK130" s="19">
        <f t="shared" si="157"/>
        <v>0</v>
      </c>
      <c r="AL130" s="16"/>
      <c r="AM130" s="17">
        <f>VLOOKUP(AL130,'DATABASE F&amp;B'!$C$3:$F$216,2,0)</f>
        <v>0</v>
      </c>
      <c r="AN130" s="18">
        <v>1</v>
      </c>
      <c r="AO130" s="19">
        <f>VLOOKUP(AL130,'DATABASE F&amp;B'!$C$3:$F$216,4,0)</f>
        <v>0</v>
      </c>
      <c r="AP130" s="19">
        <f t="shared" si="158"/>
        <v>0</v>
      </c>
      <c r="AQ130" s="16"/>
      <c r="AR130" s="17">
        <f>VLOOKUP(AQ130,'DATABASE F&amp;B'!$C$3:$F$216,2,0)</f>
        <v>0</v>
      </c>
      <c r="AS130" s="18">
        <v>1</v>
      </c>
      <c r="AT130" s="19">
        <f>VLOOKUP(AQ130,'DATABASE F&amp;B'!$C$3:$F$216,4,0)</f>
        <v>0</v>
      </c>
      <c r="AU130" s="19">
        <f t="shared" si="159"/>
        <v>0</v>
      </c>
      <c r="AV130" s="16"/>
      <c r="AW130" s="17">
        <f>VLOOKUP(AV130,'DATABASE F&amp;B'!$C$3:$F$216,2,0)</f>
        <v>0</v>
      </c>
      <c r="AX130" s="18"/>
      <c r="AY130" s="19">
        <f>VLOOKUP(AV130,'DATABASE F&amp;B'!$C$3:$F$216,4,0)</f>
        <v>0</v>
      </c>
      <c r="AZ130" s="19">
        <f t="shared" si="160"/>
        <v>0</v>
      </c>
      <c r="BA130" s="16"/>
      <c r="BB130" s="17">
        <f>VLOOKUP(BA130,'DATABASE F&amp;B'!$C$3:$F$216,2,0)</f>
        <v>0</v>
      </c>
      <c r="BC130" s="18"/>
      <c r="BD130" s="19">
        <f>VLOOKUP(BA130,'DATABASE F&amp;B'!$C$3:$F$216,4,0)</f>
        <v>0</v>
      </c>
      <c r="BE130" s="19">
        <f t="shared" si="161"/>
        <v>0</v>
      </c>
      <c r="BF130" s="16"/>
      <c r="BG130" s="17">
        <f>VLOOKUP(BF130,'DATABASE F&amp;B'!$C$3:$F$216,2,0)</f>
        <v>0</v>
      </c>
      <c r="BH130" s="18"/>
      <c r="BI130" s="19">
        <f>VLOOKUP(BF130,'DATABASE F&amp;B'!$C$3:$F$216,4,0)</f>
        <v>0</v>
      </c>
      <c r="BJ130" s="19">
        <f t="shared" si="162"/>
        <v>0</v>
      </c>
      <c r="BK130" s="16"/>
      <c r="BL130" s="17">
        <f>VLOOKUP(BK130,'DATABASE F&amp;B'!$C$3:$F$210,2,0)</f>
        <v>0</v>
      </c>
      <c r="BM130" s="18"/>
      <c r="BN130" s="19">
        <f>VLOOKUP(BK130,'DATABASE F&amp;B'!$C$3:$F$210,4,0)</f>
        <v>0</v>
      </c>
      <c r="BO130" s="19">
        <f t="shared" si="163"/>
        <v>0</v>
      </c>
      <c r="BP130" s="16"/>
      <c r="BQ130" s="17">
        <f>VLOOKUP(BP130,'DATABASE F&amp;B'!$C$3:$F$210,2,0)</f>
        <v>0</v>
      </c>
      <c r="BR130" s="18"/>
      <c r="BS130" s="19">
        <f>VLOOKUP(BP130,'DATABASE F&amp;B'!$C$3:$F$210,4,0)</f>
        <v>0</v>
      </c>
      <c r="BT130" s="19">
        <f t="shared" si="164"/>
        <v>0</v>
      </c>
      <c r="BU130" s="16"/>
      <c r="BV130" s="17">
        <f>VLOOKUP(BU130,'DATABASE F&amp;B'!$C$3:$F$210,2,0)</f>
        <v>0</v>
      </c>
      <c r="BW130" s="18"/>
      <c r="BX130" s="19">
        <f>VLOOKUP(BU130,'DATABASE F&amp;B'!$C$3:$F$210,4,0)</f>
        <v>0</v>
      </c>
      <c r="BY130" s="19">
        <f t="shared" si="165"/>
        <v>0</v>
      </c>
      <c r="BZ130" s="16"/>
      <c r="CA130" s="17">
        <f>VLOOKUP(BZ130,'DATABASE F&amp;B'!$C$3:$F$210,2,0)</f>
        <v>0</v>
      </c>
      <c r="CB130" s="18"/>
      <c r="CC130" s="19">
        <f>VLOOKUP(BZ130,'DATABASE F&amp;B'!$C$3:$F$210,4,0)</f>
        <v>0</v>
      </c>
      <c r="CD130" s="19">
        <f t="shared" si="166"/>
        <v>0</v>
      </c>
    </row>
    <row r="131" spans="1:82" ht="13.5" x14ac:dyDescent="0.25">
      <c r="A131" s="32" t="str">
        <f t="shared" si="147"/>
        <v>05-'24-2026</v>
      </c>
      <c r="B131" s="22">
        <f t="shared" si="169"/>
        <v>127</v>
      </c>
      <c r="C131" s="22">
        <f t="shared" si="169"/>
        <v>127</v>
      </c>
      <c r="D131" s="34">
        <v>46166</v>
      </c>
      <c r="E131" s="35" t="s">
        <v>80</v>
      </c>
      <c r="F131" s="35" t="s">
        <v>202</v>
      </c>
      <c r="G131" s="52" t="s">
        <v>81</v>
      </c>
      <c r="H131" s="36" t="str">
        <f t="shared" si="145"/>
        <v>RJ-'240526-127</v>
      </c>
      <c r="I131" s="36" t="str">
        <f t="shared" si="148"/>
        <v>'24-05-2026</v>
      </c>
      <c r="J131" s="37" t="str">
        <f>VLOOKUP(D131,Laporan!$C$4:$D$34,2,0)</f>
        <v>Minggu</v>
      </c>
      <c r="K131" s="48"/>
      <c r="L131" s="13" t="s">
        <v>33</v>
      </c>
      <c r="M131" s="19">
        <f>SUMIF('DATABASE Room'!$B$3:$B$7,L131,'DATABASE Room'!$D$3:$D$7)</f>
        <v>0</v>
      </c>
      <c r="N131" s="13">
        <v>1</v>
      </c>
      <c r="O131" s="21">
        <f t="shared" si="149"/>
        <v>0</v>
      </c>
      <c r="P131" s="38"/>
      <c r="Q131" s="19">
        <f t="shared" si="150"/>
        <v>0</v>
      </c>
      <c r="R131" s="21">
        <f t="shared" si="151"/>
        <v>0</v>
      </c>
      <c r="S131" s="19">
        <f t="shared" si="152"/>
        <v>5</v>
      </c>
      <c r="T131" s="19">
        <f t="shared" si="153"/>
        <v>35000</v>
      </c>
      <c r="U131" s="21">
        <f t="shared" si="154"/>
        <v>35000</v>
      </c>
      <c r="V131" s="39"/>
      <c r="W131" s="16">
        <v>62</v>
      </c>
      <c r="X131" s="17" t="str">
        <f>VLOOKUP(W131,'DATABASE F&amp;B'!$C$3:$F$216,2,0)</f>
        <v>ANKER PILSENER PINT 330 ML</v>
      </c>
      <c r="Y131" s="18">
        <v>1</v>
      </c>
      <c r="Z131" s="19">
        <f>VLOOKUP(W131,'DATABASE F&amp;B'!$C$3:$F$216,4,0)</f>
        <v>35000</v>
      </c>
      <c r="AA131" s="19">
        <f t="shared" si="155"/>
        <v>35000</v>
      </c>
      <c r="AB131" s="16"/>
      <c r="AC131" s="17">
        <f>VLOOKUP(AB131,'DATABASE F&amp;B'!$C$3:$F$216,2,0)</f>
        <v>0</v>
      </c>
      <c r="AD131" s="18">
        <v>1</v>
      </c>
      <c r="AE131" s="19">
        <f>VLOOKUP(AB131,'DATABASE F&amp;B'!$C$3:$F$216,4,0)</f>
        <v>0</v>
      </c>
      <c r="AF131" s="19">
        <f t="shared" si="156"/>
        <v>0</v>
      </c>
      <c r="AG131" s="16"/>
      <c r="AH131" s="17">
        <f>VLOOKUP(AG131,'DATABASE F&amp;B'!$C$3:$F$216,2,0)</f>
        <v>0</v>
      </c>
      <c r="AI131" s="18">
        <v>1</v>
      </c>
      <c r="AJ131" s="19">
        <f>VLOOKUP(AG131,'DATABASE F&amp;B'!$C$3:$F$216,4,0)</f>
        <v>0</v>
      </c>
      <c r="AK131" s="19">
        <f t="shared" si="157"/>
        <v>0</v>
      </c>
      <c r="AL131" s="16"/>
      <c r="AM131" s="17">
        <f>VLOOKUP(AL131,'DATABASE F&amp;B'!$C$3:$F$216,2,0)</f>
        <v>0</v>
      </c>
      <c r="AN131" s="18">
        <v>1</v>
      </c>
      <c r="AO131" s="19">
        <f>VLOOKUP(AL131,'DATABASE F&amp;B'!$C$3:$F$216,4,0)</f>
        <v>0</v>
      </c>
      <c r="AP131" s="19">
        <f t="shared" si="158"/>
        <v>0</v>
      </c>
      <c r="AQ131" s="16"/>
      <c r="AR131" s="17">
        <f>VLOOKUP(AQ131,'DATABASE F&amp;B'!$C$3:$F$216,2,0)</f>
        <v>0</v>
      </c>
      <c r="AS131" s="18">
        <v>1</v>
      </c>
      <c r="AT131" s="19">
        <f>VLOOKUP(AQ131,'DATABASE F&amp;B'!$C$3:$F$216,4,0)</f>
        <v>0</v>
      </c>
      <c r="AU131" s="19">
        <f t="shared" si="159"/>
        <v>0</v>
      </c>
      <c r="AV131" s="16"/>
      <c r="AW131" s="17">
        <f>VLOOKUP(AV131,'DATABASE F&amp;B'!$C$3:$F$216,2,0)</f>
        <v>0</v>
      </c>
      <c r="AX131" s="18"/>
      <c r="AY131" s="19">
        <f>VLOOKUP(AV131,'DATABASE F&amp;B'!$C$3:$F$216,4,0)</f>
        <v>0</v>
      </c>
      <c r="AZ131" s="19">
        <f t="shared" si="160"/>
        <v>0</v>
      </c>
      <c r="BA131" s="16"/>
      <c r="BB131" s="17">
        <f>VLOOKUP(BA131,'DATABASE F&amp;B'!$C$3:$F$216,2,0)</f>
        <v>0</v>
      </c>
      <c r="BC131" s="18"/>
      <c r="BD131" s="19">
        <f>VLOOKUP(BA131,'DATABASE F&amp;B'!$C$3:$F$216,4,0)</f>
        <v>0</v>
      </c>
      <c r="BE131" s="19">
        <f t="shared" si="161"/>
        <v>0</v>
      </c>
      <c r="BF131" s="16"/>
      <c r="BG131" s="17">
        <f>VLOOKUP(BF131,'DATABASE F&amp;B'!$C$3:$F$216,2,0)</f>
        <v>0</v>
      </c>
      <c r="BH131" s="18"/>
      <c r="BI131" s="19">
        <f>VLOOKUP(BF131,'DATABASE F&amp;B'!$C$3:$F$216,4,0)</f>
        <v>0</v>
      </c>
      <c r="BJ131" s="19">
        <f t="shared" si="162"/>
        <v>0</v>
      </c>
      <c r="BK131" s="16"/>
      <c r="BL131" s="17">
        <f>VLOOKUP(BK131,'DATABASE F&amp;B'!$C$3:$F$210,2,0)</f>
        <v>0</v>
      </c>
      <c r="BM131" s="18"/>
      <c r="BN131" s="19">
        <f>VLOOKUP(BK131,'DATABASE F&amp;B'!$C$3:$F$210,4,0)</f>
        <v>0</v>
      </c>
      <c r="BO131" s="19">
        <f t="shared" si="163"/>
        <v>0</v>
      </c>
      <c r="BP131" s="16"/>
      <c r="BQ131" s="17">
        <f>VLOOKUP(BP131,'DATABASE F&amp;B'!$C$3:$F$210,2,0)</f>
        <v>0</v>
      </c>
      <c r="BR131" s="18"/>
      <c r="BS131" s="19">
        <f>VLOOKUP(BP131,'DATABASE F&amp;B'!$C$3:$F$210,4,0)</f>
        <v>0</v>
      </c>
      <c r="BT131" s="19">
        <f t="shared" si="164"/>
        <v>0</v>
      </c>
      <c r="BU131" s="16"/>
      <c r="BV131" s="17">
        <f>VLOOKUP(BU131,'DATABASE F&amp;B'!$C$3:$F$210,2,0)</f>
        <v>0</v>
      </c>
      <c r="BW131" s="18"/>
      <c r="BX131" s="19">
        <f>VLOOKUP(BU131,'DATABASE F&amp;B'!$C$3:$F$210,4,0)</f>
        <v>0</v>
      </c>
      <c r="BY131" s="19">
        <f t="shared" si="165"/>
        <v>0</v>
      </c>
      <c r="BZ131" s="16"/>
      <c r="CA131" s="17">
        <f>VLOOKUP(BZ131,'DATABASE F&amp;B'!$C$3:$F$210,2,0)</f>
        <v>0</v>
      </c>
      <c r="CB131" s="18"/>
      <c r="CC131" s="19">
        <f>VLOOKUP(BZ131,'DATABASE F&amp;B'!$C$3:$F$210,4,0)</f>
        <v>0</v>
      </c>
      <c r="CD131" s="19">
        <f t="shared" si="166"/>
        <v>0</v>
      </c>
    </row>
    <row r="132" spans="1:82" ht="13.5" x14ac:dyDescent="0.25">
      <c r="A132" s="32" t="str">
        <f t="shared" si="147"/>
        <v>05-'24-2026</v>
      </c>
      <c r="B132" s="22">
        <f t="shared" si="169"/>
        <v>128</v>
      </c>
      <c r="C132" s="22">
        <f t="shared" si="169"/>
        <v>128</v>
      </c>
      <c r="D132" s="34">
        <v>46166</v>
      </c>
      <c r="E132" s="35" t="s">
        <v>80</v>
      </c>
      <c r="F132" s="35" t="s">
        <v>202</v>
      </c>
      <c r="G132" s="52" t="s">
        <v>81</v>
      </c>
      <c r="H132" s="36" t="str">
        <f t="shared" si="145"/>
        <v>RJ-'240526-128</v>
      </c>
      <c r="I132" s="36" t="str">
        <f t="shared" si="148"/>
        <v>'24-05-2026</v>
      </c>
      <c r="J132" s="37" t="str">
        <f>VLOOKUP(D132,Laporan!$C$4:$D$34,2,0)</f>
        <v>Minggu</v>
      </c>
      <c r="K132" s="48"/>
      <c r="L132" s="13" t="s">
        <v>33</v>
      </c>
      <c r="M132" s="19">
        <f>SUMIF('DATABASE Room'!$B$3:$B$7,L132,'DATABASE Room'!$D$3:$D$7)</f>
        <v>0</v>
      </c>
      <c r="N132" s="13">
        <v>1</v>
      </c>
      <c r="O132" s="21">
        <f t="shared" si="149"/>
        <v>0</v>
      </c>
      <c r="P132" s="38"/>
      <c r="Q132" s="19">
        <f t="shared" si="150"/>
        <v>0</v>
      </c>
      <c r="R132" s="21">
        <f t="shared" si="151"/>
        <v>0</v>
      </c>
      <c r="S132" s="19">
        <f t="shared" si="152"/>
        <v>5</v>
      </c>
      <c r="T132" s="19">
        <f t="shared" si="153"/>
        <v>35000</v>
      </c>
      <c r="U132" s="21">
        <f t="shared" si="154"/>
        <v>35000</v>
      </c>
      <c r="V132" s="39"/>
      <c r="W132" s="16">
        <v>63</v>
      </c>
      <c r="X132" s="17" t="str">
        <f>VLOOKUP(W132,'DATABASE F&amp;B'!$C$3:$F$216,2,0)</f>
        <v>ANKER LYCHEE 330ML</v>
      </c>
      <c r="Y132" s="18">
        <v>1</v>
      </c>
      <c r="Z132" s="19">
        <f>VLOOKUP(W132,'DATABASE F&amp;B'!$C$3:$F$216,4,0)</f>
        <v>35000</v>
      </c>
      <c r="AA132" s="19">
        <f t="shared" si="155"/>
        <v>35000</v>
      </c>
      <c r="AB132" s="16"/>
      <c r="AC132" s="17">
        <f>VLOOKUP(AB132,'DATABASE F&amp;B'!$C$3:$F$216,2,0)</f>
        <v>0</v>
      </c>
      <c r="AD132" s="18">
        <v>1</v>
      </c>
      <c r="AE132" s="19">
        <f>VLOOKUP(AB132,'DATABASE F&amp;B'!$C$3:$F$216,4,0)</f>
        <v>0</v>
      </c>
      <c r="AF132" s="19">
        <f t="shared" si="156"/>
        <v>0</v>
      </c>
      <c r="AG132" s="16"/>
      <c r="AH132" s="17">
        <f>VLOOKUP(AG132,'DATABASE F&amp;B'!$C$3:$F$216,2,0)</f>
        <v>0</v>
      </c>
      <c r="AI132" s="18">
        <v>1</v>
      </c>
      <c r="AJ132" s="19">
        <f>VLOOKUP(AG132,'DATABASE F&amp;B'!$C$3:$F$216,4,0)</f>
        <v>0</v>
      </c>
      <c r="AK132" s="19">
        <f t="shared" si="157"/>
        <v>0</v>
      </c>
      <c r="AL132" s="16"/>
      <c r="AM132" s="17">
        <f>VLOOKUP(AL132,'DATABASE F&amp;B'!$C$3:$F$216,2,0)</f>
        <v>0</v>
      </c>
      <c r="AN132" s="18">
        <v>1</v>
      </c>
      <c r="AO132" s="19">
        <f>VLOOKUP(AL132,'DATABASE F&amp;B'!$C$3:$F$216,4,0)</f>
        <v>0</v>
      </c>
      <c r="AP132" s="19">
        <f t="shared" si="158"/>
        <v>0</v>
      </c>
      <c r="AQ132" s="16"/>
      <c r="AR132" s="17">
        <f>VLOOKUP(AQ132,'DATABASE F&amp;B'!$C$3:$F$216,2,0)</f>
        <v>0</v>
      </c>
      <c r="AS132" s="18">
        <v>1</v>
      </c>
      <c r="AT132" s="19">
        <f>VLOOKUP(AQ132,'DATABASE F&amp;B'!$C$3:$F$216,4,0)</f>
        <v>0</v>
      </c>
      <c r="AU132" s="19">
        <f t="shared" si="159"/>
        <v>0</v>
      </c>
      <c r="AV132" s="16"/>
      <c r="AW132" s="17">
        <f>VLOOKUP(AV132,'DATABASE F&amp;B'!$C$3:$F$216,2,0)</f>
        <v>0</v>
      </c>
      <c r="AX132" s="18"/>
      <c r="AY132" s="19">
        <f>VLOOKUP(AV132,'DATABASE F&amp;B'!$C$3:$F$216,4,0)</f>
        <v>0</v>
      </c>
      <c r="AZ132" s="19">
        <f t="shared" si="160"/>
        <v>0</v>
      </c>
      <c r="BA132" s="16"/>
      <c r="BB132" s="17">
        <f>VLOOKUP(BA132,'DATABASE F&amp;B'!$C$3:$F$216,2,0)</f>
        <v>0</v>
      </c>
      <c r="BC132" s="18"/>
      <c r="BD132" s="19">
        <f>VLOOKUP(BA132,'DATABASE F&amp;B'!$C$3:$F$216,4,0)</f>
        <v>0</v>
      </c>
      <c r="BE132" s="19">
        <f t="shared" si="161"/>
        <v>0</v>
      </c>
      <c r="BF132" s="16"/>
      <c r="BG132" s="17">
        <f>VLOOKUP(BF132,'DATABASE F&amp;B'!$C$3:$F$216,2,0)</f>
        <v>0</v>
      </c>
      <c r="BH132" s="18"/>
      <c r="BI132" s="19">
        <f>VLOOKUP(BF132,'DATABASE F&amp;B'!$C$3:$F$216,4,0)</f>
        <v>0</v>
      </c>
      <c r="BJ132" s="19">
        <f t="shared" si="162"/>
        <v>0</v>
      </c>
      <c r="BK132" s="16"/>
      <c r="BL132" s="17">
        <f>VLOOKUP(BK132,'DATABASE F&amp;B'!$C$3:$F$210,2,0)</f>
        <v>0</v>
      </c>
      <c r="BM132" s="18"/>
      <c r="BN132" s="19">
        <f>VLOOKUP(BK132,'DATABASE F&amp;B'!$C$3:$F$210,4,0)</f>
        <v>0</v>
      </c>
      <c r="BO132" s="19">
        <f t="shared" si="163"/>
        <v>0</v>
      </c>
      <c r="BP132" s="16"/>
      <c r="BQ132" s="17">
        <f>VLOOKUP(BP132,'DATABASE F&amp;B'!$C$3:$F$210,2,0)</f>
        <v>0</v>
      </c>
      <c r="BR132" s="18"/>
      <c r="BS132" s="19">
        <f>VLOOKUP(BP132,'DATABASE F&amp;B'!$C$3:$F$210,4,0)</f>
        <v>0</v>
      </c>
      <c r="BT132" s="19">
        <f t="shared" si="164"/>
        <v>0</v>
      </c>
      <c r="BU132" s="16"/>
      <c r="BV132" s="17">
        <f>VLOOKUP(BU132,'DATABASE F&amp;B'!$C$3:$F$210,2,0)</f>
        <v>0</v>
      </c>
      <c r="BW132" s="18"/>
      <c r="BX132" s="19">
        <f>VLOOKUP(BU132,'DATABASE F&amp;B'!$C$3:$F$210,4,0)</f>
        <v>0</v>
      </c>
      <c r="BY132" s="19">
        <f t="shared" si="165"/>
        <v>0</v>
      </c>
      <c r="BZ132" s="16"/>
      <c r="CA132" s="17">
        <f>VLOOKUP(BZ132,'DATABASE F&amp;B'!$C$3:$F$210,2,0)</f>
        <v>0</v>
      </c>
      <c r="CB132" s="18"/>
      <c r="CC132" s="19">
        <f>VLOOKUP(BZ132,'DATABASE F&amp;B'!$C$3:$F$210,4,0)</f>
        <v>0</v>
      </c>
      <c r="CD132" s="19">
        <f t="shared" si="166"/>
        <v>0</v>
      </c>
    </row>
    <row r="133" spans="1:82" ht="13.5" x14ac:dyDescent="0.25">
      <c r="A133" s="32" t="str">
        <f t="shared" si="147"/>
        <v>05-'24-2026</v>
      </c>
      <c r="B133" s="22">
        <f t="shared" si="169"/>
        <v>129</v>
      </c>
      <c r="C133" s="22">
        <f t="shared" si="169"/>
        <v>129</v>
      </c>
      <c r="D133" s="34">
        <v>46166</v>
      </c>
      <c r="E133" s="35" t="s">
        <v>80</v>
      </c>
      <c r="F133" s="35" t="s">
        <v>202</v>
      </c>
      <c r="G133" s="52" t="s">
        <v>81</v>
      </c>
      <c r="H133" s="36" t="str">
        <f t="shared" si="145"/>
        <v>RJ-'240526-129</v>
      </c>
      <c r="I133" s="36" t="str">
        <f t="shared" si="148"/>
        <v>'24-05-2026</v>
      </c>
      <c r="J133" s="37" t="str">
        <f>VLOOKUP(D133,Laporan!$C$4:$D$34,2,0)</f>
        <v>Minggu</v>
      </c>
      <c r="K133" s="48"/>
      <c r="L133" s="13" t="s">
        <v>33</v>
      </c>
      <c r="M133" s="19">
        <f>SUMIF('DATABASE Room'!$B$3:$B$7,L133,'DATABASE Room'!$D$3:$D$7)</f>
        <v>0</v>
      </c>
      <c r="N133" s="13">
        <v>1</v>
      </c>
      <c r="O133" s="21">
        <f t="shared" si="149"/>
        <v>0</v>
      </c>
      <c r="P133" s="38"/>
      <c r="Q133" s="19">
        <f t="shared" si="150"/>
        <v>0</v>
      </c>
      <c r="R133" s="21">
        <f t="shared" si="151"/>
        <v>0</v>
      </c>
      <c r="S133" s="19">
        <f t="shared" si="152"/>
        <v>5</v>
      </c>
      <c r="T133" s="19">
        <f t="shared" si="153"/>
        <v>35000</v>
      </c>
      <c r="U133" s="21">
        <f t="shared" si="154"/>
        <v>35000</v>
      </c>
      <c r="V133" s="39"/>
      <c r="W133" s="16">
        <v>64</v>
      </c>
      <c r="X133" s="17" t="str">
        <f>VLOOKUP(W133,'DATABASE F&amp;B'!$C$3:$F$216,2,0)</f>
        <v>KOPI BUTTERSCOTCH</v>
      </c>
      <c r="Y133" s="18">
        <v>1</v>
      </c>
      <c r="Z133" s="19">
        <f>VLOOKUP(W133,'DATABASE F&amp;B'!$C$3:$F$216,4,0)</f>
        <v>35000</v>
      </c>
      <c r="AA133" s="19">
        <f t="shared" si="155"/>
        <v>35000</v>
      </c>
      <c r="AB133" s="16"/>
      <c r="AC133" s="17">
        <f>VLOOKUP(AB133,'DATABASE F&amp;B'!$C$3:$F$216,2,0)</f>
        <v>0</v>
      </c>
      <c r="AD133" s="18">
        <v>1</v>
      </c>
      <c r="AE133" s="19">
        <f>VLOOKUP(AB133,'DATABASE F&amp;B'!$C$3:$F$216,4,0)</f>
        <v>0</v>
      </c>
      <c r="AF133" s="19">
        <f t="shared" si="156"/>
        <v>0</v>
      </c>
      <c r="AG133" s="16"/>
      <c r="AH133" s="17">
        <f>VLOOKUP(AG133,'DATABASE F&amp;B'!$C$3:$F$216,2,0)</f>
        <v>0</v>
      </c>
      <c r="AI133" s="18">
        <v>1</v>
      </c>
      <c r="AJ133" s="19">
        <f>VLOOKUP(AG133,'DATABASE F&amp;B'!$C$3:$F$216,4,0)</f>
        <v>0</v>
      </c>
      <c r="AK133" s="19">
        <f t="shared" si="157"/>
        <v>0</v>
      </c>
      <c r="AL133" s="16"/>
      <c r="AM133" s="17">
        <f>VLOOKUP(AL133,'DATABASE F&amp;B'!$C$3:$F$216,2,0)</f>
        <v>0</v>
      </c>
      <c r="AN133" s="18">
        <v>1</v>
      </c>
      <c r="AO133" s="19">
        <f>VLOOKUP(AL133,'DATABASE F&amp;B'!$C$3:$F$216,4,0)</f>
        <v>0</v>
      </c>
      <c r="AP133" s="19">
        <f t="shared" si="158"/>
        <v>0</v>
      </c>
      <c r="AQ133" s="16"/>
      <c r="AR133" s="17">
        <f>VLOOKUP(AQ133,'DATABASE F&amp;B'!$C$3:$F$216,2,0)</f>
        <v>0</v>
      </c>
      <c r="AS133" s="18">
        <v>1</v>
      </c>
      <c r="AT133" s="19">
        <f>VLOOKUP(AQ133,'DATABASE F&amp;B'!$C$3:$F$216,4,0)</f>
        <v>0</v>
      </c>
      <c r="AU133" s="19">
        <f t="shared" si="159"/>
        <v>0</v>
      </c>
      <c r="AV133" s="16"/>
      <c r="AW133" s="17">
        <f>VLOOKUP(AV133,'DATABASE F&amp;B'!$C$3:$F$216,2,0)</f>
        <v>0</v>
      </c>
      <c r="AX133" s="18"/>
      <c r="AY133" s="19">
        <f>VLOOKUP(AV133,'DATABASE F&amp;B'!$C$3:$F$216,4,0)</f>
        <v>0</v>
      </c>
      <c r="AZ133" s="19">
        <f t="shared" si="160"/>
        <v>0</v>
      </c>
      <c r="BA133" s="16"/>
      <c r="BB133" s="17">
        <f>VLOOKUP(BA133,'DATABASE F&amp;B'!$C$3:$F$216,2,0)</f>
        <v>0</v>
      </c>
      <c r="BC133" s="18"/>
      <c r="BD133" s="19">
        <f>VLOOKUP(BA133,'DATABASE F&amp;B'!$C$3:$F$216,4,0)</f>
        <v>0</v>
      </c>
      <c r="BE133" s="19">
        <f t="shared" si="161"/>
        <v>0</v>
      </c>
      <c r="BF133" s="16"/>
      <c r="BG133" s="17">
        <f>VLOOKUP(BF133,'DATABASE F&amp;B'!$C$3:$F$216,2,0)</f>
        <v>0</v>
      </c>
      <c r="BH133" s="18"/>
      <c r="BI133" s="19">
        <f>VLOOKUP(BF133,'DATABASE F&amp;B'!$C$3:$F$216,4,0)</f>
        <v>0</v>
      </c>
      <c r="BJ133" s="19">
        <f t="shared" si="162"/>
        <v>0</v>
      </c>
      <c r="BK133" s="16"/>
      <c r="BL133" s="17">
        <f>VLOOKUP(BK133,'DATABASE F&amp;B'!$C$3:$F$210,2,0)</f>
        <v>0</v>
      </c>
      <c r="BM133" s="18"/>
      <c r="BN133" s="19">
        <f>VLOOKUP(BK133,'DATABASE F&amp;B'!$C$3:$F$210,4,0)</f>
        <v>0</v>
      </c>
      <c r="BO133" s="19">
        <f t="shared" si="163"/>
        <v>0</v>
      </c>
      <c r="BP133" s="16"/>
      <c r="BQ133" s="17">
        <f>VLOOKUP(BP133,'DATABASE F&amp;B'!$C$3:$F$210,2,0)</f>
        <v>0</v>
      </c>
      <c r="BR133" s="18"/>
      <c r="BS133" s="19">
        <f>VLOOKUP(BP133,'DATABASE F&amp;B'!$C$3:$F$210,4,0)</f>
        <v>0</v>
      </c>
      <c r="BT133" s="19">
        <f t="shared" si="164"/>
        <v>0</v>
      </c>
      <c r="BU133" s="16"/>
      <c r="BV133" s="17">
        <f>VLOOKUP(BU133,'DATABASE F&amp;B'!$C$3:$F$210,2,0)</f>
        <v>0</v>
      </c>
      <c r="BW133" s="18"/>
      <c r="BX133" s="19">
        <f>VLOOKUP(BU133,'DATABASE F&amp;B'!$C$3:$F$210,4,0)</f>
        <v>0</v>
      </c>
      <c r="BY133" s="19">
        <f t="shared" si="165"/>
        <v>0</v>
      </c>
      <c r="BZ133" s="16"/>
      <c r="CA133" s="17">
        <f>VLOOKUP(BZ133,'DATABASE F&amp;B'!$C$3:$F$210,2,0)</f>
        <v>0</v>
      </c>
      <c r="CB133" s="18"/>
      <c r="CC133" s="19">
        <f>VLOOKUP(BZ133,'DATABASE F&amp;B'!$C$3:$F$210,4,0)</f>
        <v>0</v>
      </c>
      <c r="CD133" s="19">
        <f t="shared" si="166"/>
        <v>0</v>
      </c>
    </row>
    <row r="134" spans="1:82" ht="13.5" x14ac:dyDescent="0.25">
      <c r="A134" s="32" t="str">
        <f t="shared" si="147"/>
        <v>05-'24-2026</v>
      </c>
      <c r="B134" s="22">
        <f t="shared" si="169"/>
        <v>130</v>
      </c>
      <c r="C134" s="22">
        <f t="shared" si="169"/>
        <v>130</v>
      </c>
      <c r="D134" s="34">
        <v>46166</v>
      </c>
      <c r="E134" s="35" t="s">
        <v>80</v>
      </c>
      <c r="F134" s="35" t="s">
        <v>202</v>
      </c>
      <c r="G134" s="52" t="s">
        <v>81</v>
      </c>
      <c r="H134" s="36" t="str">
        <f t="shared" ref="H134:H197" si="170">CONCATENATE("RJ","-",E134,F134,G134,"-",B134)</f>
        <v>RJ-'240526-130</v>
      </c>
      <c r="I134" s="36" t="str">
        <f t="shared" si="148"/>
        <v>'24-05-2026</v>
      </c>
      <c r="J134" s="37" t="str">
        <f>VLOOKUP(D134,Laporan!$C$4:$D$34,2,0)</f>
        <v>Minggu</v>
      </c>
      <c r="K134" s="48"/>
      <c r="L134" s="13" t="s">
        <v>33</v>
      </c>
      <c r="M134" s="19">
        <f>SUMIF('DATABASE Room'!$B$3:$B$7,L134,'DATABASE Room'!$D$3:$D$7)</f>
        <v>0</v>
      </c>
      <c r="N134" s="13">
        <v>1</v>
      </c>
      <c r="O134" s="21">
        <f t="shared" si="149"/>
        <v>0</v>
      </c>
      <c r="P134" s="38"/>
      <c r="Q134" s="19">
        <f t="shared" si="150"/>
        <v>0</v>
      </c>
      <c r="R134" s="21">
        <f t="shared" si="151"/>
        <v>0</v>
      </c>
      <c r="S134" s="19">
        <f t="shared" si="152"/>
        <v>5</v>
      </c>
      <c r="T134" s="19">
        <f t="shared" si="153"/>
        <v>35000</v>
      </c>
      <c r="U134" s="21">
        <f t="shared" si="154"/>
        <v>35000</v>
      </c>
      <c r="V134" s="39"/>
      <c r="W134" s="16">
        <v>65</v>
      </c>
      <c r="X134" s="17" t="str">
        <f>VLOOKUP(W134,'DATABASE F&amp;B'!$C$3:$F$216,2,0)</f>
        <v>KOPI PISTACHIO</v>
      </c>
      <c r="Y134" s="18">
        <v>1</v>
      </c>
      <c r="Z134" s="19">
        <f>VLOOKUP(W134,'DATABASE F&amp;B'!$C$3:$F$216,4,0)</f>
        <v>35000</v>
      </c>
      <c r="AA134" s="19">
        <f t="shared" si="155"/>
        <v>35000</v>
      </c>
      <c r="AB134" s="16"/>
      <c r="AC134" s="17">
        <f>VLOOKUP(AB134,'DATABASE F&amp;B'!$C$3:$F$216,2,0)</f>
        <v>0</v>
      </c>
      <c r="AD134" s="18">
        <v>1</v>
      </c>
      <c r="AE134" s="19">
        <f>VLOOKUP(AB134,'DATABASE F&amp;B'!$C$3:$F$216,4,0)</f>
        <v>0</v>
      </c>
      <c r="AF134" s="19">
        <f t="shared" si="156"/>
        <v>0</v>
      </c>
      <c r="AG134" s="16"/>
      <c r="AH134" s="17">
        <f>VLOOKUP(AG134,'DATABASE F&amp;B'!$C$3:$F$216,2,0)</f>
        <v>0</v>
      </c>
      <c r="AI134" s="18">
        <v>1</v>
      </c>
      <c r="AJ134" s="19">
        <f>VLOOKUP(AG134,'DATABASE F&amp;B'!$C$3:$F$216,4,0)</f>
        <v>0</v>
      </c>
      <c r="AK134" s="19">
        <f t="shared" si="157"/>
        <v>0</v>
      </c>
      <c r="AL134" s="16"/>
      <c r="AM134" s="17">
        <f>VLOOKUP(AL134,'DATABASE F&amp;B'!$C$3:$F$216,2,0)</f>
        <v>0</v>
      </c>
      <c r="AN134" s="18">
        <v>1</v>
      </c>
      <c r="AO134" s="19">
        <f>VLOOKUP(AL134,'DATABASE F&amp;B'!$C$3:$F$216,4,0)</f>
        <v>0</v>
      </c>
      <c r="AP134" s="19">
        <f t="shared" si="158"/>
        <v>0</v>
      </c>
      <c r="AQ134" s="16"/>
      <c r="AR134" s="17">
        <f>VLOOKUP(AQ134,'DATABASE F&amp;B'!$C$3:$F$216,2,0)</f>
        <v>0</v>
      </c>
      <c r="AS134" s="18">
        <v>1</v>
      </c>
      <c r="AT134" s="19">
        <f>VLOOKUP(AQ134,'DATABASE F&amp;B'!$C$3:$F$216,4,0)</f>
        <v>0</v>
      </c>
      <c r="AU134" s="19">
        <f t="shared" si="159"/>
        <v>0</v>
      </c>
      <c r="AV134" s="16"/>
      <c r="AW134" s="17">
        <f>VLOOKUP(AV134,'DATABASE F&amp;B'!$C$3:$F$216,2,0)</f>
        <v>0</v>
      </c>
      <c r="AX134" s="18"/>
      <c r="AY134" s="19">
        <f>VLOOKUP(AV134,'DATABASE F&amp;B'!$C$3:$F$216,4,0)</f>
        <v>0</v>
      </c>
      <c r="AZ134" s="19">
        <f t="shared" si="160"/>
        <v>0</v>
      </c>
      <c r="BA134" s="16"/>
      <c r="BB134" s="17">
        <f>VLOOKUP(BA134,'DATABASE F&amp;B'!$C$3:$F$216,2,0)</f>
        <v>0</v>
      </c>
      <c r="BC134" s="18"/>
      <c r="BD134" s="19">
        <f>VLOOKUP(BA134,'DATABASE F&amp;B'!$C$3:$F$216,4,0)</f>
        <v>0</v>
      </c>
      <c r="BE134" s="19">
        <f t="shared" si="161"/>
        <v>0</v>
      </c>
      <c r="BF134" s="16"/>
      <c r="BG134" s="17">
        <f>VLOOKUP(BF134,'DATABASE F&amp;B'!$C$3:$F$216,2,0)</f>
        <v>0</v>
      </c>
      <c r="BH134" s="18"/>
      <c r="BI134" s="19">
        <f>VLOOKUP(BF134,'DATABASE F&amp;B'!$C$3:$F$216,4,0)</f>
        <v>0</v>
      </c>
      <c r="BJ134" s="19">
        <f t="shared" si="162"/>
        <v>0</v>
      </c>
      <c r="BK134" s="16"/>
      <c r="BL134" s="17">
        <f>VLOOKUP(BK134,'DATABASE F&amp;B'!$C$3:$F$210,2,0)</f>
        <v>0</v>
      </c>
      <c r="BM134" s="18"/>
      <c r="BN134" s="19">
        <f>VLOOKUP(BK134,'DATABASE F&amp;B'!$C$3:$F$210,4,0)</f>
        <v>0</v>
      </c>
      <c r="BO134" s="19">
        <f t="shared" si="163"/>
        <v>0</v>
      </c>
      <c r="BP134" s="16"/>
      <c r="BQ134" s="17">
        <f>VLOOKUP(BP134,'DATABASE F&amp;B'!$C$3:$F$210,2,0)</f>
        <v>0</v>
      </c>
      <c r="BR134" s="18"/>
      <c r="BS134" s="19">
        <f>VLOOKUP(BP134,'DATABASE F&amp;B'!$C$3:$F$210,4,0)</f>
        <v>0</v>
      </c>
      <c r="BT134" s="19">
        <f t="shared" si="164"/>
        <v>0</v>
      </c>
      <c r="BU134" s="16"/>
      <c r="BV134" s="17">
        <f>VLOOKUP(BU134,'DATABASE F&amp;B'!$C$3:$F$210,2,0)</f>
        <v>0</v>
      </c>
      <c r="BW134" s="18"/>
      <c r="BX134" s="19">
        <f>VLOOKUP(BU134,'DATABASE F&amp;B'!$C$3:$F$210,4,0)</f>
        <v>0</v>
      </c>
      <c r="BY134" s="19">
        <f t="shared" si="165"/>
        <v>0</v>
      </c>
      <c r="BZ134" s="16"/>
      <c r="CA134" s="17">
        <f>VLOOKUP(BZ134,'DATABASE F&amp;B'!$C$3:$F$210,2,0)</f>
        <v>0</v>
      </c>
      <c r="CB134" s="18"/>
      <c r="CC134" s="19">
        <f>VLOOKUP(BZ134,'DATABASE F&amp;B'!$C$3:$F$210,4,0)</f>
        <v>0</v>
      </c>
      <c r="CD134" s="19">
        <f t="shared" si="166"/>
        <v>0</v>
      </c>
    </row>
    <row r="135" spans="1:82" ht="13.5" x14ac:dyDescent="0.25">
      <c r="A135" s="32" t="str">
        <f t="shared" si="147"/>
        <v>05-'24-2026</v>
      </c>
      <c r="B135" s="22">
        <f t="shared" ref="B135:C150" si="171">B134+1</f>
        <v>131</v>
      </c>
      <c r="C135" s="22">
        <f t="shared" si="171"/>
        <v>131</v>
      </c>
      <c r="D135" s="34">
        <v>46166</v>
      </c>
      <c r="E135" s="35" t="s">
        <v>80</v>
      </c>
      <c r="F135" s="35" t="s">
        <v>202</v>
      </c>
      <c r="G135" s="52" t="s">
        <v>81</v>
      </c>
      <c r="H135" s="36" t="str">
        <f t="shared" si="170"/>
        <v>RJ-'240526-131</v>
      </c>
      <c r="I135" s="36" t="str">
        <f t="shared" si="148"/>
        <v>'24-05-2026</v>
      </c>
      <c r="J135" s="37" t="str">
        <f>VLOOKUP(D135,Laporan!$C$4:$D$34,2,0)</f>
        <v>Minggu</v>
      </c>
      <c r="K135" s="48"/>
      <c r="L135" s="13" t="s">
        <v>33</v>
      </c>
      <c r="M135" s="19">
        <f>SUMIF('DATABASE Room'!$B$3:$B$7,L135,'DATABASE Room'!$D$3:$D$7)</f>
        <v>0</v>
      </c>
      <c r="N135" s="13">
        <v>1</v>
      </c>
      <c r="O135" s="21">
        <f t="shared" si="149"/>
        <v>0</v>
      </c>
      <c r="P135" s="38"/>
      <c r="Q135" s="19">
        <f t="shared" si="150"/>
        <v>0</v>
      </c>
      <c r="R135" s="21">
        <f t="shared" si="151"/>
        <v>0</v>
      </c>
      <c r="S135" s="19">
        <f t="shared" si="152"/>
        <v>5</v>
      </c>
      <c r="T135" s="19">
        <f t="shared" si="153"/>
        <v>160000</v>
      </c>
      <c r="U135" s="21">
        <f t="shared" si="154"/>
        <v>160000</v>
      </c>
      <c r="V135" s="39"/>
      <c r="W135" s="16">
        <v>66</v>
      </c>
      <c r="X135" s="17" t="str">
        <f>VLOOKUP(W135,'DATABASE F&amp;B'!$C$3:$F$216,2,0)</f>
        <v>KOPSU BUTTERSCOTCH</v>
      </c>
      <c r="Y135" s="18">
        <v>1</v>
      </c>
      <c r="Z135" s="19">
        <f>VLOOKUP(W135,'DATABASE F&amp;B'!$C$3:$F$216,4,0)</f>
        <v>35000</v>
      </c>
      <c r="AA135" s="19">
        <f t="shared" si="155"/>
        <v>35000</v>
      </c>
      <c r="AB135" s="16">
        <v>90</v>
      </c>
      <c r="AC135" s="17" t="str">
        <f>VLOOKUP(AB135,'DATABASE F&amp;B'!$C$3:$F$216,2,0)</f>
        <v>ATLAS ANGGUR LYCHEE</v>
      </c>
      <c r="AD135" s="18">
        <v>1</v>
      </c>
      <c r="AE135" s="19">
        <f>VLOOKUP(AB135,'DATABASE F&amp;B'!$C$3:$F$216,4,0)</f>
        <v>125000</v>
      </c>
      <c r="AF135" s="19">
        <f t="shared" si="156"/>
        <v>125000</v>
      </c>
      <c r="AG135" s="16"/>
      <c r="AH135" s="17">
        <f>VLOOKUP(AG135,'DATABASE F&amp;B'!$C$3:$F$216,2,0)</f>
        <v>0</v>
      </c>
      <c r="AI135" s="18">
        <v>1</v>
      </c>
      <c r="AJ135" s="19">
        <f>VLOOKUP(AG135,'DATABASE F&amp;B'!$C$3:$F$216,4,0)</f>
        <v>0</v>
      </c>
      <c r="AK135" s="19">
        <f t="shared" si="157"/>
        <v>0</v>
      </c>
      <c r="AL135" s="16"/>
      <c r="AM135" s="17">
        <f>VLOOKUP(AL135,'DATABASE F&amp;B'!$C$3:$F$216,2,0)</f>
        <v>0</v>
      </c>
      <c r="AN135" s="18">
        <v>1</v>
      </c>
      <c r="AO135" s="19">
        <f>VLOOKUP(AL135,'DATABASE F&amp;B'!$C$3:$F$216,4,0)</f>
        <v>0</v>
      </c>
      <c r="AP135" s="19">
        <f t="shared" si="158"/>
        <v>0</v>
      </c>
      <c r="AQ135" s="16"/>
      <c r="AR135" s="17">
        <f>VLOOKUP(AQ135,'DATABASE F&amp;B'!$C$3:$F$216,2,0)</f>
        <v>0</v>
      </c>
      <c r="AS135" s="18">
        <v>1</v>
      </c>
      <c r="AT135" s="19">
        <f>VLOOKUP(AQ135,'DATABASE F&amp;B'!$C$3:$F$216,4,0)</f>
        <v>0</v>
      </c>
      <c r="AU135" s="19">
        <f t="shared" si="159"/>
        <v>0</v>
      </c>
      <c r="AV135" s="16"/>
      <c r="AW135" s="17">
        <f>VLOOKUP(AV135,'DATABASE F&amp;B'!$C$3:$F$216,2,0)</f>
        <v>0</v>
      </c>
      <c r="AX135" s="18"/>
      <c r="AY135" s="19">
        <f>VLOOKUP(AV135,'DATABASE F&amp;B'!$C$3:$F$216,4,0)</f>
        <v>0</v>
      </c>
      <c r="AZ135" s="19">
        <f t="shared" si="160"/>
        <v>0</v>
      </c>
      <c r="BA135" s="16"/>
      <c r="BB135" s="17">
        <f>VLOOKUP(BA135,'DATABASE F&amp;B'!$C$3:$F$216,2,0)</f>
        <v>0</v>
      </c>
      <c r="BC135" s="18"/>
      <c r="BD135" s="19">
        <f>VLOOKUP(BA135,'DATABASE F&amp;B'!$C$3:$F$216,4,0)</f>
        <v>0</v>
      </c>
      <c r="BE135" s="19">
        <f t="shared" si="161"/>
        <v>0</v>
      </c>
      <c r="BF135" s="16"/>
      <c r="BG135" s="17">
        <f>VLOOKUP(BF135,'DATABASE F&amp;B'!$C$3:$F$216,2,0)</f>
        <v>0</v>
      </c>
      <c r="BH135" s="18"/>
      <c r="BI135" s="19">
        <f>VLOOKUP(BF135,'DATABASE F&amp;B'!$C$3:$F$216,4,0)</f>
        <v>0</v>
      </c>
      <c r="BJ135" s="19">
        <f t="shared" si="162"/>
        <v>0</v>
      </c>
      <c r="BK135" s="16"/>
      <c r="BL135" s="17">
        <f>VLOOKUP(BK135,'DATABASE F&amp;B'!$C$3:$F$210,2,0)</f>
        <v>0</v>
      </c>
      <c r="BM135" s="18"/>
      <c r="BN135" s="19">
        <f>VLOOKUP(BK135,'DATABASE F&amp;B'!$C$3:$F$210,4,0)</f>
        <v>0</v>
      </c>
      <c r="BO135" s="19">
        <f t="shared" si="163"/>
        <v>0</v>
      </c>
      <c r="BP135" s="16"/>
      <c r="BQ135" s="17">
        <f>VLOOKUP(BP135,'DATABASE F&amp;B'!$C$3:$F$210,2,0)</f>
        <v>0</v>
      </c>
      <c r="BR135" s="18"/>
      <c r="BS135" s="19">
        <f>VLOOKUP(BP135,'DATABASE F&amp;B'!$C$3:$F$210,4,0)</f>
        <v>0</v>
      </c>
      <c r="BT135" s="19">
        <f t="shared" si="164"/>
        <v>0</v>
      </c>
      <c r="BU135" s="16"/>
      <c r="BV135" s="17">
        <f>VLOOKUP(BU135,'DATABASE F&amp;B'!$C$3:$F$210,2,0)</f>
        <v>0</v>
      </c>
      <c r="BW135" s="18"/>
      <c r="BX135" s="19">
        <f>VLOOKUP(BU135,'DATABASE F&amp;B'!$C$3:$F$210,4,0)</f>
        <v>0</v>
      </c>
      <c r="BY135" s="19">
        <f t="shared" si="165"/>
        <v>0</v>
      </c>
      <c r="BZ135" s="16"/>
      <c r="CA135" s="17">
        <f>VLOOKUP(BZ135,'DATABASE F&amp;B'!$C$3:$F$210,2,0)</f>
        <v>0</v>
      </c>
      <c r="CB135" s="18"/>
      <c r="CC135" s="19">
        <f>VLOOKUP(BZ135,'DATABASE F&amp;B'!$C$3:$F$210,4,0)</f>
        <v>0</v>
      </c>
      <c r="CD135" s="19">
        <f t="shared" si="166"/>
        <v>0</v>
      </c>
    </row>
    <row r="136" spans="1:82" ht="13.5" x14ac:dyDescent="0.25">
      <c r="A136" s="32" t="str">
        <f t="shared" si="147"/>
        <v>05-'24-2026</v>
      </c>
      <c r="B136" s="22">
        <f t="shared" si="171"/>
        <v>132</v>
      </c>
      <c r="C136" s="22">
        <f t="shared" si="171"/>
        <v>132</v>
      </c>
      <c r="D136" s="34">
        <v>46166</v>
      </c>
      <c r="E136" s="35" t="s">
        <v>80</v>
      </c>
      <c r="F136" s="35" t="s">
        <v>202</v>
      </c>
      <c r="G136" s="52" t="s">
        <v>81</v>
      </c>
      <c r="H136" s="36" t="str">
        <f t="shared" si="170"/>
        <v>RJ-'240526-132</v>
      </c>
      <c r="I136" s="36" t="str">
        <f t="shared" si="148"/>
        <v>'24-05-2026</v>
      </c>
      <c r="J136" s="37" t="str">
        <f>VLOOKUP(D136,Laporan!$C$4:$D$34,2,0)</f>
        <v>Minggu</v>
      </c>
      <c r="K136" s="48"/>
      <c r="L136" s="13" t="s">
        <v>33</v>
      </c>
      <c r="M136" s="19">
        <f>SUMIF('DATABASE Room'!$B$3:$B$7,L136,'DATABASE Room'!$D$3:$D$7)</f>
        <v>0</v>
      </c>
      <c r="N136" s="13">
        <v>1</v>
      </c>
      <c r="O136" s="21">
        <f t="shared" si="149"/>
        <v>0</v>
      </c>
      <c r="P136" s="38"/>
      <c r="Q136" s="19">
        <f t="shared" si="150"/>
        <v>0</v>
      </c>
      <c r="R136" s="21">
        <f t="shared" si="151"/>
        <v>0</v>
      </c>
      <c r="S136" s="19">
        <f t="shared" si="152"/>
        <v>5</v>
      </c>
      <c r="T136" s="19">
        <f t="shared" si="153"/>
        <v>35000</v>
      </c>
      <c r="U136" s="21">
        <f t="shared" si="154"/>
        <v>35000</v>
      </c>
      <c r="V136" s="39"/>
      <c r="W136" s="16">
        <v>67</v>
      </c>
      <c r="X136" s="17" t="str">
        <f>VLOOKUP(W136,'DATABASE F&amp;B'!$C$3:$F$216,2,0)</f>
        <v>KOPSU PISTACHIO</v>
      </c>
      <c r="Y136" s="18">
        <v>1</v>
      </c>
      <c r="Z136" s="19">
        <f>VLOOKUP(W136,'DATABASE F&amp;B'!$C$3:$F$216,4,0)</f>
        <v>35000</v>
      </c>
      <c r="AA136" s="19">
        <f t="shared" si="155"/>
        <v>35000</v>
      </c>
      <c r="AB136" s="16"/>
      <c r="AC136" s="17">
        <f>VLOOKUP(AB136,'DATABASE F&amp;B'!$C$3:$F$216,2,0)</f>
        <v>0</v>
      </c>
      <c r="AD136" s="18">
        <v>1</v>
      </c>
      <c r="AE136" s="19">
        <f>VLOOKUP(AB136,'DATABASE F&amp;B'!$C$3:$F$216,4,0)</f>
        <v>0</v>
      </c>
      <c r="AF136" s="19">
        <f t="shared" si="156"/>
        <v>0</v>
      </c>
      <c r="AG136" s="16"/>
      <c r="AH136" s="17">
        <f>VLOOKUP(AG136,'DATABASE F&amp;B'!$C$3:$F$216,2,0)</f>
        <v>0</v>
      </c>
      <c r="AI136" s="18">
        <v>1</v>
      </c>
      <c r="AJ136" s="19">
        <f>VLOOKUP(AG136,'DATABASE F&amp;B'!$C$3:$F$216,4,0)</f>
        <v>0</v>
      </c>
      <c r="AK136" s="19">
        <f t="shared" si="157"/>
        <v>0</v>
      </c>
      <c r="AL136" s="16"/>
      <c r="AM136" s="17">
        <f>VLOOKUP(AL136,'DATABASE F&amp;B'!$C$3:$F$216,2,0)</f>
        <v>0</v>
      </c>
      <c r="AN136" s="18">
        <v>1</v>
      </c>
      <c r="AO136" s="19">
        <f>VLOOKUP(AL136,'DATABASE F&amp;B'!$C$3:$F$216,4,0)</f>
        <v>0</v>
      </c>
      <c r="AP136" s="19">
        <f t="shared" si="158"/>
        <v>0</v>
      </c>
      <c r="AQ136" s="16"/>
      <c r="AR136" s="17">
        <f>VLOOKUP(AQ136,'DATABASE F&amp;B'!$C$3:$F$216,2,0)</f>
        <v>0</v>
      </c>
      <c r="AS136" s="18">
        <v>1</v>
      </c>
      <c r="AT136" s="19">
        <f>VLOOKUP(AQ136,'DATABASE F&amp;B'!$C$3:$F$216,4,0)</f>
        <v>0</v>
      </c>
      <c r="AU136" s="19">
        <f t="shared" si="159"/>
        <v>0</v>
      </c>
      <c r="AV136" s="16"/>
      <c r="AW136" s="17">
        <f>VLOOKUP(AV136,'DATABASE F&amp;B'!$C$3:$F$216,2,0)</f>
        <v>0</v>
      </c>
      <c r="AX136" s="18"/>
      <c r="AY136" s="19">
        <f>VLOOKUP(AV136,'DATABASE F&amp;B'!$C$3:$F$216,4,0)</f>
        <v>0</v>
      </c>
      <c r="AZ136" s="19">
        <f t="shared" si="160"/>
        <v>0</v>
      </c>
      <c r="BA136" s="16"/>
      <c r="BB136" s="17">
        <f>VLOOKUP(BA136,'DATABASE F&amp;B'!$C$3:$F$216,2,0)</f>
        <v>0</v>
      </c>
      <c r="BC136" s="18"/>
      <c r="BD136" s="19">
        <f>VLOOKUP(BA136,'DATABASE F&amp;B'!$C$3:$F$216,4,0)</f>
        <v>0</v>
      </c>
      <c r="BE136" s="19">
        <f t="shared" si="161"/>
        <v>0</v>
      </c>
      <c r="BF136" s="16"/>
      <c r="BG136" s="17">
        <f>VLOOKUP(BF136,'DATABASE F&amp;B'!$C$3:$F$216,2,0)</f>
        <v>0</v>
      </c>
      <c r="BH136" s="18"/>
      <c r="BI136" s="19">
        <f>VLOOKUP(BF136,'DATABASE F&amp;B'!$C$3:$F$216,4,0)</f>
        <v>0</v>
      </c>
      <c r="BJ136" s="19">
        <f t="shared" si="162"/>
        <v>0</v>
      </c>
      <c r="BK136" s="16"/>
      <c r="BL136" s="17">
        <f>VLOOKUP(BK136,'DATABASE F&amp;B'!$C$3:$F$210,2,0)</f>
        <v>0</v>
      </c>
      <c r="BM136" s="18"/>
      <c r="BN136" s="19">
        <f>VLOOKUP(BK136,'DATABASE F&amp;B'!$C$3:$F$210,4,0)</f>
        <v>0</v>
      </c>
      <c r="BO136" s="19">
        <f t="shared" si="163"/>
        <v>0</v>
      </c>
      <c r="BP136" s="16"/>
      <c r="BQ136" s="17">
        <f>VLOOKUP(BP136,'DATABASE F&amp;B'!$C$3:$F$210,2,0)</f>
        <v>0</v>
      </c>
      <c r="BR136" s="18"/>
      <c r="BS136" s="19">
        <f>VLOOKUP(BP136,'DATABASE F&amp;B'!$C$3:$F$210,4,0)</f>
        <v>0</v>
      </c>
      <c r="BT136" s="19">
        <f t="shared" si="164"/>
        <v>0</v>
      </c>
      <c r="BU136" s="16"/>
      <c r="BV136" s="17">
        <f>VLOOKUP(BU136,'DATABASE F&amp;B'!$C$3:$F$210,2,0)</f>
        <v>0</v>
      </c>
      <c r="BW136" s="18"/>
      <c r="BX136" s="19">
        <f>VLOOKUP(BU136,'DATABASE F&amp;B'!$C$3:$F$210,4,0)</f>
        <v>0</v>
      </c>
      <c r="BY136" s="19">
        <f t="shared" si="165"/>
        <v>0</v>
      </c>
      <c r="BZ136" s="16"/>
      <c r="CA136" s="17">
        <f>VLOOKUP(BZ136,'DATABASE F&amp;B'!$C$3:$F$210,2,0)</f>
        <v>0</v>
      </c>
      <c r="CB136" s="18"/>
      <c r="CC136" s="19">
        <f>VLOOKUP(BZ136,'DATABASE F&amp;B'!$C$3:$F$210,4,0)</f>
        <v>0</v>
      </c>
      <c r="CD136" s="19">
        <f t="shared" si="166"/>
        <v>0</v>
      </c>
    </row>
    <row r="137" spans="1:82" ht="13.5" x14ac:dyDescent="0.25">
      <c r="A137" s="32" t="str">
        <f t="shared" si="147"/>
        <v>05-'25-2026</v>
      </c>
      <c r="B137" s="22">
        <f t="shared" si="171"/>
        <v>133</v>
      </c>
      <c r="C137" s="22">
        <f t="shared" si="171"/>
        <v>133</v>
      </c>
      <c r="D137" s="34">
        <v>46167</v>
      </c>
      <c r="E137" s="35" t="s">
        <v>64</v>
      </c>
      <c r="F137" s="35" t="s">
        <v>202</v>
      </c>
      <c r="G137" s="52" t="s">
        <v>81</v>
      </c>
      <c r="H137" s="36" t="str">
        <f t="shared" si="170"/>
        <v>RJ-'250526-133</v>
      </c>
      <c r="I137" s="36" t="str">
        <f t="shared" si="148"/>
        <v>'25-05-2026</v>
      </c>
      <c r="J137" s="37" t="str">
        <f>VLOOKUP(D137,Laporan!$C$4:$D$34,2,0)</f>
        <v>Senin</v>
      </c>
      <c r="K137" s="48"/>
      <c r="L137" s="13" t="s">
        <v>33</v>
      </c>
      <c r="M137" s="19">
        <f>SUMIF('DATABASE Room'!$B$3:$B$7,L137,'DATABASE Room'!$D$3:$D$7)</f>
        <v>0</v>
      </c>
      <c r="N137" s="13">
        <v>1</v>
      </c>
      <c r="O137" s="21">
        <f t="shared" si="149"/>
        <v>0</v>
      </c>
      <c r="P137" s="38"/>
      <c r="Q137" s="19">
        <f t="shared" si="150"/>
        <v>0</v>
      </c>
      <c r="R137" s="21">
        <f t="shared" si="151"/>
        <v>0</v>
      </c>
      <c r="S137" s="19">
        <f t="shared" si="152"/>
        <v>5</v>
      </c>
      <c r="T137" s="19">
        <f t="shared" si="153"/>
        <v>35000</v>
      </c>
      <c r="U137" s="21">
        <f t="shared" si="154"/>
        <v>35000</v>
      </c>
      <c r="V137" s="39"/>
      <c r="W137" s="16">
        <v>68</v>
      </c>
      <c r="X137" s="17" t="str">
        <f>VLOOKUP(W137,'DATABASE F&amp;B'!$C$3:$F$216,2,0)</f>
        <v>REDBULL</v>
      </c>
      <c r="Y137" s="18">
        <v>1</v>
      </c>
      <c r="Z137" s="19">
        <f>VLOOKUP(W137,'DATABASE F&amp;B'!$C$3:$F$216,4,0)</f>
        <v>35000</v>
      </c>
      <c r="AA137" s="19">
        <f t="shared" si="155"/>
        <v>35000</v>
      </c>
      <c r="AB137" s="16"/>
      <c r="AC137" s="17">
        <f>VLOOKUP(AB137,'DATABASE F&amp;B'!$C$3:$F$216,2,0)</f>
        <v>0</v>
      </c>
      <c r="AD137" s="18">
        <v>1</v>
      </c>
      <c r="AE137" s="19">
        <f>VLOOKUP(AB137,'DATABASE F&amp;B'!$C$3:$F$216,4,0)</f>
        <v>0</v>
      </c>
      <c r="AF137" s="19">
        <f t="shared" si="156"/>
        <v>0</v>
      </c>
      <c r="AG137" s="16"/>
      <c r="AH137" s="17">
        <f>VLOOKUP(AG137,'DATABASE F&amp;B'!$C$3:$F$216,2,0)</f>
        <v>0</v>
      </c>
      <c r="AI137" s="18">
        <v>1</v>
      </c>
      <c r="AJ137" s="19">
        <f>VLOOKUP(AG137,'DATABASE F&amp;B'!$C$3:$F$216,4,0)</f>
        <v>0</v>
      </c>
      <c r="AK137" s="19">
        <f t="shared" si="157"/>
        <v>0</v>
      </c>
      <c r="AL137" s="16"/>
      <c r="AM137" s="17">
        <f>VLOOKUP(AL137,'DATABASE F&amp;B'!$C$3:$F$216,2,0)</f>
        <v>0</v>
      </c>
      <c r="AN137" s="18">
        <v>1</v>
      </c>
      <c r="AO137" s="19">
        <f>VLOOKUP(AL137,'DATABASE F&amp;B'!$C$3:$F$216,4,0)</f>
        <v>0</v>
      </c>
      <c r="AP137" s="19">
        <f t="shared" si="158"/>
        <v>0</v>
      </c>
      <c r="AQ137" s="16"/>
      <c r="AR137" s="17">
        <f>VLOOKUP(AQ137,'DATABASE F&amp;B'!$C$3:$F$216,2,0)</f>
        <v>0</v>
      </c>
      <c r="AS137" s="18">
        <v>1</v>
      </c>
      <c r="AT137" s="19">
        <f>VLOOKUP(AQ137,'DATABASE F&amp;B'!$C$3:$F$216,4,0)</f>
        <v>0</v>
      </c>
      <c r="AU137" s="19">
        <f t="shared" si="159"/>
        <v>0</v>
      </c>
      <c r="AV137" s="16"/>
      <c r="AW137" s="17">
        <f>VLOOKUP(AV137,'DATABASE F&amp;B'!$C$3:$F$216,2,0)</f>
        <v>0</v>
      </c>
      <c r="AX137" s="18"/>
      <c r="AY137" s="19">
        <f>VLOOKUP(AV137,'DATABASE F&amp;B'!$C$3:$F$216,4,0)</f>
        <v>0</v>
      </c>
      <c r="AZ137" s="19">
        <f t="shared" si="160"/>
        <v>0</v>
      </c>
      <c r="BA137" s="16"/>
      <c r="BB137" s="17">
        <f>VLOOKUP(BA137,'DATABASE F&amp;B'!$C$3:$F$216,2,0)</f>
        <v>0</v>
      </c>
      <c r="BC137" s="18"/>
      <c r="BD137" s="19">
        <f>VLOOKUP(BA137,'DATABASE F&amp;B'!$C$3:$F$216,4,0)</f>
        <v>0</v>
      </c>
      <c r="BE137" s="19">
        <f t="shared" si="161"/>
        <v>0</v>
      </c>
      <c r="BF137" s="16"/>
      <c r="BG137" s="17">
        <f>VLOOKUP(BF137,'DATABASE F&amp;B'!$C$3:$F$216,2,0)</f>
        <v>0</v>
      </c>
      <c r="BH137" s="18"/>
      <c r="BI137" s="19">
        <f>VLOOKUP(BF137,'DATABASE F&amp;B'!$C$3:$F$216,4,0)</f>
        <v>0</v>
      </c>
      <c r="BJ137" s="19">
        <f t="shared" si="162"/>
        <v>0</v>
      </c>
      <c r="BK137" s="16"/>
      <c r="BL137" s="17">
        <f>VLOOKUP(BK137,'DATABASE F&amp;B'!$C$3:$F$210,2,0)</f>
        <v>0</v>
      </c>
      <c r="BM137" s="18"/>
      <c r="BN137" s="19">
        <f>VLOOKUP(BK137,'DATABASE F&amp;B'!$C$3:$F$210,4,0)</f>
        <v>0</v>
      </c>
      <c r="BO137" s="19">
        <f t="shared" si="163"/>
        <v>0</v>
      </c>
      <c r="BP137" s="16"/>
      <c r="BQ137" s="17">
        <f>VLOOKUP(BP137,'DATABASE F&amp;B'!$C$3:$F$210,2,0)</f>
        <v>0</v>
      </c>
      <c r="BR137" s="18"/>
      <c r="BS137" s="19">
        <f>VLOOKUP(BP137,'DATABASE F&amp;B'!$C$3:$F$210,4,0)</f>
        <v>0</v>
      </c>
      <c r="BT137" s="19">
        <f t="shared" si="164"/>
        <v>0</v>
      </c>
      <c r="BU137" s="16"/>
      <c r="BV137" s="17">
        <f>VLOOKUP(BU137,'DATABASE F&amp;B'!$C$3:$F$210,2,0)</f>
        <v>0</v>
      </c>
      <c r="BW137" s="18"/>
      <c r="BX137" s="19">
        <f>VLOOKUP(BU137,'DATABASE F&amp;B'!$C$3:$F$210,4,0)</f>
        <v>0</v>
      </c>
      <c r="BY137" s="19">
        <f t="shared" si="165"/>
        <v>0</v>
      </c>
      <c r="BZ137" s="16"/>
      <c r="CA137" s="17">
        <f>VLOOKUP(BZ137,'DATABASE F&amp;B'!$C$3:$F$210,2,0)</f>
        <v>0</v>
      </c>
      <c r="CB137" s="18"/>
      <c r="CC137" s="19">
        <f>VLOOKUP(BZ137,'DATABASE F&amp;B'!$C$3:$F$210,4,0)</f>
        <v>0</v>
      </c>
      <c r="CD137" s="19">
        <f t="shared" si="166"/>
        <v>0</v>
      </c>
    </row>
    <row r="138" spans="1:82" ht="13.5" x14ac:dyDescent="0.25">
      <c r="A138" s="32" t="str">
        <f t="shared" si="147"/>
        <v>05-'25-2026</v>
      </c>
      <c r="B138" s="22">
        <f t="shared" si="171"/>
        <v>134</v>
      </c>
      <c r="C138" s="22">
        <f t="shared" si="171"/>
        <v>134</v>
      </c>
      <c r="D138" s="34">
        <v>46167</v>
      </c>
      <c r="E138" s="35" t="s">
        <v>64</v>
      </c>
      <c r="F138" s="35" t="s">
        <v>202</v>
      </c>
      <c r="G138" s="52" t="s">
        <v>81</v>
      </c>
      <c r="H138" s="36" t="str">
        <f t="shared" si="170"/>
        <v>RJ-'250526-134</v>
      </c>
      <c r="I138" s="36" t="str">
        <f t="shared" si="148"/>
        <v>'25-05-2026</v>
      </c>
      <c r="J138" s="37" t="str">
        <f>VLOOKUP(D138,Laporan!$C$4:$D$34,2,0)</f>
        <v>Senin</v>
      </c>
      <c r="K138" s="48"/>
      <c r="L138" s="13" t="s">
        <v>33</v>
      </c>
      <c r="M138" s="19">
        <f>SUMIF('DATABASE Room'!$B$3:$B$7,L138,'DATABASE Room'!$D$3:$D$7)</f>
        <v>0</v>
      </c>
      <c r="N138" s="13">
        <v>1</v>
      </c>
      <c r="O138" s="21">
        <f t="shared" si="149"/>
        <v>0</v>
      </c>
      <c r="P138" s="38"/>
      <c r="Q138" s="19">
        <f t="shared" si="150"/>
        <v>0</v>
      </c>
      <c r="R138" s="21">
        <f t="shared" si="151"/>
        <v>0</v>
      </c>
      <c r="S138" s="19">
        <f t="shared" si="152"/>
        <v>5</v>
      </c>
      <c r="T138" s="19">
        <f t="shared" si="153"/>
        <v>38000</v>
      </c>
      <c r="U138" s="21">
        <f t="shared" si="154"/>
        <v>38000</v>
      </c>
      <c r="V138" s="39"/>
      <c r="W138" s="16">
        <v>69</v>
      </c>
      <c r="X138" s="17" t="str">
        <f>VLOOKUP(W138,'DATABASE F&amp;B'!$C$3:$F$216,2,0)</f>
        <v>KOPI MATCHA</v>
      </c>
      <c r="Y138" s="18">
        <v>1</v>
      </c>
      <c r="Z138" s="19">
        <f>VLOOKUP(W138,'DATABASE F&amp;B'!$C$3:$F$216,4,0)</f>
        <v>38000</v>
      </c>
      <c r="AA138" s="19">
        <f t="shared" si="155"/>
        <v>38000</v>
      </c>
      <c r="AB138" s="16"/>
      <c r="AC138" s="17">
        <f>VLOOKUP(AB138,'DATABASE F&amp;B'!$C$3:$F$216,2,0)</f>
        <v>0</v>
      </c>
      <c r="AD138" s="18">
        <v>1</v>
      </c>
      <c r="AE138" s="19">
        <f>VLOOKUP(AB138,'DATABASE F&amp;B'!$C$3:$F$216,4,0)</f>
        <v>0</v>
      </c>
      <c r="AF138" s="19">
        <f t="shared" si="156"/>
        <v>0</v>
      </c>
      <c r="AG138" s="16"/>
      <c r="AH138" s="17">
        <f>VLOOKUP(AG138,'DATABASE F&amp;B'!$C$3:$F$216,2,0)</f>
        <v>0</v>
      </c>
      <c r="AI138" s="18">
        <v>1</v>
      </c>
      <c r="AJ138" s="19">
        <f>VLOOKUP(AG138,'DATABASE F&amp;B'!$C$3:$F$216,4,0)</f>
        <v>0</v>
      </c>
      <c r="AK138" s="19">
        <f t="shared" si="157"/>
        <v>0</v>
      </c>
      <c r="AL138" s="16"/>
      <c r="AM138" s="17">
        <f>VLOOKUP(AL138,'DATABASE F&amp;B'!$C$3:$F$216,2,0)</f>
        <v>0</v>
      </c>
      <c r="AN138" s="18">
        <v>1</v>
      </c>
      <c r="AO138" s="19">
        <f>VLOOKUP(AL138,'DATABASE F&amp;B'!$C$3:$F$216,4,0)</f>
        <v>0</v>
      </c>
      <c r="AP138" s="19">
        <f t="shared" si="158"/>
        <v>0</v>
      </c>
      <c r="AQ138" s="16"/>
      <c r="AR138" s="17">
        <f>VLOOKUP(AQ138,'DATABASE F&amp;B'!$C$3:$F$216,2,0)</f>
        <v>0</v>
      </c>
      <c r="AS138" s="18">
        <v>1</v>
      </c>
      <c r="AT138" s="19">
        <f>VLOOKUP(AQ138,'DATABASE F&amp;B'!$C$3:$F$216,4,0)</f>
        <v>0</v>
      </c>
      <c r="AU138" s="19">
        <f t="shared" si="159"/>
        <v>0</v>
      </c>
      <c r="AV138" s="16"/>
      <c r="AW138" s="17">
        <f>VLOOKUP(AV138,'DATABASE F&amp;B'!$C$3:$F$216,2,0)</f>
        <v>0</v>
      </c>
      <c r="AX138" s="18"/>
      <c r="AY138" s="19">
        <f>VLOOKUP(AV138,'DATABASE F&amp;B'!$C$3:$F$216,4,0)</f>
        <v>0</v>
      </c>
      <c r="AZ138" s="19">
        <f t="shared" si="160"/>
        <v>0</v>
      </c>
      <c r="BA138" s="16"/>
      <c r="BB138" s="17">
        <f>VLOOKUP(BA138,'DATABASE F&amp;B'!$C$3:$F$216,2,0)</f>
        <v>0</v>
      </c>
      <c r="BC138" s="18"/>
      <c r="BD138" s="19">
        <f>VLOOKUP(BA138,'DATABASE F&amp;B'!$C$3:$F$216,4,0)</f>
        <v>0</v>
      </c>
      <c r="BE138" s="19">
        <f t="shared" si="161"/>
        <v>0</v>
      </c>
      <c r="BF138" s="16"/>
      <c r="BG138" s="17">
        <f>VLOOKUP(BF138,'DATABASE F&amp;B'!$C$3:$F$216,2,0)</f>
        <v>0</v>
      </c>
      <c r="BH138" s="18"/>
      <c r="BI138" s="19">
        <f>VLOOKUP(BF138,'DATABASE F&amp;B'!$C$3:$F$216,4,0)</f>
        <v>0</v>
      </c>
      <c r="BJ138" s="19">
        <f t="shared" si="162"/>
        <v>0</v>
      </c>
      <c r="BK138" s="16"/>
      <c r="BL138" s="17">
        <f>VLOOKUP(BK138,'DATABASE F&amp;B'!$C$3:$F$210,2,0)</f>
        <v>0</v>
      </c>
      <c r="BM138" s="18"/>
      <c r="BN138" s="19">
        <f>VLOOKUP(BK138,'DATABASE F&amp;B'!$C$3:$F$210,4,0)</f>
        <v>0</v>
      </c>
      <c r="BO138" s="19">
        <f t="shared" si="163"/>
        <v>0</v>
      </c>
      <c r="BP138" s="16"/>
      <c r="BQ138" s="17">
        <f>VLOOKUP(BP138,'DATABASE F&amp;B'!$C$3:$F$210,2,0)</f>
        <v>0</v>
      </c>
      <c r="BR138" s="18"/>
      <c r="BS138" s="19">
        <f>VLOOKUP(BP138,'DATABASE F&amp;B'!$C$3:$F$210,4,0)</f>
        <v>0</v>
      </c>
      <c r="BT138" s="19">
        <f t="shared" si="164"/>
        <v>0</v>
      </c>
      <c r="BU138" s="16"/>
      <c r="BV138" s="17">
        <f>VLOOKUP(BU138,'DATABASE F&amp;B'!$C$3:$F$210,2,0)</f>
        <v>0</v>
      </c>
      <c r="BW138" s="18"/>
      <c r="BX138" s="19">
        <f>VLOOKUP(BU138,'DATABASE F&amp;B'!$C$3:$F$210,4,0)</f>
        <v>0</v>
      </c>
      <c r="BY138" s="19">
        <f t="shared" si="165"/>
        <v>0</v>
      </c>
      <c r="BZ138" s="16"/>
      <c r="CA138" s="17">
        <f>VLOOKUP(BZ138,'DATABASE F&amp;B'!$C$3:$F$210,2,0)</f>
        <v>0</v>
      </c>
      <c r="CB138" s="18"/>
      <c r="CC138" s="19">
        <f>VLOOKUP(BZ138,'DATABASE F&amp;B'!$C$3:$F$210,4,0)</f>
        <v>0</v>
      </c>
      <c r="CD138" s="19">
        <f t="shared" si="166"/>
        <v>0</v>
      </c>
    </row>
    <row r="139" spans="1:82" ht="13.5" x14ac:dyDescent="0.25">
      <c r="A139" s="32" t="str">
        <f t="shared" si="147"/>
        <v>05-'25-2026</v>
      </c>
      <c r="B139" s="22">
        <f t="shared" si="171"/>
        <v>135</v>
      </c>
      <c r="C139" s="22">
        <f t="shared" si="171"/>
        <v>135</v>
      </c>
      <c r="D139" s="34">
        <v>46167</v>
      </c>
      <c r="E139" s="35" t="s">
        <v>64</v>
      </c>
      <c r="F139" s="35" t="s">
        <v>202</v>
      </c>
      <c r="G139" s="52" t="s">
        <v>81</v>
      </c>
      <c r="H139" s="36" t="str">
        <f t="shared" si="170"/>
        <v>RJ-'250526-135</v>
      </c>
      <c r="I139" s="36" t="str">
        <f t="shared" si="148"/>
        <v>'25-05-2026</v>
      </c>
      <c r="J139" s="37" t="str">
        <f>VLOOKUP(D139,Laporan!$C$4:$D$34,2,0)</f>
        <v>Senin</v>
      </c>
      <c r="K139" s="48"/>
      <c r="L139" s="13" t="s">
        <v>33</v>
      </c>
      <c r="M139" s="19">
        <f>SUMIF('DATABASE Room'!$B$3:$B$7,L139,'DATABASE Room'!$D$3:$D$7)</f>
        <v>0</v>
      </c>
      <c r="N139" s="13">
        <v>1</v>
      </c>
      <c r="O139" s="21">
        <f t="shared" si="149"/>
        <v>0</v>
      </c>
      <c r="P139" s="38"/>
      <c r="Q139" s="19">
        <f t="shared" si="150"/>
        <v>0</v>
      </c>
      <c r="R139" s="21">
        <f t="shared" si="151"/>
        <v>0</v>
      </c>
      <c r="S139" s="19">
        <f t="shared" si="152"/>
        <v>5</v>
      </c>
      <c r="T139" s="19">
        <f t="shared" si="153"/>
        <v>165000</v>
      </c>
      <c r="U139" s="21">
        <f t="shared" si="154"/>
        <v>165000</v>
      </c>
      <c r="V139" s="39"/>
      <c r="W139" s="16">
        <v>70</v>
      </c>
      <c r="X139" s="17" t="str">
        <f>VLOOKUP(W139,'DATABASE F&amp;B'!$C$3:$F$216,2,0)</f>
        <v>SAN MIGUEL LIGHT 330ML</v>
      </c>
      <c r="Y139" s="18">
        <v>1</v>
      </c>
      <c r="Z139" s="19">
        <f>VLOOKUP(W139,'DATABASE F&amp;B'!$C$3:$F$216,4,0)</f>
        <v>40000</v>
      </c>
      <c r="AA139" s="19">
        <f t="shared" si="155"/>
        <v>40000</v>
      </c>
      <c r="AB139" s="16">
        <v>88</v>
      </c>
      <c r="AC139" s="17" t="str">
        <f>VLOOKUP(AB139,'DATABASE F&amp;B'!$C$3:$F$216,2,0)</f>
        <v>SOJU GREEN ROYAL MANGO</v>
      </c>
      <c r="AD139" s="18">
        <v>1</v>
      </c>
      <c r="AE139" s="19">
        <f>VLOOKUP(AB139,'DATABASE F&amp;B'!$C$3:$F$216,4,0)</f>
        <v>125000</v>
      </c>
      <c r="AF139" s="19">
        <f t="shared" si="156"/>
        <v>125000</v>
      </c>
      <c r="AG139" s="16"/>
      <c r="AH139" s="17">
        <f>VLOOKUP(AG139,'DATABASE F&amp;B'!$C$3:$F$216,2,0)</f>
        <v>0</v>
      </c>
      <c r="AI139" s="18">
        <v>1</v>
      </c>
      <c r="AJ139" s="19">
        <f>VLOOKUP(AG139,'DATABASE F&amp;B'!$C$3:$F$216,4,0)</f>
        <v>0</v>
      </c>
      <c r="AK139" s="19">
        <f t="shared" si="157"/>
        <v>0</v>
      </c>
      <c r="AL139" s="16"/>
      <c r="AM139" s="17">
        <f>VLOOKUP(AL139,'DATABASE F&amp;B'!$C$3:$F$216,2,0)</f>
        <v>0</v>
      </c>
      <c r="AN139" s="18">
        <v>1</v>
      </c>
      <c r="AO139" s="19">
        <f>VLOOKUP(AL139,'DATABASE F&amp;B'!$C$3:$F$216,4,0)</f>
        <v>0</v>
      </c>
      <c r="AP139" s="19">
        <f t="shared" si="158"/>
        <v>0</v>
      </c>
      <c r="AQ139" s="16"/>
      <c r="AR139" s="17">
        <f>VLOOKUP(AQ139,'DATABASE F&amp;B'!$C$3:$F$216,2,0)</f>
        <v>0</v>
      </c>
      <c r="AS139" s="18">
        <v>1</v>
      </c>
      <c r="AT139" s="19">
        <f>VLOOKUP(AQ139,'DATABASE F&amp;B'!$C$3:$F$216,4,0)</f>
        <v>0</v>
      </c>
      <c r="AU139" s="19">
        <f t="shared" si="159"/>
        <v>0</v>
      </c>
      <c r="AV139" s="16"/>
      <c r="AW139" s="17">
        <f>VLOOKUP(AV139,'DATABASE F&amp;B'!$C$3:$F$216,2,0)</f>
        <v>0</v>
      </c>
      <c r="AX139" s="18"/>
      <c r="AY139" s="19">
        <f>VLOOKUP(AV139,'DATABASE F&amp;B'!$C$3:$F$216,4,0)</f>
        <v>0</v>
      </c>
      <c r="AZ139" s="19">
        <f t="shared" si="160"/>
        <v>0</v>
      </c>
      <c r="BA139" s="16"/>
      <c r="BB139" s="17">
        <f>VLOOKUP(BA139,'DATABASE F&amp;B'!$C$3:$F$216,2,0)</f>
        <v>0</v>
      </c>
      <c r="BC139" s="18"/>
      <c r="BD139" s="19">
        <f>VLOOKUP(BA139,'DATABASE F&amp;B'!$C$3:$F$216,4,0)</f>
        <v>0</v>
      </c>
      <c r="BE139" s="19">
        <f t="shared" si="161"/>
        <v>0</v>
      </c>
      <c r="BF139" s="16"/>
      <c r="BG139" s="17">
        <f>VLOOKUP(BF139,'DATABASE F&amp;B'!$C$3:$F$216,2,0)</f>
        <v>0</v>
      </c>
      <c r="BH139" s="18"/>
      <c r="BI139" s="19">
        <f>VLOOKUP(BF139,'DATABASE F&amp;B'!$C$3:$F$216,4,0)</f>
        <v>0</v>
      </c>
      <c r="BJ139" s="19">
        <f t="shared" si="162"/>
        <v>0</v>
      </c>
      <c r="BK139" s="16"/>
      <c r="BL139" s="17">
        <f>VLOOKUP(BK139,'DATABASE F&amp;B'!$C$3:$F$210,2,0)</f>
        <v>0</v>
      </c>
      <c r="BM139" s="18"/>
      <c r="BN139" s="19">
        <f>VLOOKUP(BK139,'DATABASE F&amp;B'!$C$3:$F$210,4,0)</f>
        <v>0</v>
      </c>
      <c r="BO139" s="19">
        <f t="shared" si="163"/>
        <v>0</v>
      </c>
      <c r="BP139" s="16"/>
      <c r="BQ139" s="17">
        <f>VLOOKUP(BP139,'DATABASE F&amp;B'!$C$3:$F$210,2,0)</f>
        <v>0</v>
      </c>
      <c r="BR139" s="18"/>
      <c r="BS139" s="19">
        <f>VLOOKUP(BP139,'DATABASE F&amp;B'!$C$3:$F$210,4,0)</f>
        <v>0</v>
      </c>
      <c r="BT139" s="19">
        <f t="shared" si="164"/>
        <v>0</v>
      </c>
      <c r="BU139" s="16"/>
      <c r="BV139" s="17">
        <f>VLOOKUP(BU139,'DATABASE F&amp;B'!$C$3:$F$210,2,0)</f>
        <v>0</v>
      </c>
      <c r="BW139" s="18"/>
      <c r="BX139" s="19">
        <f>VLOOKUP(BU139,'DATABASE F&amp;B'!$C$3:$F$210,4,0)</f>
        <v>0</v>
      </c>
      <c r="BY139" s="19">
        <f t="shared" si="165"/>
        <v>0</v>
      </c>
      <c r="BZ139" s="16"/>
      <c r="CA139" s="17">
        <f>VLOOKUP(BZ139,'DATABASE F&amp;B'!$C$3:$F$210,2,0)</f>
        <v>0</v>
      </c>
      <c r="CB139" s="18"/>
      <c r="CC139" s="19">
        <f>VLOOKUP(BZ139,'DATABASE F&amp;B'!$C$3:$F$210,4,0)</f>
        <v>0</v>
      </c>
      <c r="CD139" s="19">
        <f t="shared" si="166"/>
        <v>0</v>
      </c>
    </row>
    <row r="140" spans="1:82" ht="13.5" x14ac:dyDescent="0.25">
      <c r="A140" s="32" t="str">
        <f t="shared" si="147"/>
        <v>05-'25-2026</v>
      </c>
      <c r="B140" s="22">
        <f t="shared" si="171"/>
        <v>136</v>
      </c>
      <c r="C140" s="22">
        <f t="shared" si="171"/>
        <v>136</v>
      </c>
      <c r="D140" s="34">
        <v>46167</v>
      </c>
      <c r="E140" s="35" t="s">
        <v>64</v>
      </c>
      <c r="F140" s="35" t="s">
        <v>202</v>
      </c>
      <c r="G140" s="52" t="s">
        <v>81</v>
      </c>
      <c r="H140" s="36" t="str">
        <f t="shared" si="170"/>
        <v>RJ-'250526-136</v>
      </c>
      <c r="I140" s="36" t="str">
        <f t="shared" si="148"/>
        <v>'25-05-2026</v>
      </c>
      <c r="J140" s="37" t="str">
        <f>VLOOKUP(D140,Laporan!$C$4:$D$34,2,0)</f>
        <v>Senin</v>
      </c>
      <c r="K140" s="48"/>
      <c r="L140" s="13" t="s">
        <v>33</v>
      </c>
      <c r="M140" s="19">
        <f>SUMIF('DATABASE Room'!$B$3:$B$7,L140,'DATABASE Room'!$D$3:$D$7)</f>
        <v>0</v>
      </c>
      <c r="N140" s="13">
        <v>1</v>
      </c>
      <c r="O140" s="21">
        <f t="shared" si="149"/>
        <v>0</v>
      </c>
      <c r="P140" s="38"/>
      <c r="Q140" s="19">
        <f t="shared" si="150"/>
        <v>0</v>
      </c>
      <c r="R140" s="21">
        <f t="shared" si="151"/>
        <v>0</v>
      </c>
      <c r="S140" s="19">
        <f t="shared" si="152"/>
        <v>5</v>
      </c>
      <c r="T140" s="19">
        <f t="shared" si="153"/>
        <v>42000</v>
      </c>
      <c r="U140" s="21">
        <f t="shared" si="154"/>
        <v>42000</v>
      </c>
      <c r="V140" s="39"/>
      <c r="W140" s="16">
        <v>71</v>
      </c>
      <c r="X140" s="17" t="str">
        <f>VLOOKUP(W140,'DATABASE F&amp;B'!$C$3:$F$216,2,0)</f>
        <v>SAN MIGUEL PALE PILSENER 330ML</v>
      </c>
      <c r="Y140" s="18">
        <v>1</v>
      </c>
      <c r="Z140" s="19">
        <f>VLOOKUP(W140,'DATABASE F&amp;B'!$C$3:$F$216,4,0)</f>
        <v>42000</v>
      </c>
      <c r="AA140" s="19">
        <f t="shared" si="155"/>
        <v>42000</v>
      </c>
      <c r="AB140" s="16"/>
      <c r="AC140" s="17">
        <f>VLOOKUP(AB140,'DATABASE F&amp;B'!$C$3:$F$216,2,0)</f>
        <v>0</v>
      </c>
      <c r="AD140" s="18">
        <v>1</v>
      </c>
      <c r="AE140" s="19">
        <f>VLOOKUP(AB140,'DATABASE F&amp;B'!$C$3:$F$216,4,0)</f>
        <v>0</v>
      </c>
      <c r="AF140" s="19">
        <f t="shared" si="156"/>
        <v>0</v>
      </c>
      <c r="AG140" s="16"/>
      <c r="AH140" s="17">
        <f>VLOOKUP(AG140,'DATABASE F&amp;B'!$C$3:$F$216,2,0)</f>
        <v>0</v>
      </c>
      <c r="AI140" s="18">
        <v>1</v>
      </c>
      <c r="AJ140" s="19">
        <f>VLOOKUP(AG140,'DATABASE F&amp;B'!$C$3:$F$216,4,0)</f>
        <v>0</v>
      </c>
      <c r="AK140" s="19">
        <f t="shared" si="157"/>
        <v>0</v>
      </c>
      <c r="AL140" s="16"/>
      <c r="AM140" s="17">
        <f>VLOOKUP(AL140,'DATABASE F&amp;B'!$C$3:$F$216,2,0)</f>
        <v>0</v>
      </c>
      <c r="AN140" s="18">
        <v>1</v>
      </c>
      <c r="AO140" s="19">
        <f>VLOOKUP(AL140,'DATABASE F&amp;B'!$C$3:$F$216,4,0)</f>
        <v>0</v>
      </c>
      <c r="AP140" s="19">
        <f t="shared" si="158"/>
        <v>0</v>
      </c>
      <c r="AQ140" s="16"/>
      <c r="AR140" s="17">
        <f>VLOOKUP(AQ140,'DATABASE F&amp;B'!$C$3:$F$216,2,0)</f>
        <v>0</v>
      </c>
      <c r="AS140" s="18">
        <v>1</v>
      </c>
      <c r="AT140" s="19">
        <f>VLOOKUP(AQ140,'DATABASE F&amp;B'!$C$3:$F$216,4,0)</f>
        <v>0</v>
      </c>
      <c r="AU140" s="19">
        <f t="shared" si="159"/>
        <v>0</v>
      </c>
      <c r="AV140" s="16"/>
      <c r="AW140" s="17">
        <f>VLOOKUP(AV140,'DATABASE F&amp;B'!$C$3:$F$216,2,0)</f>
        <v>0</v>
      </c>
      <c r="AX140" s="18"/>
      <c r="AY140" s="19">
        <f>VLOOKUP(AV140,'DATABASE F&amp;B'!$C$3:$F$216,4,0)</f>
        <v>0</v>
      </c>
      <c r="AZ140" s="19">
        <f t="shared" si="160"/>
        <v>0</v>
      </c>
      <c r="BA140" s="16"/>
      <c r="BB140" s="17">
        <f>VLOOKUP(BA140,'DATABASE F&amp;B'!$C$3:$F$216,2,0)</f>
        <v>0</v>
      </c>
      <c r="BC140" s="18"/>
      <c r="BD140" s="19">
        <f>VLOOKUP(BA140,'DATABASE F&amp;B'!$C$3:$F$216,4,0)</f>
        <v>0</v>
      </c>
      <c r="BE140" s="19">
        <f t="shared" si="161"/>
        <v>0</v>
      </c>
      <c r="BF140" s="16"/>
      <c r="BG140" s="17">
        <f>VLOOKUP(BF140,'DATABASE F&amp;B'!$C$3:$F$216,2,0)</f>
        <v>0</v>
      </c>
      <c r="BH140" s="18"/>
      <c r="BI140" s="19">
        <f>VLOOKUP(BF140,'DATABASE F&amp;B'!$C$3:$F$216,4,0)</f>
        <v>0</v>
      </c>
      <c r="BJ140" s="19">
        <f t="shared" si="162"/>
        <v>0</v>
      </c>
      <c r="BK140" s="16"/>
      <c r="BL140" s="17">
        <f>VLOOKUP(BK140,'DATABASE F&amp;B'!$C$3:$F$210,2,0)</f>
        <v>0</v>
      </c>
      <c r="BM140" s="18"/>
      <c r="BN140" s="19">
        <f>VLOOKUP(BK140,'DATABASE F&amp;B'!$C$3:$F$210,4,0)</f>
        <v>0</v>
      </c>
      <c r="BO140" s="19">
        <f t="shared" si="163"/>
        <v>0</v>
      </c>
      <c r="BP140" s="16"/>
      <c r="BQ140" s="17">
        <f>VLOOKUP(BP140,'DATABASE F&amp;B'!$C$3:$F$210,2,0)</f>
        <v>0</v>
      </c>
      <c r="BR140" s="18"/>
      <c r="BS140" s="19">
        <f>VLOOKUP(BP140,'DATABASE F&amp;B'!$C$3:$F$210,4,0)</f>
        <v>0</v>
      </c>
      <c r="BT140" s="19">
        <f t="shared" si="164"/>
        <v>0</v>
      </c>
      <c r="BU140" s="16"/>
      <c r="BV140" s="17">
        <f>VLOOKUP(BU140,'DATABASE F&amp;B'!$C$3:$F$210,2,0)</f>
        <v>0</v>
      </c>
      <c r="BW140" s="18"/>
      <c r="BX140" s="19">
        <f>VLOOKUP(BU140,'DATABASE F&amp;B'!$C$3:$F$210,4,0)</f>
        <v>0</v>
      </c>
      <c r="BY140" s="19">
        <f t="shared" si="165"/>
        <v>0</v>
      </c>
      <c r="BZ140" s="16"/>
      <c r="CA140" s="17">
        <f>VLOOKUP(BZ140,'DATABASE F&amp;B'!$C$3:$F$210,2,0)</f>
        <v>0</v>
      </c>
      <c r="CB140" s="18"/>
      <c r="CC140" s="19">
        <f>VLOOKUP(BZ140,'DATABASE F&amp;B'!$C$3:$F$210,4,0)</f>
        <v>0</v>
      </c>
      <c r="CD140" s="19">
        <f t="shared" si="166"/>
        <v>0</v>
      </c>
    </row>
    <row r="141" spans="1:82" ht="13.5" x14ac:dyDescent="0.25">
      <c r="A141" s="32" t="str">
        <f t="shared" si="147"/>
        <v>05-'25-2026</v>
      </c>
      <c r="B141" s="22">
        <f t="shared" si="171"/>
        <v>137</v>
      </c>
      <c r="C141" s="22">
        <f t="shared" si="171"/>
        <v>137</v>
      </c>
      <c r="D141" s="34">
        <v>46167</v>
      </c>
      <c r="E141" s="35" t="s">
        <v>64</v>
      </c>
      <c r="F141" s="35" t="s">
        <v>202</v>
      </c>
      <c r="G141" s="52" t="s">
        <v>81</v>
      </c>
      <c r="H141" s="36" t="str">
        <f t="shared" si="170"/>
        <v>RJ-'250526-137</v>
      </c>
      <c r="I141" s="36" t="str">
        <f t="shared" si="148"/>
        <v>'25-05-2026</v>
      </c>
      <c r="J141" s="37" t="str">
        <f>VLOOKUP(D141,Laporan!$C$4:$D$34,2,0)</f>
        <v>Senin</v>
      </c>
      <c r="K141" s="48"/>
      <c r="L141" s="13" t="s">
        <v>33</v>
      </c>
      <c r="M141" s="19">
        <f>SUMIF('DATABASE Room'!$B$3:$B$7,L141,'DATABASE Room'!$D$3:$D$7)</f>
        <v>0</v>
      </c>
      <c r="N141" s="13">
        <v>1</v>
      </c>
      <c r="O141" s="21">
        <f t="shared" si="149"/>
        <v>0</v>
      </c>
      <c r="P141" s="38"/>
      <c r="Q141" s="19">
        <f t="shared" si="150"/>
        <v>0</v>
      </c>
      <c r="R141" s="21">
        <f t="shared" si="151"/>
        <v>0</v>
      </c>
      <c r="S141" s="19">
        <f t="shared" si="152"/>
        <v>5</v>
      </c>
      <c r="T141" s="19">
        <f t="shared" si="153"/>
        <v>45000</v>
      </c>
      <c r="U141" s="21">
        <f t="shared" si="154"/>
        <v>45000</v>
      </c>
      <c r="V141" s="39"/>
      <c r="W141" s="16">
        <v>72</v>
      </c>
      <c r="X141" s="17" t="str">
        <f>VLOOKUP(W141,'DATABASE F&amp;B'!$C$3:$F$216,2,0)</f>
        <v>CARLSBERG PINT 330ML</v>
      </c>
      <c r="Y141" s="18">
        <v>1</v>
      </c>
      <c r="Z141" s="19">
        <f>VLOOKUP(W141,'DATABASE F&amp;B'!$C$3:$F$216,4,0)</f>
        <v>45000</v>
      </c>
      <c r="AA141" s="19">
        <f t="shared" si="155"/>
        <v>45000</v>
      </c>
      <c r="AB141" s="16"/>
      <c r="AC141" s="17">
        <f>VLOOKUP(AB141,'DATABASE F&amp;B'!$C$3:$F$216,2,0)</f>
        <v>0</v>
      </c>
      <c r="AD141" s="18">
        <v>1</v>
      </c>
      <c r="AE141" s="19">
        <f>VLOOKUP(AB141,'DATABASE F&amp;B'!$C$3:$F$216,4,0)</f>
        <v>0</v>
      </c>
      <c r="AF141" s="19">
        <f t="shared" si="156"/>
        <v>0</v>
      </c>
      <c r="AG141" s="16"/>
      <c r="AH141" s="17">
        <f>VLOOKUP(AG141,'DATABASE F&amp;B'!$C$3:$F$216,2,0)</f>
        <v>0</v>
      </c>
      <c r="AI141" s="18">
        <v>1</v>
      </c>
      <c r="AJ141" s="19">
        <f>VLOOKUP(AG141,'DATABASE F&amp;B'!$C$3:$F$216,4,0)</f>
        <v>0</v>
      </c>
      <c r="AK141" s="19">
        <f t="shared" si="157"/>
        <v>0</v>
      </c>
      <c r="AL141" s="16"/>
      <c r="AM141" s="17">
        <f>VLOOKUP(AL141,'DATABASE F&amp;B'!$C$3:$F$216,2,0)</f>
        <v>0</v>
      </c>
      <c r="AN141" s="18">
        <v>1</v>
      </c>
      <c r="AO141" s="19">
        <f>VLOOKUP(AL141,'DATABASE F&amp;B'!$C$3:$F$216,4,0)</f>
        <v>0</v>
      </c>
      <c r="AP141" s="19">
        <f t="shared" si="158"/>
        <v>0</v>
      </c>
      <c r="AQ141" s="16"/>
      <c r="AR141" s="17">
        <f>VLOOKUP(AQ141,'DATABASE F&amp;B'!$C$3:$F$216,2,0)</f>
        <v>0</v>
      </c>
      <c r="AS141" s="18">
        <v>1</v>
      </c>
      <c r="AT141" s="19">
        <f>VLOOKUP(AQ141,'DATABASE F&amp;B'!$C$3:$F$216,4,0)</f>
        <v>0</v>
      </c>
      <c r="AU141" s="19">
        <f t="shared" si="159"/>
        <v>0</v>
      </c>
      <c r="AV141" s="16"/>
      <c r="AW141" s="17">
        <f>VLOOKUP(AV141,'DATABASE F&amp;B'!$C$3:$F$216,2,0)</f>
        <v>0</v>
      </c>
      <c r="AX141" s="18"/>
      <c r="AY141" s="19">
        <f>VLOOKUP(AV141,'DATABASE F&amp;B'!$C$3:$F$216,4,0)</f>
        <v>0</v>
      </c>
      <c r="AZ141" s="19">
        <f t="shared" si="160"/>
        <v>0</v>
      </c>
      <c r="BA141" s="16"/>
      <c r="BB141" s="17">
        <f>VLOOKUP(BA141,'DATABASE F&amp;B'!$C$3:$F$216,2,0)</f>
        <v>0</v>
      </c>
      <c r="BC141" s="18"/>
      <c r="BD141" s="19">
        <f>VLOOKUP(BA141,'DATABASE F&amp;B'!$C$3:$F$216,4,0)</f>
        <v>0</v>
      </c>
      <c r="BE141" s="19">
        <f t="shared" si="161"/>
        <v>0</v>
      </c>
      <c r="BF141" s="16"/>
      <c r="BG141" s="17">
        <f>VLOOKUP(BF141,'DATABASE F&amp;B'!$C$3:$F$216,2,0)</f>
        <v>0</v>
      </c>
      <c r="BH141" s="18"/>
      <c r="BI141" s="19">
        <f>VLOOKUP(BF141,'DATABASE F&amp;B'!$C$3:$F$216,4,0)</f>
        <v>0</v>
      </c>
      <c r="BJ141" s="19">
        <f t="shared" si="162"/>
        <v>0</v>
      </c>
      <c r="BK141" s="16"/>
      <c r="BL141" s="17">
        <f>VLOOKUP(BK141,'DATABASE F&amp;B'!$C$3:$F$210,2,0)</f>
        <v>0</v>
      </c>
      <c r="BM141" s="18"/>
      <c r="BN141" s="19">
        <f>VLOOKUP(BK141,'DATABASE F&amp;B'!$C$3:$F$210,4,0)</f>
        <v>0</v>
      </c>
      <c r="BO141" s="19">
        <f t="shared" si="163"/>
        <v>0</v>
      </c>
      <c r="BP141" s="16"/>
      <c r="BQ141" s="17">
        <f>VLOOKUP(BP141,'DATABASE F&amp;B'!$C$3:$F$210,2,0)</f>
        <v>0</v>
      </c>
      <c r="BR141" s="18"/>
      <c r="BS141" s="19">
        <f>VLOOKUP(BP141,'DATABASE F&amp;B'!$C$3:$F$210,4,0)</f>
        <v>0</v>
      </c>
      <c r="BT141" s="19">
        <f t="shared" si="164"/>
        <v>0</v>
      </c>
      <c r="BU141" s="16"/>
      <c r="BV141" s="17">
        <f>VLOOKUP(BU141,'DATABASE F&amp;B'!$C$3:$F$210,2,0)</f>
        <v>0</v>
      </c>
      <c r="BW141" s="18"/>
      <c r="BX141" s="19">
        <f>VLOOKUP(BU141,'DATABASE F&amp;B'!$C$3:$F$210,4,0)</f>
        <v>0</v>
      </c>
      <c r="BY141" s="19">
        <f t="shared" si="165"/>
        <v>0</v>
      </c>
      <c r="BZ141" s="16"/>
      <c r="CA141" s="17">
        <f>VLOOKUP(BZ141,'DATABASE F&amp;B'!$C$3:$F$210,2,0)</f>
        <v>0</v>
      </c>
      <c r="CB141" s="18"/>
      <c r="CC141" s="19">
        <f>VLOOKUP(BZ141,'DATABASE F&amp;B'!$C$3:$F$210,4,0)</f>
        <v>0</v>
      </c>
      <c r="CD141" s="19">
        <f t="shared" si="166"/>
        <v>0</v>
      </c>
    </row>
    <row r="142" spans="1:82" ht="13.5" x14ac:dyDescent="0.25">
      <c r="A142" s="32" t="str">
        <f t="shared" si="147"/>
        <v>05-'25-2026</v>
      </c>
      <c r="B142" s="22">
        <f t="shared" si="171"/>
        <v>138</v>
      </c>
      <c r="C142" s="22">
        <f t="shared" si="171"/>
        <v>138</v>
      </c>
      <c r="D142" s="34">
        <v>46167</v>
      </c>
      <c r="E142" s="35" t="s">
        <v>64</v>
      </c>
      <c r="F142" s="35" t="s">
        <v>202</v>
      </c>
      <c r="G142" s="52" t="s">
        <v>81</v>
      </c>
      <c r="H142" s="36" t="str">
        <f t="shared" si="170"/>
        <v>RJ-'250526-138</v>
      </c>
      <c r="I142" s="36" t="str">
        <f t="shared" si="148"/>
        <v>'25-05-2026</v>
      </c>
      <c r="J142" s="37" t="str">
        <f>VLOOKUP(D142,Laporan!$C$4:$D$34,2,0)</f>
        <v>Senin</v>
      </c>
      <c r="K142" s="48"/>
      <c r="L142" s="13" t="s">
        <v>33</v>
      </c>
      <c r="M142" s="19">
        <f>SUMIF('DATABASE Room'!$B$3:$B$7,L142,'DATABASE Room'!$D$3:$D$7)</f>
        <v>0</v>
      </c>
      <c r="N142" s="13">
        <v>1</v>
      </c>
      <c r="O142" s="21">
        <f t="shared" si="149"/>
        <v>0</v>
      </c>
      <c r="P142" s="38"/>
      <c r="Q142" s="19">
        <f t="shared" si="150"/>
        <v>0</v>
      </c>
      <c r="R142" s="21">
        <f t="shared" si="151"/>
        <v>0</v>
      </c>
      <c r="S142" s="19">
        <f t="shared" si="152"/>
        <v>5</v>
      </c>
      <c r="T142" s="19">
        <f t="shared" si="153"/>
        <v>40000</v>
      </c>
      <c r="U142" s="21">
        <f t="shared" si="154"/>
        <v>40000</v>
      </c>
      <c r="V142" s="39"/>
      <c r="W142" s="16">
        <v>73</v>
      </c>
      <c r="X142" s="17" t="str">
        <f>VLOOKUP(W142,'DATABASE F&amp;B'!$C$3:$F$216,2,0)</f>
        <v>GUINNES 325ML</v>
      </c>
      <c r="Y142" s="18">
        <v>1</v>
      </c>
      <c r="Z142" s="19">
        <f>VLOOKUP(W142,'DATABASE F&amp;B'!$C$3:$F$216,4,0)</f>
        <v>40000</v>
      </c>
      <c r="AA142" s="19">
        <f t="shared" si="155"/>
        <v>40000</v>
      </c>
      <c r="AB142" s="16"/>
      <c r="AC142" s="17">
        <f>VLOOKUP(AB142,'DATABASE F&amp;B'!$C$3:$F$216,2,0)</f>
        <v>0</v>
      </c>
      <c r="AD142" s="18">
        <v>1</v>
      </c>
      <c r="AE142" s="19">
        <f>VLOOKUP(AB142,'DATABASE F&amp;B'!$C$3:$F$216,4,0)</f>
        <v>0</v>
      </c>
      <c r="AF142" s="19">
        <f t="shared" si="156"/>
        <v>0</v>
      </c>
      <c r="AG142" s="16"/>
      <c r="AH142" s="17">
        <f>VLOOKUP(AG142,'DATABASE F&amp;B'!$C$3:$F$216,2,0)</f>
        <v>0</v>
      </c>
      <c r="AI142" s="18">
        <v>1</v>
      </c>
      <c r="AJ142" s="19">
        <f>VLOOKUP(AG142,'DATABASE F&amp;B'!$C$3:$F$216,4,0)</f>
        <v>0</v>
      </c>
      <c r="AK142" s="19">
        <f t="shared" si="157"/>
        <v>0</v>
      </c>
      <c r="AL142" s="16"/>
      <c r="AM142" s="17">
        <f>VLOOKUP(AL142,'DATABASE F&amp;B'!$C$3:$F$216,2,0)</f>
        <v>0</v>
      </c>
      <c r="AN142" s="18">
        <v>1</v>
      </c>
      <c r="AO142" s="19">
        <f>VLOOKUP(AL142,'DATABASE F&amp;B'!$C$3:$F$216,4,0)</f>
        <v>0</v>
      </c>
      <c r="AP142" s="19">
        <f t="shared" si="158"/>
        <v>0</v>
      </c>
      <c r="AQ142" s="16"/>
      <c r="AR142" s="17">
        <f>VLOOKUP(AQ142,'DATABASE F&amp;B'!$C$3:$F$216,2,0)</f>
        <v>0</v>
      </c>
      <c r="AS142" s="18">
        <v>1</v>
      </c>
      <c r="AT142" s="19">
        <f>VLOOKUP(AQ142,'DATABASE F&amp;B'!$C$3:$F$216,4,0)</f>
        <v>0</v>
      </c>
      <c r="AU142" s="19">
        <f t="shared" si="159"/>
        <v>0</v>
      </c>
      <c r="AV142" s="16"/>
      <c r="AW142" s="17">
        <f>VLOOKUP(AV142,'DATABASE F&amp;B'!$C$3:$F$216,2,0)</f>
        <v>0</v>
      </c>
      <c r="AX142" s="18"/>
      <c r="AY142" s="19">
        <f>VLOOKUP(AV142,'DATABASE F&amp;B'!$C$3:$F$216,4,0)</f>
        <v>0</v>
      </c>
      <c r="AZ142" s="19">
        <f t="shared" si="160"/>
        <v>0</v>
      </c>
      <c r="BA142" s="16"/>
      <c r="BB142" s="17">
        <f>VLOOKUP(BA142,'DATABASE F&amp;B'!$C$3:$F$216,2,0)</f>
        <v>0</v>
      </c>
      <c r="BC142" s="18"/>
      <c r="BD142" s="19">
        <f>VLOOKUP(BA142,'DATABASE F&amp;B'!$C$3:$F$216,4,0)</f>
        <v>0</v>
      </c>
      <c r="BE142" s="19">
        <f t="shared" si="161"/>
        <v>0</v>
      </c>
      <c r="BF142" s="16"/>
      <c r="BG142" s="17">
        <f>VLOOKUP(BF142,'DATABASE F&amp;B'!$C$3:$F$216,2,0)</f>
        <v>0</v>
      </c>
      <c r="BH142" s="18"/>
      <c r="BI142" s="19">
        <f>VLOOKUP(BF142,'DATABASE F&amp;B'!$C$3:$F$216,4,0)</f>
        <v>0</v>
      </c>
      <c r="BJ142" s="19">
        <f t="shared" si="162"/>
        <v>0</v>
      </c>
      <c r="BK142" s="16"/>
      <c r="BL142" s="17">
        <f>VLOOKUP(BK142,'DATABASE F&amp;B'!$C$3:$F$210,2,0)</f>
        <v>0</v>
      </c>
      <c r="BM142" s="18"/>
      <c r="BN142" s="19">
        <f>VLOOKUP(BK142,'DATABASE F&amp;B'!$C$3:$F$210,4,0)</f>
        <v>0</v>
      </c>
      <c r="BO142" s="19">
        <f t="shared" si="163"/>
        <v>0</v>
      </c>
      <c r="BP142" s="16"/>
      <c r="BQ142" s="17">
        <f>VLOOKUP(BP142,'DATABASE F&amp;B'!$C$3:$F$210,2,0)</f>
        <v>0</v>
      </c>
      <c r="BR142" s="18"/>
      <c r="BS142" s="19">
        <f>VLOOKUP(BP142,'DATABASE F&amp;B'!$C$3:$F$210,4,0)</f>
        <v>0</v>
      </c>
      <c r="BT142" s="19">
        <f t="shared" si="164"/>
        <v>0</v>
      </c>
      <c r="BU142" s="16"/>
      <c r="BV142" s="17">
        <f>VLOOKUP(BU142,'DATABASE F&amp;B'!$C$3:$F$210,2,0)</f>
        <v>0</v>
      </c>
      <c r="BW142" s="18"/>
      <c r="BX142" s="19">
        <f>VLOOKUP(BU142,'DATABASE F&amp;B'!$C$3:$F$210,4,0)</f>
        <v>0</v>
      </c>
      <c r="BY142" s="19">
        <f t="shared" si="165"/>
        <v>0</v>
      </c>
      <c r="BZ142" s="16"/>
      <c r="CA142" s="17">
        <f>VLOOKUP(BZ142,'DATABASE F&amp;B'!$C$3:$F$210,2,0)</f>
        <v>0</v>
      </c>
      <c r="CB142" s="18"/>
      <c r="CC142" s="19">
        <f>VLOOKUP(BZ142,'DATABASE F&amp;B'!$C$3:$F$210,4,0)</f>
        <v>0</v>
      </c>
      <c r="CD142" s="19">
        <f t="shared" si="166"/>
        <v>0</v>
      </c>
    </row>
    <row r="143" spans="1:82" ht="13.5" x14ac:dyDescent="0.25">
      <c r="A143" s="32" t="str">
        <f t="shared" si="147"/>
        <v>05-'26-2026</v>
      </c>
      <c r="B143" s="22">
        <f t="shared" si="171"/>
        <v>139</v>
      </c>
      <c r="C143" s="22">
        <f t="shared" si="171"/>
        <v>139</v>
      </c>
      <c r="D143" s="34">
        <v>46168</v>
      </c>
      <c r="E143" s="35" t="s">
        <v>74</v>
      </c>
      <c r="F143" s="35" t="s">
        <v>202</v>
      </c>
      <c r="G143" s="52" t="s">
        <v>81</v>
      </c>
      <c r="H143" s="36" t="str">
        <f t="shared" si="170"/>
        <v>RJ-'260526-139</v>
      </c>
      <c r="I143" s="36" t="str">
        <f t="shared" si="148"/>
        <v>'26-05-2026</v>
      </c>
      <c r="J143" s="37" t="str">
        <f>VLOOKUP(D143,Laporan!$C$4:$D$34,2,0)</f>
        <v>Selasa</v>
      </c>
      <c r="K143" s="48"/>
      <c r="L143" s="13" t="s">
        <v>33</v>
      </c>
      <c r="M143" s="19">
        <f>SUMIF('DATABASE Room'!$B$3:$B$7,L143,'DATABASE Room'!$D$3:$D$7)</f>
        <v>0</v>
      </c>
      <c r="N143" s="13">
        <v>1</v>
      </c>
      <c r="O143" s="21">
        <f t="shared" si="149"/>
        <v>0</v>
      </c>
      <c r="P143" s="38"/>
      <c r="Q143" s="19">
        <f t="shared" si="150"/>
        <v>0</v>
      </c>
      <c r="R143" s="21">
        <f t="shared" si="151"/>
        <v>0</v>
      </c>
      <c r="S143" s="19">
        <f t="shared" si="152"/>
        <v>5</v>
      </c>
      <c r="T143" s="19">
        <f t="shared" si="153"/>
        <v>45000</v>
      </c>
      <c r="U143" s="21">
        <f t="shared" si="154"/>
        <v>45000</v>
      </c>
      <c r="V143" s="39"/>
      <c r="W143" s="16">
        <v>74</v>
      </c>
      <c r="X143" s="17" t="str">
        <f>VLOOKUP(W143,'DATABASE F&amp;B'!$C$3:$F$216,2,0)</f>
        <v>SAN MIGUEL NEGRA 330ML</v>
      </c>
      <c r="Y143" s="18">
        <v>1</v>
      </c>
      <c r="Z143" s="19">
        <f>VLOOKUP(W143,'DATABASE F&amp;B'!$C$3:$F$216,4,0)</f>
        <v>45000</v>
      </c>
      <c r="AA143" s="19">
        <f t="shared" si="155"/>
        <v>45000</v>
      </c>
      <c r="AB143" s="16"/>
      <c r="AC143" s="17">
        <f>VLOOKUP(AB143,'DATABASE F&amp;B'!$C$3:$F$216,2,0)</f>
        <v>0</v>
      </c>
      <c r="AD143" s="18">
        <v>1</v>
      </c>
      <c r="AE143" s="19">
        <f>VLOOKUP(AB143,'DATABASE F&amp;B'!$C$3:$F$216,4,0)</f>
        <v>0</v>
      </c>
      <c r="AF143" s="19">
        <f t="shared" si="156"/>
        <v>0</v>
      </c>
      <c r="AG143" s="16"/>
      <c r="AH143" s="17">
        <f>VLOOKUP(AG143,'DATABASE F&amp;B'!$C$3:$F$216,2,0)</f>
        <v>0</v>
      </c>
      <c r="AI143" s="18">
        <v>1</v>
      </c>
      <c r="AJ143" s="19">
        <f>VLOOKUP(AG143,'DATABASE F&amp;B'!$C$3:$F$216,4,0)</f>
        <v>0</v>
      </c>
      <c r="AK143" s="19">
        <f t="shared" si="157"/>
        <v>0</v>
      </c>
      <c r="AL143" s="16"/>
      <c r="AM143" s="17">
        <f>VLOOKUP(AL143,'DATABASE F&amp;B'!$C$3:$F$216,2,0)</f>
        <v>0</v>
      </c>
      <c r="AN143" s="18">
        <v>1</v>
      </c>
      <c r="AO143" s="19">
        <f>VLOOKUP(AL143,'DATABASE F&amp;B'!$C$3:$F$216,4,0)</f>
        <v>0</v>
      </c>
      <c r="AP143" s="19">
        <f t="shared" si="158"/>
        <v>0</v>
      </c>
      <c r="AQ143" s="16"/>
      <c r="AR143" s="17">
        <f>VLOOKUP(AQ143,'DATABASE F&amp;B'!$C$3:$F$216,2,0)</f>
        <v>0</v>
      </c>
      <c r="AS143" s="18">
        <v>1</v>
      </c>
      <c r="AT143" s="19">
        <f>VLOOKUP(AQ143,'DATABASE F&amp;B'!$C$3:$F$216,4,0)</f>
        <v>0</v>
      </c>
      <c r="AU143" s="19">
        <f t="shared" si="159"/>
        <v>0</v>
      </c>
      <c r="AV143" s="16"/>
      <c r="AW143" s="17">
        <f>VLOOKUP(AV143,'DATABASE F&amp;B'!$C$3:$F$216,2,0)</f>
        <v>0</v>
      </c>
      <c r="AX143" s="18"/>
      <c r="AY143" s="19">
        <f>VLOOKUP(AV143,'DATABASE F&amp;B'!$C$3:$F$216,4,0)</f>
        <v>0</v>
      </c>
      <c r="AZ143" s="19">
        <f t="shared" si="160"/>
        <v>0</v>
      </c>
      <c r="BA143" s="16"/>
      <c r="BB143" s="17">
        <f>VLOOKUP(BA143,'DATABASE F&amp;B'!$C$3:$F$216,2,0)</f>
        <v>0</v>
      </c>
      <c r="BC143" s="18"/>
      <c r="BD143" s="19">
        <f>VLOOKUP(BA143,'DATABASE F&amp;B'!$C$3:$F$216,4,0)</f>
        <v>0</v>
      </c>
      <c r="BE143" s="19">
        <f t="shared" si="161"/>
        <v>0</v>
      </c>
      <c r="BF143" s="16"/>
      <c r="BG143" s="17">
        <f>VLOOKUP(BF143,'DATABASE F&amp;B'!$C$3:$F$216,2,0)</f>
        <v>0</v>
      </c>
      <c r="BH143" s="18"/>
      <c r="BI143" s="19">
        <f>VLOOKUP(BF143,'DATABASE F&amp;B'!$C$3:$F$216,4,0)</f>
        <v>0</v>
      </c>
      <c r="BJ143" s="19">
        <f t="shared" si="162"/>
        <v>0</v>
      </c>
      <c r="BK143" s="16"/>
      <c r="BL143" s="17">
        <f>VLOOKUP(BK143,'DATABASE F&amp;B'!$C$3:$F$210,2,0)</f>
        <v>0</v>
      </c>
      <c r="BM143" s="18"/>
      <c r="BN143" s="19">
        <f>VLOOKUP(BK143,'DATABASE F&amp;B'!$C$3:$F$210,4,0)</f>
        <v>0</v>
      </c>
      <c r="BO143" s="19">
        <f t="shared" si="163"/>
        <v>0</v>
      </c>
      <c r="BP143" s="16"/>
      <c r="BQ143" s="17">
        <f>VLOOKUP(BP143,'DATABASE F&amp;B'!$C$3:$F$210,2,0)</f>
        <v>0</v>
      </c>
      <c r="BR143" s="18"/>
      <c r="BS143" s="19">
        <f>VLOOKUP(BP143,'DATABASE F&amp;B'!$C$3:$F$210,4,0)</f>
        <v>0</v>
      </c>
      <c r="BT143" s="19">
        <f t="shared" si="164"/>
        <v>0</v>
      </c>
      <c r="BU143" s="16"/>
      <c r="BV143" s="17">
        <f>VLOOKUP(BU143,'DATABASE F&amp;B'!$C$3:$F$210,2,0)</f>
        <v>0</v>
      </c>
      <c r="BW143" s="18"/>
      <c r="BX143" s="19">
        <f>VLOOKUP(BU143,'DATABASE F&amp;B'!$C$3:$F$210,4,0)</f>
        <v>0</v>
      </c>
      <c r="BY143" s="19">
        <f t="shared" si="165"/>
        <v>0</v>
      </c>
      <c r="BZ143" s="16"/>
      <c r="CA143" s="17">
        <f>VLOOKUP(BZ143,'DATABASE F&amp;B'!$C$3:$F$210,2,0)</f>
        <v>0</v>
      </c>
      <c r="CB143" s="18"/>
      <c r="CC143" s="19">
        <f>VLOOKUP(BZ143,'DATABASE F&amp;B'!$C$3:$F$210,4,0)</f>
        <v>0</v>
      </c>
      <c r="CD143" s="19">
        <f t="shared" si="166"/>
        <v>0</v>
      </c>
    </row>
    <row r="144" spans="1:82" ht="13.5" x14ac:dyDescent="0.25">
      <c r="A144" s="32" t="str">
        <f t="shared" si="147"/>
        <v>05-'26-2026</v>
      </c>
      <c r="B144" s="22">
        <f t="shared" si="171"/>
        <v>140</v>
      </c>
      <c r="C144" s="22">
        <f t="shared" si="171"/>
        <v>140</v>
      </c>
      <c r="D144" s="34">
        <v>46168</v>
      </c>
      <c r="E144" s="35" t="s">
        <v>74</v>
      </c>
      <c r="F144" s="35" t="s">
        <v>202</v>
      </c>
      <c r="G144" s="52" t="s">
        <v>81</v>
      </c>
      <c r="H144" s="36" t="str">
        <f t="shared" si="170"/>
        <v>RJ-'260526-140</v>
      </c>
      <c r="I144" s="36" t="str">
        <f t="shared" si="148"/>
        <v>'26-05-2026</v>
      </c>
      <c r="J144" s="37" t="str">
        <f>VLOOKUP(D144,Laporan!$C$4:$D$34,2,0)</f>
        <v>Selasa</v>
      </c>
      <c r="K144" s="48"/>
      <c r="L144" s="13" t="s">
        <v>33</v>
      </c>
      <c r="M144" s="19">
        <f>SUMIF('DATABASE Room'!$B$3:$B$7,L144,'DATABASE Room'!$D$3:$D$7)</f>
        <v>0</v>
      </c>
      <c r="N144" s="13">
        <v>1</v>
      </c>
      <c r="O144" s="21">
        <f t="shared" si="149"/>
        <v>0</v>
      </c>
      <c r="P144" s="38"/>
      <c r="Q144" s="19">
        <f t="shared" si="150"/>
        <v>0</v>
      </c>
      <c r="R144" s="21">
        <f t="shared" si="151"/>
        <v>0</v>
      </c>
      <c r="S144" s="19">
        <f t="shared" si="152"/>
        <v>5</v>
      </c>
      <c r="T144" s="19">
        <f t="shared" si="153"/>
        <v>60000</v>
      </c>
      <c r="U144" s="21">
        <f t="shared" si="154"/>
        <v>60000</v>
      </c>
      <c r="V144" s="39"/>
      <c r="W144" s="16">
        <v>75</v>
      </c>
      <c r="X144" s="17" t="str">
        <f>VLOOKUP(W144,'DATABASE F&amp;B'!$C$3:$F$216,2,0)</f>
        <v>BEER KURA KURA EASY ALE</v>
      </c>
      <c r="Y144" s="18">
        <v>1</v>
      </c>
      <c r="Z144" s="19">
        <f>VLOOKUP(W144,'DATABASE F&amp;B'!$C$3:$F$216,4,0)</f>
        <v>60000</v>
      </c>
      <c r="AA144" s="19">
        <f t="shared" si="155"/>
        <v>60000</v>
      </c>
      <c r="AB144" s="16"/>
      <c r="AC144" s="17">
        <f>VLOOKUP(AB144,'DATABASE F&amp;B'!$C$3:$F$216,2,0)</f>
        <v>0</v>
      </c>
      <c r="AD144" s="18">
        <v>1</v>
      </c>
      <c r="AE144" s="19">
        <f>VLOOKUP(AB144,'DATABASE F&amp;B'!$C$3:$F$216,4,0)</f>
        <v>0</v>
      </c>
      <c r="AF144" s="19">
        <f t="shared" si="156"/>
        <v>0</v>
      </c>
      <c r="AG144" s="16"/>
      <c r="AH144" s="17">
        <f>VLOOKUP(AG144,'DATABASE F&amp;B'!$C$3:$F$216,2,0)</f>
        <v>0</v>
      </c>
      <c r="AI144" s="18">
        <v>1</v>
      </c>
      <c r="AJ144" s="19">
        <f>VLOOKUP(AG144,'DATABASE F&amp;B'!$C$3:$F$216,4,0)</f>
        <v>0</v>
      </c>
      <c r="AK144" s="19">
        <f t="shared" si="157"/>
        <v>0</v>
      </c>
      <c r="AL144" s="16"/>
      <c r="AM144" s="17">
        <f>VLOOKUP(AL144,'DATABASE F&amp;B'!$C$3:$F$216,2,0)</f>
        <v>0</v>
      </c>
      <c r="AN144" s="18">
        <v>1</v>
      </c>
      <c r="AO144" s="19">
        <f>VLOOKUP(AL144,'DATABASE F&amp;B'!$C$3:$F$216,4,0)</f>
        <v>0</v>
      </c>
      <c r="AP144" s="19">
        <f t="shared" si="158"/>
        <v>0</v>
      </c>
      <c r="AQ144" s="16"/>
      <c r="AR144" s="17">
        <f>VLOOKUP(AQ144,'DATABASE F&amp;B'!$C$3:$F$216,2,0)</f>
        <v>0</v>
      </c>
      <c r="AS144" s="18">
        <v>1</v>
      </c>
      <c r="AT144" s="19">
        <f>VLOOKUP(AQ144,'DATABASE F&amp;B'!$C$3:$F$216,4,0)</f>
        <v>0</v>
      </c>
      <c r="AU144" s="19">
        <f t="shared" si="159"/>
        <v>0</v>
      </c>
      <c r="AV144" s="16"/>
      <c r="AW144" s="17">
        <f>VLOOKUP(AV144,'DATABASE F&amp;B'!$C$3:$F$216,2,0)</f>
        <v>0</v>
      </c>
      <c r="AX144" s="18"/>
      <c r="AY144" s="19">
        <f>VLOOKUP(AV144,'DATABASE F&amp;B'!$C$3:$F$216,4,0)</f>
        <v>0</v>
      </c>
      <c r="AZ144" s="19">
        <f t="shared" si="160"/>
        <v>0</v>
      </c>
      <c r="BA144" s="16"/>
      <c r="BB144" s="17">
        <f>VLOOKUP(BA144,'DATABASE F&amp;B'!$C$3:$F$216,2,0)</f>
        <v>0</v>
      </c>
      <c r="BC144" s="18"/>
      <c r="BD144" s="19">
        <f>VLOOKUP(BA144,'DATABASE F&amp;B'!$C$3:$F$216,4,0)</f>
        <v>0</v>
      </c>
      <c r="BE144" s="19">
        <f t="shared" si="161"/>
        <v>0</v>
      </c>
      <c r="BF144" s="16"/>
      <c r="BG144" s="17">
        <f>VLOOKUP(BF144,'DATABASE F&amp;B'!$C$3:$F$216,2,0)</f>
        <v>0</v>
      </c>
      <c r="BH144" s="18"/>
      <c r="BI144" s="19">
        <f>VLOOKUP(BF144,'DATABASE F&amp;B'!$C$3:$F$216,4,0)</f>
        <v>0</v>
      </c>
      <c r="BJ144" s="19">
        <f t="shared" si="162"/>
        <v>0</v>
      </c>
      <c r="BK144" s="16"/>
      <c r="BL144" s="17">
        <f>VLOOKUP(BK144,'DATABASE F&amp;B'!$C$3:$F$210,2,0)</f>
        <v>0</v>
      </c>
      <c r="BM144" s="18"/>
      <c r="BN144" s="19">
        <f>VLOOKUP(BK144,'DATABASE F&amp;B'!$C$3:$F$210,4,0)</f>
        <v>0</v>
      </c>
      <c r="BO144" s="19">
        <f t="shared" si="163"/>
        <v>0</v>
      </c>
      <c r="BP144" s="16"/>
      <c r="BQ144" s="17">
        <f>VLOOKUP(BP144,'DATABASE F&amp;B'!$C$3:$F$210,2,0)</f>
        <v>0</v>
      </c>
      <c r="BR144" s="18"/>
      <c r="BS144" s="19">
        <f>VLOOKUP(BP144,'DATABASE F&amp;B'!$C$3:$F$210,4,0)</f>
        <v>0</v>
      </c>
      <c r="BT144" s="19">
        <f t="shared" si="164"/>
        <v>0</v>
      </c>
      <c r="BU144" s="16"/>
      <c r="BV144" s="17">
        <f>VLOOKUP(BU144,'DATABASE F&amp;B'!$C$3:$F$210,2,0)</f>
        <v>0</v>
      </c>
      <c r="BW144" s="18"/>
      <c r="BX144" s="19">
        <f>VLOOKUP(BU144,'DATABASE F&amp;B'!$C$3:$F$210,4,0)</f>
        <v>0</v>
      </c>
      <c r="BY144" s="19">
        <f t="shared" si="165"/>
        <v>0</v>
      </c>
      <c r="BZ144" s="16"/>
      <c r="CA144" s="17">
        <f>VLOOKUP(BZ144,'DATABASE F&amp;B'!$C$3:$F$210,2,0)</f>
        <v>0</v>
      </c>
      <c r="CB144" s="18"/>
      <c r="CC144" s="19">
        <f>VLOOKUP(BZ144,'DATABASE F&amp;B'!$C$3:$F$210,4,0)</f>
        <v>0</v>
      </c>
      <c r="CD144" s="19">
        <f t="shared" si="166"/>
        <v>0</v>
      </c>
    </row>
    <row r="145" spans="1:82" ht="13.5" x14ac:dyDescent="0.25">
      <c r="A145" s="32" t="str">
        <f t="shared" ref="A145:A208" si="172">CONCATENATE(F145,"-",E145,"-20",G145)</f>
        <v>05-'26-2026</v>
      </c>
      <c r="B145" s="22">
        <f t="shared" si="171"/>
        <v>141</v>
      </c>
      <c r="C145" s="22">
        <f t="shared" si="171"/>
        <v>141</v>
      </c>
      <c r="D145" s="34">
        <v>46168</v>
      </c>
      <c r="E145" s="35" t="s">
        <v>74</v>
      </c>
      <c r="F145" s="35" t="s">
        <v>202</v>
      </c>
      <c r="G145" s="52" t="s">
        <v>81</v>
      </c>
      <c r="H145" s="36" t="str">
        <f t="shared" si="170"/>
        <v>RJ-'260526-141</v>
      </c>
      <c r="I145" s="36" t="str">
        <f t="shared" ref="I145:I208" si="173">CONCATENATE(E145,"-",F145,"-20",G145)</f>
        <v>'26-05-2026</v>
      </c>
      <c r="J145" s="37" t="str">
        <f>VLOOKUP(D145,Laporan!$C$4:$D$34,2,0)</f>
        <v>Selasa</v>
      </c>
      <c r="K145" s="48"/>
      <c r="L145" s="13" t="s">
        <v>33</v>
      </c>
      <c r="M145" s="19">
        <f>SUMIF('DATABASE Room'!$B$3:$B$7,L145,'DATABASE Room'!$D$3:$D$7)</f>
        <v>0</v>
      </c>
      <c r="N145" s="13">
        <v>1</v>
      </c>
      <c r="O145" s="21">
        <f t="shared" ref="O145:O208" si="174">N145*M145</f>
        <v>0</v>
      </c>
      <c r="P145" s="38"/>
      <c r="Q145" s="19">
        <f t="shared" ref="Q145:Q208" si="175">P145*M145</f>
        <v>0</v>
      </c>
      <c r="R145" s="21">
        <f t="shared" ref="R145:R208" si="176">O145+Q145</f>
        <v>0</v>
      </c>
      <c r="S145" s="19">
        <f t="shared" ref="S145:S208" si="177">SUMIF($W$4:$CD$4,$S$4,W145:CD145)</f>
        <v>5</v>
      </c>
      <c r="T145" s="19">
        <f t="shared" ref="T145:T208" si="178">SUMIF($W$4:$CD$4,$T$4,W145:CD145)</f>
        <v>220000</v>
      </c>
      <c r="U145" s="21">
        <f t="shared" ref="U145:U208" si="179">R145+T145</f>
        <v>220000</v>
      </c>
      <c r="V145" s="39"/>
      <c r="W145" s="16">
        <v>76</v>
      </c>
      <c r="X145" s="17" t="str">
        <f>VLOOKUP(W145,'DATABASE F&amp;B'!$C$3:$F$216,2,0)</f>
        <v>BEER KURA KURA LAGER</v>
      </c>
      <c r="Y145" s="18">
        <v>1</v>
      </c>
      <c r="Z145" s="19">
        <f>VLOOKUP(W145,'DATABASE F&amp;B'!$C$3:$F$216,4,0)</f>
        <v>60000</v>
      </c>
      <c r="AA145" s="19">
        <f t="shared" ref="AA145:AA208" si="180">Y145*Z145</f>
        <v>60000</v>
      </c>
      <c r="AB145" s="16">
        <v>83</v>
      </c>
      <c r="AC145" s="17" t="str">
        <f>VLOOKUP(AB145,'DATABASE F&amp;B'!$C$3:$F$216,2,0)</f>
        <v>ANGGUR MERAH REGULER</v>
      </c>
      <c r="AD145" s="18">
        <v>1</v>
      </c>
      <c r="AE145" s="19">
        <f>VLOOKUP(AB145,'DATABASE F&amp;B'!$C$3:$F$216,4,0)</f>
        <v>160000</v>
      </c>
      <c r="AF145" s="19">
        <f t="shared" ref="AF145:AF208" si="181">AD145*AE145</f>
        <v>160000</v>
      </c>
      <c r="AG145" s="16"/>
      <c r="AH145" s="17">
        <f>VLOOKUP(AG145,'DATABASE F&amp;B'!$C$3:$F$216,2,0)</f>
        <v>0</v>
      </c>
      <c r="AI145" s="18">
        <v>1</v>
      </c>
      <c r="AJ145" s="19">
        <f>VLOOKUP(AG145,'DATABASE F&amp;B'!$C$3:$F$216,4,0)</f>
        <v>0</v>
      </c>
      <c r="AK145" s="19">
        <f t="shared" ref="AK145:AK208" si="182">AI145*AJ145</f>
        <v>0</v>
      </c>
      <c r="AL145" s="16"/>
      <c r="AM145" s="17">
        <f>VLOOKUP(AL145,'DATABASE F&amp;B'!$C$3:$F$216,2,0)</f>
        <v>0</v>
      </c>
      <c r="AN145" s="18">
        <v>1</v>
      </c>
      <c r="AO145" s="19">
        <f>VLOOKUP(AL145,'DATABASE F&amp;B'!$C$3:$F$216,4,0)</f>
        <v>0</v>
      </c>
      <c r="AP145" s="19">
        <f t="shared" ref="AP145:AP208" si="183">AN145*AO145</f>
        <v>0</v>
      </c>
      <c r="AQ145" s="16"/>
      <c r="AR145" s="17">
        <f>VLOOKUP(AQ145,'DATABASE F&amp;B'!$C$3:$F$216,2,0)</f>
        <v>0</v>
      </c>
      <c r="AS145" s="18">
        <v>1</v>
      </c>
      <c r="AT145" s="19">
        <f>VLOOKUP(AQ145,'DATABASE F&amp;B'!$C$3:$F$216,4,0)</f>
        <v>0</v>
      </c>
      <c r="AU145" s="19">
        <f t="shared" ref="AU145:AU208" si="184">AS145*AT145</f>
        <v>0</v>
      </c>
      <c r="AV145" s="16"/>
      <c r="AW145" s="17">
        <f>VLOOKUP(AV145,'DATABASE F&amp;B'!$C$3:$F$216,2,0)</f>
        <v>0</v>
      </c>
      <c r="AX145" s="18"/>
      <c r="AY145" s="19">
        <f>VLOOKUP(AV145,'DATABASE F&amp;B'!$C$3:$F$216,4,0)</f>
        <v>0</v>
      </c>
      <c r="AZ145" s="19">
        <f t="shared" ref="AZ145:AZ208" si="185">AX145*AY145</f>
        <v>0</v>
      </c>
      <c r="BA145" s="16"/>
      <c r="BB145" s="17">
        <f>VLOOKUP(BA145,'DATABASE F&amp;B'!$C$3:$F$216,2,0)</f>
        <v>0</v>
      </c>
      <c r="BC145" s="18"/>
      <c r="BD145" s="19">
        <f>VLOOKUP(BA145,'DATABASE F&amp;B'!$C$3:$F$216,4,0)</f>
        <v>0</v>
      </c>
      <c r="BE145" s="19">
        <f t="shared" ref="BE145:BE208" si="186">BC145*BD145</f>
        <v>0</v>
      </c>
      <c r="BF145" s="16"/>
      <c r="BG145" s="17">
        <f>VLOOKUP(BF145,'DATABASE F&amp;B'!$C$3:$F$216,2,0)</f>
        <v>0</v>
      </c>
      <c r="BH145" s="18"/>
      <c r="BI145" s="19">
        <f>VLOOKUP(BF145,'DATABASE F&amp;B'!$C$3:$F$216,4,0)</f>
        <v>0</v>
      </c>
      <c r="BJ145" s="19">
        <f t="shared" ref="BJ145:BJ208" si="187">BH145*BI145</f>
        <v>0</v>
      </c>
      <c r="BK145" s="16"/>
      <c r="BL145" s="17">
        <f>VLOOKUP(BK145,'DATABASE F&amp;B'!$C$3:$F$210,2,0)</f>
        <v>0</v>
      </c>
      <c r="BM145" s="18"/>
      <c r="BN145" s="19">
        <f>VLOOKUP(BK145,'DATABASE F&amp;B'!$C$3:$F$210,4,0)</f>
        <v>0</v>
      </c>
      <c r="BO145" s="19">
        <f t="shared" ref="BO145:BO208" si="188">BM145*BN145</f>
        <v>0</v>
      </c>
      <c r="BP145" s="16"/>
      <c r="BQ145" s="17">
        <f>VLOOKUP(BP145,'DATABASE F&amp;B'!$C$3:$F$210,2,0)</f>
        <v>0</v>
      </c>
      <c r="BR145" s="18"/>
      <c r="BS145" s="19">
        <f>VLOOKUP(BP145,'DATABASE F&amp;B'!$C$3:$F$210,4,0)</f>
        <v>0</v>
      </c>
      <c r="BT145" s="19">
        <f t="shared" ref="BT145:BT208" si="189">BR145*BS145</f>
        <v>0</v>
      </c>
      <c r="BU145" s="16"/>
      <c r="BV145" s="17">
        <f>VLOOKUP(BU145,'DATABASE F&amp;B'!$C$3:$F$210,2,0)</f>
        <v>0</v>
      </c>
      <c r="BW145" s="18"/>
      <c r="BX145" s="19">
        <f>VLOOKUP(BU145,'DATABASE F&amp;B'!$C$3:$F$210,4,0)</f>
        <v>0</v>
      </c>
      <c r="BY145" s="19">
        <f t="shared" ref="BY145:BY208" si="190">BW145*BX145</f>
        <v>0</v>
      </c>
      <c r="BZ145" s="16"/>
      <c r="CA145" s="17">
        <f>VLOOKUP(BZ145,'DATABASE F&amp;B'!$C$3:$F$210,2,0)</f>
        <v>0</v>
      </c>
      <c r="CB145" s="18"/>
      <c r="CC145" s="19">
        <f>VLOOKUP(BZ145,'DATABASE F&amp;B'!$C$3:$F$210,4,0)</f>
        <v>0</v>
      </c>
      <c r="CD145" s="19">
        <f t="shared" ref="CD145:CD208" si="191">CB145*CC145</f>
        <v>0</v>
      </c>
    </row>
    <row r="146" spans="1:82" ht="13.5" x14ac:dyDescent="0.25">
      <c r="A146" s="32" t="str">
        <f t="shared" si="172"/>
        <v>05-'26-2026</v>
      </c>
      <c r="B146" s="22">
        <f t="shared" si="171"/>
        <v>142</v>
      </c>
      <c r="C146" s="22">
        <f t="shared" si="171"/>
        <v>142</v>
      </c>
      <c r="D146" s="34">
        <v>46168</v>
      </c>
      <c r="E146" s="35" t="s">
        <v>74</v>
      </c>
      <c r="F146" s="35" t="s">
        <v>202</v>
      </c>
      <c r="G146" s="52" t="s">
        <v>81</v>
      </c>
      <c r="H146" s="36" t="str">
        <f t="shared" si="170"/>
        <v>RJ-'260526-142</v>
      </c>
      <c r="I146" s="36" t="str">
        <f t="shared" si="173"/>
        <v>'26-05-2026</v>
      </c>
      <c r="J146" s="37" t="str">
        <f>VLOOKUP(D146,Laporan!$C$4:$D$34,2,0)</f>
        <v>Selasa</v>
      </c>
      <c r="K146" s="48"/>
      <c r="L146" s="13" t="s">
        <v>33</v>
      </c>
      <c r="M146" s="19">
        <f>SUMIF('DATABASE Room'!$B$3:$B$7,L146,'DATABASE Room'!$D$3:$D$7)</f>
        <v>0</v>
      </c>
      <c r="N146" s="13">
        <v>1</v>
      </c>
      <c r="O146" s="21">
        <f t="shared" si="174"/>
        <v>0</v>
      </c>
      <c r="P146" s="38"/>
      <c r="Q146" s="19">
        <f t="shared" si="175"/>
        <v>0</v>
      </c>
      <c r="R146" s="21">
        <f t="shared" si="176"/>
        <v>0</v>
      </c>
      <c r="S146" s="19">
        <f t="shared" si="177"/>
        <v>5</v>
      </c>
      <c r="T146" s="19">
        <f t="shared" si="178"/>
        <v>70000</v>
      </c>
      <c r="U146" s="21">
        <f t="shared" si="179"/>
        <v>70000</v>
      </c>
      <c r="V146" s="39"/>
      <c r="W146" s="16">
        <v>77</v>
      </c>
      <c r="X146" s="17" t="str">
        <f>VLOOKUP(W146,'DATABASE F&amp;B'!$C$3:$F$216,2,0)</f>
        <v>BEER KURA KURA SESSION HAZY</v>
      </c>
      <c r="Y146" s="18">
        <v>1</v>
      </c>
      <c r="Z146" s="19">
        <f>VLOOKUP(W146,'DATABASE F&amp;B'!$C$3:$F$216,4,0)</f>
        <v>70000</v>
      </c>
      <c r="AA146" s="19">
        <f t="shared" si="180"/>
        <v>70000</v>
      </c>
      <c r="AB146" s="16"/>
      <c r="AC146" s="17">
        <f>VLOOKUP(AB146,'DATABASE F&amp;B'!$C$3:$F$216,2,0)</f>
        <v>0</v>
      </c>
      <c r="AD146" s="18">
        <v>1</v>
      </c>
      <c r="AE146" s="19">
        <f>VLOOKUP(AB146,'DATABASE F&amp;B'!$C$3:$F$216,4,0)</f>
        <v>0</v>
      </c>
      <c r="AF146" s="19">
        <f t="shared" si="181"/>
        <v>0</v>
      </c>
      <c r="AG146" s="16"/>
      <c r="AH146" s="17">
        <f>VLOOKUP(AG146,'DATABASE F&amp;B'!$C$3:$F$216,2,0)</f>
        <v>0</v>
      </c>
      <c r="AI146" s="18">
        <v>1</v>
      </c>
      <c r="AJ146" s="19">
        <f>VLOOKUP(AG146,'DATABASE F&amp;B'!$C$3:$F$216,4,0)</f>
        <v>0</v>
      </c>
      <c r="AK146" s="19">
        <f t="shared" si="182"/>
        <v>0</v>
      </c>
      <c r="AL146" s="16"/>
      <c r="AM146" s="17">
        <f>VLOOKUP(AL146,'DATABASE F&amp;B'!$C$3:$F$216,2,0)</f>
        <v>0</v>
      </c>
      <c r="AN146" s="18">
        <v>1</v>
      </c>
      <c r="AO146" s="19">
        <f>VLOOKUP(AL146,'DATABASE F&amp;B'!$C$3:$F$216,4,0)</f>
        <v>0</v>
      </c>
      <c r="AP146" s="19">
        <f t="shared" si="183"/>
        <v>0</v>
      </c>
      <c r="AQ146" s="16"/>
      <c r="AR146" s="17">
        <f>VLOOKUP(AQ146,'DATABASE F&amp;B'!$C$3:$F$216,2,0)</f>
        <v>0</v>
      </c>
      <c r="AS146" s="18">
        <v>1</v>
      </c>
      <c r="AT146" s="19">
        <f>VLOOKUP(AQ146,'DATABASE F&amp;B'!$C$3:$F$216,4,0)</f>
        <v>0</v>
      </c>
      <c r="AU146" s="19">
        <f t="shared" si="184"/>
        <v>0</v>
      </c>
      <c r="AV146" s="16"/>
      <c r="AW146" s="17">
        <f>VLOOKUP(AV146,'DATABASE F&amp;B'!$C$3:$F$216,2,0)</f>
        <v>0</v>
      </c>
      <c r="AX146" s="18"/>
      <c r="AY146" s="19">
        <f>VLOOKUP(AV146,'DATABASE F&amp;B'!$C$3:$F$216,4,0)</f>
        <v>0</v>
      </c>
      <c r="AZ146" s="19">
        <f t="shared" si="185"/>
        <v>0</v>
      </c>
      <c r="BA146" s="16"/>
      <c r="BB146" s="17">
        <f>VLOOKUP(BA146,'DATABASE F&amp;B'!$C$3:$F$216,2,0)</f>
        <v>0</v>
      </c>
      <c r="BC146" s="18"/>
      <c r="BD146" s="19">
        <f>VLOOKUP(BA146,'DATABASE F&amp;B'!$C$3:$F$216,4,0)</f>
        <v>0</v>
      </c>
      <c r="BE146" s="19">
        <f t="shared" si="186"/>
        <v>0</v>
      </c>
      <c r="BF146" s="16"/>
      <c r="BG146" s="17">
        <f>VLOOKUP(BF146,'DATABASE F&amp;B'!$C$3:$F$216,2,0)</f>
        <v>0</v>
      </c>
      <c r="BH146" s="18"/>
      <c r="BI146" s="19">
        <f>VLOOKUP(BF146,'DATABASE F&amp;B'!$C$3:$F$216,4,0)</f>
        <v>0</v>
      </c>
      <c r="BJ146" s="19">
        <f t="shared" si="187"/>
        <v>0</v>
      </c>
      <c r="BK146" s="16"/>
      <c r="BL146" s="17">
        <f>VLOOKUP(BK146,'DATABASE F&amp;B'!$C$3:$F$210,2,0)</f>
        <v>0</v>
      </c>
      <c r="BM146" s="18"/>
      <c r="BN146" s="19">
        <f>VLOOKUP(BK146,'DATABASE F&amp;B'!$C$3:$F$210,4,0)</f>
        <v>0</v>
      </c>
      <c r="BO146" s="19">
        <f t="shared" si="188"/>
        <v>0</v>
      </c>
      <c r="BP146" s="16"/>
      <c r="BQ146" s="17">
        <f>VLOOKUP(BP146,'DATABASE F&amp;B'!$C$3:$F$210,2,0)</f>
        <v>0</v>
      </c>
      <c r="BR146" s="18"/>
      <c r="BS146" s="19">
        <f>VLOOKUP(BP146,'DATABASE F&amp;B'!$C$3:$F$210,4,0)</f>
        <v>0</v>
      </c>
      <c r="BT146" s="19">
        <f t="shared" si="189"/>
        <v>0</v>
      </c>
      <c r="BU146" s="16"/>
      <c r="BV146" s="17">
        <f>VLOOKUP(BU146,'DATABASE F&amp;B'!$C$3:$F$210,2,0)</f>
        <v>0</v>
      </c>
      <c r="BW146" s="18"/>
      <c r="BX146" s="19">
        <f>VLOOKUP(BU146,'DATABASE F&amp;B'!$C$3:$F$210,4,0)</f>
        <v>0</v>
      </c>
      <c r="BY146" s="19">
        <f t="shared" si="190"/>
        <v>0</v>
      </c>
      <c r="BZ146" s="16"/>
      <c r="CA146" s="17">
        <f>VLOOKUP(BZ146,'DATABASE F&amp;B'!$C$3:$F$210,2,0)</f>
        <v>0</v>
      </c>
      <c r="CB146" s="18"/>
      <c r="CC146" s="19">
        <f>VLOOKUP(BZ146,'DATABASE F&amp;B'!$C$3:$F$210,4,0)</f>
        <v>0</v>
      </c>
      <c r="CD146" s="19">
        <f t="shared" si="191"/>
        <v>0</v>
      </c>
    </row>
    <row r="147" spans="1:82" ht="13.5" x14ac:dyDescent="0.25">
      <c r="A147" s="32" t="str">
        <f t="shared" si="172"/>
        <v>05-'26-2026</v>
      </c>
      <c r="B147" s="22">
        <f t="shared" si="171"/>
        <v>143</v>
      </c>
      <c r="C147" s="22">
        <f t="shared" si="171"/>
        <v>143</v>
      </c>
      <c r="D147" s="34">
        <v>46168</v>
      </c>
      <c r="E147" s="35" t="s">
        <v>74</v>
      </c>
      <c r="F147" s="35" t="s">
        <v>202</v>
      </c>
      <c r="G147" s="52" t="s">
        <v>81</v>
      </c>
      <c r="H147" s="36" t="str">
        <f t="shared" si="170"/>
        <v>RJ-'260526-143</v>
      </c>
      <c r="I147" s="36" t="str">
        <f t="shared" si="173"/>
        <v>'26-05-2026</v>
      </c>
      <c r="J147" s="37" t="str">
        <f>VLOOKUP(D147,Laporan!$C$4:$D$34,2,0)</f>
        <v>Selasa</v>
      </c>
      <c r="K147" s="48"/>
      <c r="L147" s="13" t="s">
        <v>33</v>
      </c>
      <c r="M147" s="19">
        <f>SUMIF('DATABASE Room'!$B$3:$B$7,L147,'DATABASE Room'!$D$3:$D$7)</f>
        <v>0</v>
      </c>
      <c r="N147" s="13">
        <v>1</v>
      </c>
      <c r="O147" s="21">
        <f t="shared" si="174"/>
        <v>0</v>
      </c>
      <c r="P147" s="38"/>
      <c r="Q147" s="19">
        <f t="shared" si="175"/>
        <v>0</v>
      </c>
      <c r="R147" s="21">
        <f t="shared" si="176"/>
        <v>0</v>
      </c>
      <c r="S147" s="19">
        <f t="shared" si="177"/>
        <v>5</v>
      </c>
      <c r="T147" s="19">
        <f t="shared" si="178"/>
        <v>75000</v>
      </c>
      <c r="U147" s="21">
        <f t="shared" si="179"/>
        <v>75000</v>
      </c>
      <c r="V147" s="39"/>
      <c r="W147" s="16">
        <v>78</v>
      </c>
      <c r="X147" s="17" t="str">
        <f>VLOOKUP(W147,'DATABASE F&amp;B'!$C$3:$F$216,2,0)</f>
        <v>ASAHI DRY PINT 330ML</v>
      </c>
      <c r="Y147" s="18">
        <v>1</v>
      </c>
      <c r="Z147" s="19">
        <f>VLOOKUP(W147,'DATABASE F&amp;B'!$C$3:$F$216,4,0)</f>
        <v>75000</v>
      </c>
      <c r="AA147" s="19">
        <f t="shared" si="180"/>
        <v>75000</v>
      </c>
      <c r="AB147" s="16"/>
      <c r="AC147" s="17">
        <f>VLOOKUP(AB147,'DATABASE F&amp;B'!$C$3:$F$216,2,0)</f>
        <v>0</v>
      </c>
      <c r="AD147" s="18">
        <v>1</v>
      </c>
      <c r="AE147" s="19">
        <f>VLOOKUP(AB147,'DATABASE F&amp;B'!$C$3:$F$216,4,0)</f>
        <v>0</v>
      </c>
      <c r="AF147" s="19">
        <f t="shared" si="181"/>
        <v>0</v>
      </c>
      <c r="AG147" s="16"/>
      <c r="AH147" s="17">
        <f>VLOOKUP(AG147,'DATABASE F&amp;B'!$C$3:$F$216,2,0)</f>
        <v>0</v>
      </c>
      <c r="AI147" s="18">
        <v>1</v>
      </c>
      <c r="AJ147" s="19">
        <f>VLOOKUP(AG147,'DATABASE F&amp;B'!$C$3:$F$216,4,0)</f>
        <v>0</v>
      </c>
      <c r="AK147" s="19">
        <f t="shared" si="182"/>
        <v>0</v>
      </c>
      <c r="AL147" s="16"/>
      <c r="AM147" s="17">
        <f>VLOOKUP(AL147,'DATABASE F&amp;B'!$C$3:$F$216,2,0)</f>
        <v>0</v>
      </c>
      <c r="AN147" s="18">
        <v>1</v>
      </c>
      <c r="AO147" s="19">
        <f>VLOOKUP(AL147,'DATABASE F&amp;B'!$C$3:$F$216,4,0)</f>
        <v>0</v>
      </c>
      <c r="AP147" s="19">
        <f t="shared" si="183"/>
        <v>0</v>
      </c>
      <c r="AQ147" s="16"/>
      <c r="AR147" s="17">
        <f>VLOOKUP(AQ147,'DATABASE F&amp;B'!$C$3:$F$216,2,0)</f>
        <v>0</v>
      </c>
      <c r="AS147" s="18">
        <v>1</v>
      </c>
      <c r="AT147" s="19">
        <f>VLOOKUP(AQ147,'DATABASE F&amp;B'!$C$3:$F$216,4,0)</f>
        <v>0</v>
      </c>
      <c r="AU147" s="19">
        <f t="shared" si="184"/>
        <v>0</v>
      </c>
      <c r="AV147" s="16"/>
      <c r="AW147" s="17">
        <f>VLOOKUP(AV147,'DATABASE F&amp;B'!$C$3:$F$216,2,0)</f>
        <v>0</v>
      </c>
      <c r="AX147" s="18"/>
      <c r="AY147" s="19">
        <f>VLOOKUP(AV147,'DATABASE F&amp;B'!$C$3:$F$216,4,0)</f>
        <v>0</v>
      </c>
      <c r="AZ147" s="19">
        <f t="shared" si="185"/>
        <v>0</v>
      </c>
      <c r="BA147" s="16"/>
      <c r="BB147" s="17">
        <f>VLOOKUP(BA147,'DATABASE F&amp;B'!$C$3:$F$216,2,0)</f>
        <v>0</v>
      </c>
      <c r="BC147" s="18"/>
      <c r="BD147" s="19">
        <f>VLOOKUP(BA147,'DATABASE F&amp;B'!$C$3:$F$216,4,0)</f>
        <v>0</v>
      </c>
      <c r="BE147" s="19">
        <f t="shared" si="186"/>
        <v>0</v>
      </c>
      <c r="BF147" s="16"/>
      <c r="BG147" s="17">
        <f>VLOOKUP(BF147,'DATABASE F&amp;B'!$C$3:$F$216,2,0)</f>
        <v>0</v>
      </c>
      <c r="BH147" s="18"/>
      <c r="BI147" s="19">
        <f>VLOOKUP(BF147,'DATABASE F&amp;B'!$C$3:$F$216,4,0)</f>
        <v>0</v>
      </c>
      <c r="BJ147" s="19">
        <f t="shared" si="187"/>
        <v>0</v>
      </c>
      <c r="BK147" s="16"/>
      <c r="BL147" s="17">
        <f>VLOOKUP(BK147,'DATABASE F&amp;B'!$C$3:$F$210,2,0)</f>
        <v>0</v>
      </c>
      <c r="BM147" s="18"/>
      <c r="BN147" s="19">
        <f>VLOOKUP(BK147,'DATABASE F&amp;B'!$C$3:$F$210,4,0)</f>
        <v>0</v>
      </c>
      <c r="BO147" s="19">
        <f t="shared" si="188"/>
        <v>0</v>
      </c>
      <c r="BP147" s="16"/>
      <c r="BQ147" s="17">
        <f>VLOOKUP(BP147,'DATABASE F&amp;B'!$C$3:$F$210,2,0)</f>
        <v>0</v>
      </c>
      <c r="BR147" s="18"/>
      <c r="BS147" s="19">
        <f>VLOOKUP(BP147,'DATABASE F&amp;B'!$C$3:$F$210,4,0)</f>
        <v>0</v>
      </c>
      <c r="BT147" s="19">
        <f t="shared" si="189"/>
        <v>0</v>
      </c>
      <c r="BU147" s="16"/>
      <c r="BV147" s="17">
        <f>VLOOKUP(BU147,'DATABASE F&amp;B'!$C$3:$F$210,2,0)</f>
        <v>0</v>
      </c>
      <c r="BW147" s="18"/>
      <c r="BX147" s="19">
        <f>VLOOKUP(BU147,'DATABASE F&amp;B'!$C$3:$F$210,4,0)</f>
        <v>0</v>
      </c>
      <c r="BY147" s="19">
        <f t="shared" si="190"/>
        <v>0</v>
      </c>
      <c r="BZ147" s="16"/>
      <c r="CA147" s="17">
        <f>VLOOKUP(BZ147,'DATABASE F&amp;B'!$C$3:$F$210,2,0)</f>
        <v>0</v>
      </c>
      <c r="CB147" s="18"/>
      <c r="CC147" s="19">
        <f>VLOOKUP(BZ147,'DATABASE F&amp;B'!$C$3:$F$210,4,0)</f>
        <v>0</v>
      </c>
      <c r="CD147" s="19">
        <f t="shared" si="191"/>
        <v>0</v>
      </c>
    </row>
    <row r="148" spans="1:82" ht="13.5" x14ac:dyDescent="0.25">
      <c r="A148" s="32" t="str">
        <f t="shared" si="172"/>
        <v>05-'26-2026</v>
      </c>
      <c r="B148" s="22">
        <f t="shared" si="171"/>
        <v>144</v>
      </c>
      <c r="C148" s="22">
        <f t="shared" si="171"/>
        <v>144</v>
      </c>
      <c r="D148" s="34">
        <v>46168</v>
      </c>
      <c r="E148" s="35" t="s">
        <v>74</v>
      </c>
      <c r="F148" s="35" t="s">
        <v>202</v>
      </c>
      <c r="G148" s="52" t="s">
        <v>81</v>
      </c>
      <c r="H148" s="36" t="str">
        <f t="shared" si="170"/>
        <v>RJ-'260526-144</v>
      </c>
      <c r="I148" s="36" t="str">
        <f t="shared" si="173"/>
        <v>'26-05-2026</v>
      </c>
      <c r="J148" s="37" t="str">
        <f>VLOOKUP(D148,Laporan!$C$4:$D$34,2,0)</f>
        <v>Selasa</v>
      </c>
      <c r="K148" s="48"/>
      <c r="L148" s="13" t="s">
        <v>33</v>
      </c>
      <c r="M148" s="19">
        <f>SUMIF('DATABASE Room'!$B$3:$B$7,L148,'DATABASE Room'!$D$3:$D$7)</f>
        <v>0</v>
      </c>
      <c r="N148" s="13">
        <v>1</v>
      </c>
      <c r="O148" s="21">
        <f t="shared" si="174"/>
        <v>0</v>
      </c>
      <c r="P148" s="38"/>
      <c r="Q148" s="19">
        <f t="shared" si="175"/>
        <v>0</v>
      </c>
      <c r="R148" s="21">
        <f t="shared" si="176"/>
        <v>0</v>
      </c>
      <c r="S148" s="19">
        <f t="shared" si="177"/>
        <v>5</v>
      </c>
      <c r="T148" s="19">
        <f t="shared" si="178"/>
        <v>80000</v>
      </c>
      <c r="U148" s="21">
        <f t="shared" si="179"/>
        <v>80000</v>
      </c>
      <c r="V148" s="39"/>
      <c r="W148" s="16">
        <v>79</v>
      </c>
      <c r="X148" s="17" t="str">
        <f>VLOOKUP(W148,'DATABASE F&amp;B'!$C$3:$F$216,2,0)</f>
        <v>ERDINGER HELLES LAGER 330ML</v>
      </c>
      <c r="Y148" s="18">
        <v>1</v>
      </c>
      <c r="Z148" s="19">
        <f>VLOOKUP(W148,'DATABASE F&amp;B'!$C$3:$F$216,4,0)</f>
        <v>80000</v>
      </c>
      <c r="AA148" s="19">
        <f t="shared" si="180"/>
        <v>80000</v>
      </c>
      <c r="AB148" s="16"/>
      <c r="AC148" s="17">
        <f>VLOOKUP(AB148,'DATABASE F&amp;B'!$C$3:$F$216,2,0)</f>
        <v>0</v>
      </c>
      <c r="AD148" s="18">
        <v>1</v>
      </c>
      <c r="AE148" s="19">
        <f>VLOOKUP(AB148,'DATABASE F&amp;B'!$C$3:$F$216,4,0)</f>
        <v>0</v>
      </c>
      <c r="AF148" s="19">
        <f t="shared" si="181"/>
        <v>0</v>
      </c>
      <c r="AG148" s="16"/>
      <c r="AH148" s="17">
        <f>VLOOKUP(AG148,'DATABASE F&amp;B'!$C$3:$F$216,2,0)</f>
        <v>0</v>
      </c>
      <c r="AI148" s="18">
        <v>1</v>
      </c>
      <c r="AJ148" s="19">
        <f>VLOOKUP(AG148,'DATABASE F&amp;B'!$C$3:$F$216,4,0)</f>
        <v>0</v>
      </c>
      <c r="AK148" s="19">
        <f t="shared" si="182"/>
        <v>0</v>
      </c>
      <c r="AL148" s="16"/>
      <c r="AM148" s="17">
        <f>VLOOKUP(AL148,'DATABASE F&amp;B'!$C$3:$F$216,2,0)</f>
        <v>0</v>
      </c>
      <c r="AN148" s="18">
        <v>1</v>
      </c>
      <c r="AO148" s="19">
        <f>VLOOKUP(AL148,'DATABASE F&amp;B'!$C$3:$F$216,4,0)</f>
        <v>0</v>
      </c>
      <c r="AP148" s="19">
        <f t="shared" si="183"/>
        <v>0</v>
      </c>
      <c r="AQ148" s="16"/>
      <c r="AR148" s="17">
        <f>VLOOKUP(AQ148,'DATABASE F&amp;B'!$C$3:$F$216,2,0)</f>
        <v>0</v>
      </c>
      <c r="AS148" s="18">
        <v>1</v>
      </c>
      <c r="AT148" s="19">
        <f>VLOOKUP(AQ148,'DATABASE F&amp;B'!$C$3:$F$216,4,0)</f>
        <v>0</v>
      </c>
      <c r="AU148" s="19">
        <f t="shared" si="184"/>
        <v>0</v>
      </c>
      <c r="AV148" s="16"/>
      <c r="AW148" s="17">
        <f>VLOOKUP(AV148,'DATABASE F&amp;B'!$C$3:$F$216,2,0)</f>
        <v>0</v>
      </c>
      <c r="AX148" s="18"/>
      <c r="AY148" s="19">
        <f>VLOOKUP(AV148,'DATABASE F&amp;B'!$C$3:$F$216,4,0)</f>
        <v>0</v>
      </c>
      <c r="AZ148" s="19">
        <f t="shared" si="185"/>
        <v>0</v>
      </c>
      <c r="BA148" s="16"/>
      <c r="BB148" s="17">
        <f>VLOOKUP(BA148,'DATABASE F&amp;B'!$C$3:$F$216,2,0)</f>
        <v>0</v>
      </c>
      <c r="BC148" s="18"/>
      <c r="BD148" s="19">
        <f>VLOOKUP(BA148,'DATABASE F&amp;B'!$C$3:$F$216,4,0)</f>
        <v>0</v>
      </c>
      <c r="BE148" s="19">
        <f t="shared" si="186"/>
        <v>0</v>
      </c>
      <c r="BF148" s="16"/>
      <c r="BG148" s="17">
        <f>VLOOKUP(BF148,'DATABASE F&amp;B'!$C$3:$F$216,2,0)</f>
        <v>0</v>
      </c>
      <c r="BH148" s="18"/>
      <c r="BI148" s="19">
        <f>VLOOKUP(BF148,'DATABASE F&amp;B'!$C$3:$F$216,4,0)</f>
        <v>0</v>
      </c>
      <c r="BJ148" s="19">
        <f t="shared" si="187"/>
        <v>0</v>
      </c>
      <c r="BK148" s="16"/>
      <c r="BL148" s="17">
        <f>VLOOKUP(BK148,'DATABASE F&amp;B'!$C$3:$F$210,2,0)</f>
        <v>0</v>
      </c>
      <c r="BM148" s="18"/>
      <c r="BN148" s="19">
        <f>VLOOKUP(BK148,'DATABASE F&amp;B'!$C$3:$F$210,4,0)</f>
        <v>0</v>
      </c>
      <c r="BO148" s="19">
        <f t="shared" si="188"/>
        <v>0</v>
      </c>
      <c r="BP148" s="16"/>
      <c r="BQ148" s="17">
        <f>VLOOKUP(BP148,'DATABASE F&amp;B'!$C$3:$F$210,2,0)</f>
        <v>0</v>
      </c>
      <c r="BR148" s="18"/>
      <c r="BS148" s="19">
        <f>VLOOKUP(BP148,'DATABASE F&amp;B'!$C$3:$F$210,4,0)</f>
        <v>0</v>
      </c>
      <c r="BT148" s="19">
        <f t="shared" si="189"/>
        <v>0</v>
      </c>
      <c r="BU148" s="16"/>
      <c r="BV148" s="17">
        <f>VLOOKUP(BU148,'DATABASE F&amp;B'!$C$3:$F$210,2,0)</f>
        <v>0</v>
      </c>
      <c r="BW148" s="18"/>
      <c r="BX148" s="19">
        <f>VLOOKUP(BU148,'DATABASE F&amp;B'!$C$3:$F$210,4,0)</f>
        <v>0</v>
      </c>
      <c r="BY148" s="19">
        <f t="shared" si="190"/>
        <v>0</v>
      </c>
      <c r="BZ148" s="16"/>
      <c r="CA148" s="17">
        <f>VLOOKUP(BZ148,'DATABASE F&amp;B'!$C$3:$F$210,2,0)</f>
        <v>0</v>
      </c>
      <c r="CB148" s="18"/>
      <c r="CC148" s="19">
        <f>VLOOKUP(BZ148,'DATABASE F&amp;B'!$C$3:$F$210,4,0)</f>
        <v>0</v>
      </c>
      <c r="CD148" s="19">
        <f t="shared" si="191"/>
        <v>0</v>
      </c>
    </row>
    <row r="149" spans="1:82" ht="13.5" x14ac:dyDescent="0.25">
      <c r="A149" s="32" t="str">
        <f t="shared" si="172"/>
        <v>05-'27-2026</v>
      </c>
      <c r="B149" s="22">
        <f t="shared" si="171"/>
        <v>145</v>
      </c>
      <c r="C149" s="22">
        <f t="shared" si="171"/>
        <v>145</v>
      </c>
      <c r="D149" s="34">
        <v>46169</v>
      </c>
      <c r="E149" s="35" t="s">
        <v>75</v>
      </c>
      <c r="F149" s="35" t="s">
        <v>202</v>
      </c>
      <c r="G149" s="52" t="s">
        <v>81</v>
      </c>
      <c r="H149" s="36" t="str">
        <f t="shared" si="170"/>
        <v>RJ-'270526-145</v>
      </c>
      <c r="I149" s="36" t="str">
        <f t="shared" si="173"/>
        <v>'27-05-2026</v>
      </c>
      <c r="J149" s="37" t="str">
        <f>VLOOKUP(D149,Laporan!$C$4:$D$34,2,0)</f>
        <v>Rabu</v>
      </c>
      <c r="K149" s="48"/>
      <c r="L149" s="13" t="s">
        <v>33</v>
      </c>
      <c r="M149" s="19">
        <f>SUMIF('DATABASE Room'!$B$3:$B$7,L149,'DATABASE Room'!$D$3:$D$7)</f>
        <v>0</v>
      </c>
      <c r="N149" s="13">
        <v>1</v>
      </c>
      <c r="O149" s="21">
        <f t="shared" si="174"/>
        <v>0</v>
      </c>
      <c r="P149" s="38"/>
      <c r="Q149" s="19">
        <f t="shared" si="175"/>
        <v>0</v>
      </c>
      <c r="R149" s="21">
        <f t="shared" si="176"/>
        <v>0</v>
      </c>
      <c r="S149" s="19">
        <f t="shared" si="177"/>
        <v>5</v>
      </c>
      <c r="T149" s="19">
        <f t="shared" si="178"/>
        <v>102000</v>
      </c>
      <c r="U149" s="21">
        <f t="shared" si="179"/>
        <v>102000</v>
      </c>
      <c r="V149" s="39"/>
      <c r="W149" s="16">
        <v>80</v>
      </c>
      <c r="X149" s="17" t="str">
        <f>VLOOKUP(W149,'DATABASE F&amp;B'!$C$3:$F$216,2,0)</f>
        <v>CORONA 330ML</v>
      </c>
      <c r="Y149" s="18">
        <v>1</v>
      </c>
      <c r="Z149" s="19">
        <f>VLOOKUP(W149,'DATABASE F&amp;B'!$C$3:$F$216,4,0)</f>
        <v>80000</v>
      </c>
      <c r="AA149" s="19">
        <f t="shared" si="180"/>
        <v>80000</v>
      </c>
      <c r="AB149" s="16">
        <v>8</v>
      </c>
      <c r="AC149" s="17" t="str">
        <f>VLOOKUP(AB149,'DATABASE F&amp;B'!$C$3:$F$216,2,0)</f>
        <v>MACARONI PEDES</v>
      </c>
      <c r="AD149" s="18">
        <v>1</v>
      </c>
      <c r="AE149" s="19">
        <f>VLOOKUP(AB149,'DATABASE F&amp;B'!$C$3:$F$216,4,0)</f>
        <v>22000</v>
      </c>
      <c r="AF149" s="19">
        <f t="shared" si="181"/>
        <v>22000</v>
      </c>
      <c r="AG149" s="16"/>
      <c r="AH149" s="17">
        <f>VLOOKUP(AG149,'DATABASE F&amp;B'!$C$3:$F$216,2,0)</f>
        <v>0</v>
      </c>
      <c r="AI149" s="18">
        <v>1</v>
      </c>
      <c r="AJ149" s="19">
        <f>VLOOKUP(AG149,'DATABASE F&amp;B'!$C$3:$F$216,4,0)</f>
        <v>0</v>
      </c>
      <c r="AK149" s="19">
        <f t="shared" si="182"/>
        <v>0</v>
      </c>
      <c r="AL149" s="16"/>
      <c r="AM149" s="17">
        <f>VLOOKUP(AL149,'DATABASE F&amp;B'!$C$3:$F$216,2,0)</f>
        <v>0</v>
      </c>
      <c r="AN149" s="18">
        <v>1</v>
      </c>
      <c r="AO149" s="19">
        <f>VLOOKUP(AL149,'DATABASE F&amp;B'!$C$3:$F$216,4,0)</f>
        <v>0</v>
      </c>
      <c r="AP149" s="19">
        <f t="shared" si="183"/>
        <v>0</v>
      </c>
      <c r="AQ149" s="16"/>
      <c r="AR149" s="17">
        <f>VLOOKUP(AQ149,'DATABASE F&amp;B'!$C$3:$F$216,2,0)</f>
        <v>0</v>
      </c>
      <c r="AS149" s="18">
        <v>1</v>
      </c>
      <c r="AT149" s="19">
        <f>VLOOKUP(AQ149,'DATABASE F&amp;B'!$C$3:$F$216,4,0)</f>
        <v>0</v>
      </c>
      <c r="AU149" s="19">
        <f t="shared" si="184"/>
        <v>0</v>
      </c>
      <c r="AV149" s="16"/>
      <c r="AW149" s="17">
        <f>VLOOKUP(AV149,'DATABASE F&amp;B'!$C$3:$F$216,2,0)</f>
        <v>0</v>
      </c>
      <c r="AX149" s="18"/>
      <c r="AY149" s="19">
        <f>VLOOKUP(AV149,'DATABASE F&amp;B'!$C$3:$F$216,4,0)</f>
        <v>0</v>
      </c>
      <c r="AZ149" s="19">
        <f t="shared" si="185"/>
        <v>0</v>
      </c>
      <c r="BA149" s="16"/>
      <c r="BB149" s="17">
        <f>VLOOKUP(BA149,'DATABASE F&amp;B'!$C$3:$F$216,2,0)</f>
        <v>0</v>
      </c>
      <c r="BC149" s="18"/>
      <c r="BD149" s="19">
        <f>VLOOKUP(BA149,'DATABASE F&amp;B'!$C$3:$F$216,4,0)</f>
        <v>0</v>
      </c>
      <c r="BE149" s="19">
        <f t="shared" si="186"/>
        <v>0</v>
      </c>
      <c r="BF149" s="16"/>
      <c r="BG149" s="17">
        <f>VLOOKUP(BF149,'DATABASE F&amp;B'!$C$3:$F$216,2,0)</f>
        <v>0</v>
      </c>
      <c r="BH149" s="18"/>
      <c r="BI149" s="19">
        <f>VLOOKUP(BF149,'DATABASE F&amp;B'!$C$3:$F$216,4,0)</f>
        <v>0</v>
      </c>
      <c r="BJ149" s="19">
        <f t="shared" si="187"/>
        <v>0</v>
      </c>
      <c r="BK149" s="16"/>
      <c r="BL149" s="17">
        <f>VLOOKUP(BK149,'DATABASE F&amp;B'!$C$3:$F$210,2,0)</f>
        <v>0</v>
      </c>
      <c r="BM149" s="18"/>
      <c r="BN149" s="19">
        <f>VLOOKUP(BK149,'DATABASE F&amp;B'!$C$3:$F$210,4,0)</f>
        <v>0</v>
      </c>
      <c r="BO149" s="19">
        <f t="shared" si="188"/>
        <v>0</v>
      </c>
      <c r="BP149" s="16"/>
      <c r="BQ149" s="17">
        <f>VLOOKUP(BP149,'DATABASE F&amp;B'!$C$3:$F$210,2,0)</f>
        <v>0</v>
      </c>
      <c r="BR149" s="18"/>
      <c r="BS149" s="19">
        <f>VLOOKUP(BP149,'DATABASE F&amp;B'!$C$3:$F$210,4,0)</f>
        <v>0</v>
      </c>
      <c r="BT149" s="19">
        <f t="shared" si="189"/>
        <v>0</v>
      </c>
      <c r="BU149" s="16"/>
      <c r="BV149" s="17">
        <f>VLOOKUP(BU149,'DATABASE F&amp;B'!$C$3:$F$210,2,0)</f>
        <v>0</v>
      </c>
      <c r="BW149" s="18"/>
      <c r="BX149" s="19">
        <f>VLOOKUP(BU149,'DATABASE F&amp;B'!$C$3:$F$210,4,0)</f>
        <v>0</v>
      </c>
      <c r="BY149" s="19">
        <f t="shared" si="190"/>
        <v>0</v>
      </c>
      <c r="BZ149" s="16"/>
      <c r="CA149" s="17">
        <f>VLOOKUP(BZ149,'DATABASE F&amp;B'!$C$3:$F$210,2,0)</f>
        <v>0</v>
      </c>
      <c r="CB149" s="18"/>
      <c r="CC149" s="19">
        <f>VLOOKUP(BZ149,'DATABASE F&amp;B'!$C$3:$F$210,4,0)</f>
        <v>0</v>
      </c>
      <c r="CD149" s="19">
        <f t="shared" si="191"/>
        <v>0</v>
      </c>
    </row>
    <row r="150" spans="1:82" ht="13.5" x14ac:dyDescent="0.25">
      <c r="A150" s="32" t="str">
        <f t="shared" si="172"/>
        <v>05-'27-2026</v>
      </c>
      <c r="B150" s="22">
        <f t="shared" si="171"/>
        <v>146</v>
      </c>
      <c r="C150" s="22">
        <f t="shared" si="171"/>
        <v>146</v>
      </c>
      <c r="D150" s="34">
        <v>46169</v>
      </c>
      <c r="E150" s="35" t="s">
        <v>75</v>
      </c>
      <c r="F150" s="35" t="s">
        <v>202</v>
      </c>
      <c r="G150" s="52" t="s">
        <v>81</v>
      </c>
      <c r="H150" s="36" t="str">
        <f t="shared" si="170"/>
        <v>RJ-'270526-146</v>
      </c>
      <c r="I150" s="36" t="str">
        <f t="shared" si="173"/>
        <v>'27-05-2026</v>
      </c>
      <c r="J150" s="37" t="str">
        <f>VLOOKUP(D150,Laporan!$C$4:$D$34,2,0)</f>
        <v>Rabu</v>
      </c>
      <c r="K150" s="48"/>
      <c r="L150" s="13" t="s">
        <v>33</v>
      </c>
      <c r="M150" s="19">
        <f>SUMIF('DATABASE Room'!$B$3:$B$7,L150,'DATABASE Room'!$D$3:$D$7)</f>
        <v>0</v>
      </c>
      <c r="N150" s="13">
        <v>1</v>
      </c>
      <c r="O150" s="21">
        <f t="shared" si="174"/>
        <v>0</v>
      </c>
      <c r="P150" s="38"/>
      <c r="Q150" s="19">
        <f t="shared" si="175"/>
        <v>0</v>
      </c>
      <c r="R150" s="21">
        <f t="shared" si="176"/>
        <v>0</v>
      </c>
      <c r="S150" s="19">
        <f t="shared" si="177"/>
        <v>5</v>
      </c>
      <c r="T150" s="19">
        <f t="shared" si="178"/>
        <v>50000</v>
      </c>
      <c r="U150" s="21">
        <f t="shared" si="179"/>
        <v>50000</v>
      </c>
      <c r="V150" s="39"/>
      <c r="W150" s="16">
        <v>1</v>
      </c>
      <c r="X150" s="17" t="str">
        <f>VLOOKUP(W150,'DATABASE F&amp;B'!$C$3:$F$216,2,0)</f>
        <v>ANGGUR HIJAU</v>
      </c>
      <c r="Y150" s="18">
        <v>1</v>
      </c>
      <c r="Z150" s="19">
        <f>VLOOKUP(W150,'DATABASE F&amp;B'!$C$3:$F$216,4,0)</f>
        <v>50000</v>
      </c>
      <c r="AA150" s="19">
        <f t="shared" si="180"/>
        <v>50000</v>
      </c>
      <c r="AB150" s="16"/>
      <c r="AC150" s="17">
        <f>VLOOKUP(AB150,'DATABASE F&amp;B'!$C$3:$F$216,2,0)</f>
        <v>0</v>
      </c>
      <c r="AD150" s="18">
        <v>1</v>
      </c>
      <c r="AE150" s="19">
        <f>VLOOKUP(AB150,'DATABASE F&amp;B'!$C$3:$F$216,4,0)</f>
        <v>0</v>
      </c>
      <c r="AF150" s="19">
        <f t="shared" si="181"/>
        <v>0</v>
      </c>
      <c r="AG150" s="16"/>
      <c r="AH150" s="17">
        <f>VLOOKUP(AG150,'DATABASE F&amp;B'!$C$3:$F$216,2,0)</f>
        <v>0</v>
      </c>
      <c r="AI150" s="18">
        <v>1</v>
      </c>
      <c r="AJ150" s="19">
        <f>VLOOKUP(AG150,'DATABASE F&amp;B'!$C$3:$F$216,4,0)</f>
        <v>0</v>
      </c>
      <c r="AK150" s="19">
        <f t="shared" si="182"/>
        <v>0</v>
      </c>
      <c r="AL150" s="16"/>
      <c r="AM150" s="17">
        <f>VLOOKUP(AL150,'DATABASE F&amp;B'!$C$3:$F$216,2,0)</f>
        <v>0</v>
      </c>
      <c r="AN150" s="18">
        <v>1</v>
      </c>
      <c r="AO150" s="19">
        <f>VLOOKUP(AL150,'DATABASE F&amp;B'!$C$3:$F$216,4,0)</f>
        <v>0</v>
      </c>
      <c r="AP150" s="19">
        <f t="shared" si="183"/>
        <v>0</v>
      </c>
      <c r="AQ150" s="16"/>
      <c r="AR150" s="17">
        <f>VLOOKUP(AQ150,'DATABASE F&amp;B'!$C$3:$F$216,2,0)</f>
        <v>0</v>
      </c>
      <c r="AS150" s="18">
        <v>1</v>
      </c>
      <c r="AT150" s="19">
        <f>VLOOKUP(AQ150,'DATABASE F&amp;B'!$C$3:$F$216,4,0)</f>
        <v>0</v>
      </c>
      <c r="AU150" s="19">
        <f t="shared" si="184"/>
        <v>0</v>
      </c>
      <c r="AV150" s="16"/>
      <c r="AW150" s="17">
        <f>VLOOKUP(AV150,'DATABASE F&amp;B'!$C$3:$F$216,2,0)</f>
        <v>0</v>
      </c>
      <c r="AX150" s="18"/>
      <c r="AY150" s="19">
        <f>VLOOKUP(AV150,'DATABASE F&amp;B'!$C$3:$F$216,4,0)</f>
        <v>0</v>
      </c>
      <c r="AZ150" s="19">
        <f t="shared" si="185"/>
        <v>0</v>
      </c>
      <c r="BA150" s="16"/>
      <c r="BB150" s="17">
        <f>VLOOKUP(BA150,'DATABASE F&amp;B'!$C$3:$F$216,2,0)</f>
        <v>0</v>
      </c>
      <c r="BC150" s="18"/>
      <c r="BD150" s="19">
        <f>VLOOKUP(BA150,'DATABASE F&amp;B'!$C$3:$F$216,4,0)</f>
        <v>0</v>
      </c>
      <c r="BE150" s="19">
        <f t="shared" si="186"/>
        <v>0</v>
      </c>
      <c r="BF150" s="16"/>
      <c r="BG150" s="17">
        <f>VLOOKUP(BF150,'DATABASE F&amp;B'!$C$3:$F$216,2,0)</f>
        <v>0</v>
      </c>
      <c r="BH150" s="18"/>
      <c r="BI150" s="19">
        <f>VLOOKUP(BF150,'DATABASE F&amp;B'!$C$3:$F$216,4,0)</f>
        <v>0</v>
      </c>
      <c r="BJ150" s="19">
        <f t="shared" si="187"/>
        <v>0</v>
      </c>
      <c r="BK150" s="16"/>
      <c r="BL150" s="17">
        <f>VLOOKUP(BK150,'DATABASE F&amp;B'!$C$3:$F$210,2,0)</f>
        <v>0</v>
      </c>
      <c r="BM150" s="18"/>
      <c r="BN150" s="19">
        <f>VLOOKUP(BK150,'DATABASE F&amp;B'!$C$3:$F$210,4,0)</f>
        <v>0</v>
      </c>
      <c r="BO150" s="19">
        <f t="shared" si="188"/>
        <v>0</v>
      </c>
      <c r="BP150" s="16"/>
      <c r="BQ150" s="17">
        <f>VLOOKUP(BP150,'DATABASE F&amp;B'!$C$3:$F$210,2,0)</f>
        <v>0</v>
      </c>
      <c r="BR150" s="18"/>
      <c r="BS150" s="19">
        <f>VLOOKUP(BP150,'DATABASE F&amp;B'!$C$3:$F$210,4,0)</f>
        <v>0</v>
      </c>
      <c r="BT150" s="19">
        <f t="shared" si="189"/>
        <v>0</v>
      </c>
      <c r="BU150" s="16"/>
      <c r="BV150" s="17">
        <f>VLOOKUP(BU150,'DATABASE F&amp;B'!$C$3:$F$210,2,0)</f>
        <v>0</v>
      </c>
      <c r="BW150" s="18"/>
      <c r="BX150" s="19">
        <f>VLOOKUP(BU150,'DATABASE F&amp;B'!$C$3:$F$210,4,0)</f>
        <v>0</v>
      </c>
      <c r="BY150" s="19">
        <f t="shared" si="190"/>
        <v>0</v>
      </c>
      <c r="BZ150" s="16"/>
      <c r="CA150" s="17">
        <f>VLOOKUP(BZ150,'DATABASE F&amp;B'!$C$3:$F$210,2,0)</f>
        <v>0</v>
      </c>
      <c r="CB150" s="18"/>
      <c r="CC150" s="19">
        <f>VLOOKUP(BZ150,'DATABASE F&amp;B'!$C$3:$F$210,4,0)</f>
        <v>0</v>
      </c>
      <c r="CD150" s="19">
        <f t="shared" si="191"/>
        <v>0</v>
      </c>
    </row>
    <row r="151" spans="1:82" ht="13.5" x14ac:dyDescent="0.25">
      <c r="A151" s="32" t="str">
        <f t="shared" si="172"/>
        <v>05-'27-2026</v>
      </c>
      <c r="B151" s="22">
        <f t="shared" ref="B151:C166" si="192">B150+1</f>
        <v>147</v>
      </c>
      <c r="C151" s="22">
        <f t="shared" si="192"/>
        <v>147</v>
      </c>
      <c r="D151" s="34">
        <v>46169</v>
      </c>
      <c r="E151" s="35" t="s">
        <v>75</v>
      </c>
      <c r="F151" s="35" t="s">
        <v>202</v>
      </c>
      <c r="G151" s="52" t="s">
        <v>81</v>
      </c>
      <c r="H151" s="36" t="str">
        <f t="shared" si="170"/>
        <v>RJ-'270526-147</v>
      </c>
      <c r="I151" s="36" t="str">
        <f t="shared" si="173"/>
        <v>'27-05-2026</v>
      </c>
      <c r="J151" s="37" t="str">
        <f>VLOOKUP(D151,Laporan!$C$4:$D$34,2,0)</f>
        <v>Rabu</v>
      </c>
      <c r="K151" s="48"/>
      <c r="L151" s="13" t="s">
        <v>33</v>
      </c>
      <c r="M151" s="19">
        <f>SUMIF('DATABASE Room'!$B$3:$B$7,L151,'DATABASE Room'!$D$3:$D$7)</f>
        <v>0</v>
      </c>
      <c r="N151" s="13">
        <v>1</v>
      </c>
      <c r="O151" s="21">
        <f t="shared" si="174"/>
        <v>0</v>
      </c>
      <c r="P151" s="38"/>
      <c r="Q151" s="19">
        <f t="shared" si="175"/>
        <v>0</v>
      </c>
      <c r="R151" s="21">
        <f t="shared" si="176"/>
        <v>0</v>
      </c>
      <c r="S151" s="19">
        <f t="shared" si="177"/>
        <v>5</v>
      </c>
      <c r="T151" s="19">
        <f t="shared" si="178"/>
        <v>35000</v>
      </c>
      <c r="U151" s="21">
        <f t="shared" si="179"/>
        <v>35000</v>
      </c>
      <c r="V151" s="39"/>
      <c r="W151" s="16">
        <v>5</v>
      </c>
      <c r="X151" s="17" t="str">
        <f>VLOOKUP(W151,'DATABASE F&amp;B'!$C$3:$F$216,2,0)</f>
        <v>BASRENG ORI</v>
      </c>
      <c r="Y151" s="18">
        <v>1</v>
      </c>
      <c r="Z151" s="19">
        <f>VLOOKUP(W151,'DATABASE F&amp;B'!$C$3:$F$216,4,0)</f>
        <v>35000</v>
      </c>
      <c r="AA151" s="19">
        <f t="shared" si="180"/>
        <v>35000</v>
      </c>
      <c r="AB151" s="16"/>
      <c r="AC151" s="17">
        <f>VLOOKUP(AB151,'DATABASE F&amp;B'!$C$3:$F$216,2,0)</f>
        <v>0</v>
      </c>
      <c r="AD151" s="18">
        <v>1</v>
      </c>
      <c r="AE151" s="19">
        <f>VLOOKUP(AB151,'DATABASE F&amp;B'!$C$3:$F$216,4,0)</f>
        <v>0</v>
      </c>
      <c r="AF151" s="19">
        <f t="shared" si="181"/>
        <v>0</v>
      </c>
      <c r="AG151" s="16"/>
      <c r="AH151" s="17">
        <f>VLOOKUP(AG151,'DATABASE F&amp;B'!$C$3:$F$216,2,0)</f>
        <v>0</v>
      </c>
      <c r="AI151" s="18">
        <v>1</v>
      </c>
      <c r="AJ151" s="19">
        <f>VLOOKUP(AG151,'DATABASE F&amp;B'!$C$3:$F$216,4,0)</f>
        <v>0</v>
      </c>
      <c r="AK151" s="19">
        <f t="shared" si="182"/>
        <v>0</v>
      </c>
      <c r="AL151" s="16"/>
      <c r="AM151" s="17">
        <f>VLOOKUP(AL151,'DATABASE F&amp;B'!$C$3:$F$216,2,0)</f>
        <v>0</v>
      </c>
      <c r="AN151" s="18">
        <v>1</v>
      </c>
      <c r="AO151" s="19">
        <f>VLOOKUP(AL151,'DATABASE F&amp;B'!$C$3:$F$216,4,0)</f>
        <v>0</v>
      </c>
      <c r="AP151" s="19">
        <f t="shared" si="183"/>
        <v>0</v>
      </c>
      <c r="AQ151" s="16"/>
      <c r="AR151" s="17">
        <f>VLOOKUP(AQ151,'DATABASE F&amp;B'!$C$3:$F$216,2,0)</f>
        <v>0</v>
      </c>
      <c r="AS151" s="18">
        <v>1</v>
      </c>
      <c r="AT151" s="19">
        <f>VLOOKUP(AQ151,'DATABASE F&amp;B'!$C$3:$F$216,4,0)</f>
        <v>0</v>
      </c>
      <c r="AU151" s="19">
        <f t="shared" si="184"/>
        <v>0</v>
      </c>
      <c r="AV151" s="16"/>
      <c r="AW151" s="17">
        <f>VLOOKUP(AV151,'DATABASE F&amp;B'!$C$3:$F$216,2,0)</f>
        <v>0</v>
      </c>
      <c r="AX151" s="18"/>
      <c r="AY151" s="19">
        <f>VLOOKUP(AV151,'DATABASE F&amp;B'!$C$3:$F$216,4,0)</f>
        <v>0</v>
      </c>
      <c r="AZ151" s="19">
        <f t="shared" si="185"/>
        <v>0</v>
      </c>
      <c r="BA151" s="16"/>
      <c r="BB151" s="17">
        <f>VLOOKUP(BA151,'DATABASE F&amp;B'!$C$3:$F$216,2,0)</f>
        <v>0</v>
      </c>
      <c r="BC151" s="18"/>
      <c r="BD151" s="19">
        <f>VLOOKUP(BA151,'DATABASE F&amp;B'!$C$3:$F$216,4,0)</f>
        <v>0</v>
      </c>
      <c r="BE151" s="19">
        <f t="shared" si="186"/>
        <v>0</v>
      </c>
      <c r="BF151" s="16"/>
      <c r="BG151" s="17">
        <f>VLOOKUP(BF151,'DATABASE F&amp;B'!$C$3:$F$216,2,0)</f>
        <v>0</v>
      </c>
      <c r="BH151" s="18"/>
      <c r="BI151" s="19">
        <f>VLOOKUP(BF151,'DATABASE F&amp;B'!$C$3:$F$216,4,0)</f>
        <v>0</v>
      </c>
      <c r="BJ151" s="19">
        <f t="shared" si="187"/>
        <v>0</v>
      </c>
      <c r="BK151" s="16"/>
      <c r="BL151" s="17">
        <f>VLOOKUP(BK151,'DATABASE F&amp;B'!$C$3:$F$210,2,0)</f>
        <v>0</v>
      </c>
      <c r="BM151" s="18"/>
      <c r="BN151" s="19">
        <f>VLOOKUP(BK151,'DATABASE F&amp;B'!$C$3:$F$210,4,0)</f>
        <v>0</v>
      </c>
      <c r="BO151" s="19">
        <f t="shared" si="188"/>
        <v>0</v>
      </c>
      <c r="BP151" s="16"/>
      <c r="BQ151" s="17">
        <f>VLOOKUP(BP151,'DATABASE F&amp;B'!$C$3:$F$210,2,0)</f>
        <v>0</v>
      </c>
      <c r="BR151" s="18"/>
      <c r="BS151" s="19">
        <f>VLOOKUP(BP151,'DATABASE F&amp;B'!$C$3:$F$210,4,0)</f>
        <v>0</v>
      </c>
      <c r="BT151" s="19">
        <f t="shared" si="189"/>
        <v>0</v>
      </c>
      <c r="BU151" s="16"/>
      <c r="BV151" s="17">
        <f>VLOOKUP(BU151,'DATABASE F&amp;B'!$C$3:$F$210,2,0)</f>
        <v>0</v>
      </c>
      <c r="BW151" s="18"/>
      <c r="BX151" s="19">
        <f>VLOOKUP(BU151,'DATABASE F&amp;B'!$C$3:$F$210,4,0)</f>
        <v>0</v>
      </c>
      <c r="BY151" s="19">
        <f t="shared" si="190"/>
        <v>0</v>
      </c>
      <c r="BZ151" s="16"/>
      <c r="CA151" s="17">
        <f>VLOOKUP(BZ151,'DATABASE F&amp;B'!$C$3:$F$210,2,0)</f>
        <v>0</v>
      </c>
      <c r="CB151" s="18"/>
      <c r="CC151" s="19">
        <f>VLOOKUP(BZ151,'DATABASE F&amp;B'!$C$3:$F$210,4,0)</f>
        <v>0</v>
      </c>
      <c r="CD151" s="19">
        <f t="shared" si="191"/>
        <v>0</v>
      </c>
    </row>
    <row r="152" spans="1:82" ht="13.5" x14ac:dyDescent="0.25">
      <c r="A152" s="32" t="str">
        <f t="shared" si="172"/>
        <v>05-'27-2026</v>
      </c>
      <c r="B152" s="22">
        <f t="shared" si="192"/>
        <v>148</v>
      </c>
      <c r="C152" s="22">
        <f t="shared" si="192"/>
        <v>148</v>
      </c>
      <c r="D152" s="34">
        <v>46169</v>
      </c>
      <c r="E152" s="35" t="s">
        <v>75</v>
      </c>
      <c r="F152" s="35" t="s">
        <v>202</v>
      </c>
      <c r="G152" s="52" t="s">
        <v>81</v>
      </c>
      <c r="H152" s="36" t="str">
        <f t="shared" si="170"/>
        <v>RJ-'270526-148</v>
      </c>
      <c r="I152" s="36" t="str">
        <f t="shared" si="173"/>
        <v>'27-05-2026</v>
      </c>
      <c r="J152" s="37" t="str">
        <f>VLOOKUP(D152,Laporan!$C$4:$D$34,2,0)</f>
        <v>Rabu</v>
      </c>
      <c r="K152" s="48"/>
      <c r="L152" s="13" t="s">
        <v>33</v>
      </c>
      <c r="M152" s="19">
        <f>SUMIF('DATABASE Room'!$B$3:$B$7,L152,'DATABASE Room'!$D$3:$D$7)</f>
        <v>0</v>
      </c>
      <c r="N152" s="13">
        <v>1</v>
      </c>
      <c r="O152" s="21">
        <f t="shared" si="174"/>
        <v>0</v>
      </c>
      <c r="P152" s="38"/>
      <c r="Q152" s="19">
        <f t="shared" si="175"/>
        <v>0</v>
      </c>
      <c r="R152" s="21">
        <f t="shared" si="176"/>
        <v>0</v>
      </c>
      <c r="S152" s="19">
        <f t="shared" si="177"/>
        <v>5</v>
      </c>
      <c r="T152" s="19">
        <f t="shared" si="178"/>
        <v>35000</v>
      </c>
      <c r="U152" s="21">
        <f t="shared" si="179"/>
        <v>35000</v>
      </c>
      <c r="V152" s="39"/>
      <c r="W152" s="16">
        <v>2</v>
      </c>
      <c r="X152" s="17" t="str">
        <f>VLOOKUP(W152,'DATABASE F&amp;B'!$C$3:$F$216,2,0)</f>
        <v>USUS GORENG ORI</v>
      </c>
      <c r="Y152" s="18">
        <v>1</v>
      </c>
      <c r="Z152" s="19">
        <f>VLOOKUP(W152,'DATABASE F&amp;B'!$C$3:$F$216,4,0)</f>
        <v>35000</v>
      </c>
      <c r="AA152" s="19">
        <f t="shared" si="180"/>
        <v>35000</v>
      </c>
      <c r="AB152" s="16"/>
      <c r="AC152" s="17">
        <f>VLOOKUP(AB152,'DATABASE F&amp;B'!$C$3:$F$216,2,0)</f>
        <v>0</v>
      </c>
      <c r="AD152" s="18">
        <v>1</v>
      </c>
      <c r="AE152" s="19">
        <f>VLOOKUP(AB152,'DATABASE F&amp;B'!$C$3:$F$216,4,0)</f>
        <v>0</v>
      </c>
      <c r="AF152" s="19">
        <f t="shared" si="181"/>
        <v>0</v>
      </c>
      <c r="AG152" s="16"/>
      <c r="AH152" s="17">
        <f>VLOOKUP(AG152,'DATABASE F&amp;B'!$C$3:$F$216,2,0)</f>
        <v>0</v>
      </c>
      <c r="AI152" s="18">
        <v>1</v>
      </c>
      <c r="AJ152" s="19">
        <f>VLOOKUP(AG152,'DATABASE F&amp;B'!$C$3:$F$216,4,0)</f>
        <v>0</v>
      </c>
      <c r="AK152" s="19">
        <f t="shared" si="182"/>
        <v>0</v>
      </c>
      <c r="AL152" s="16"/>
      <c r="AM152" s="17">
        <f>VLOOKUP(AL152,'DATABASE F&amp;B'!$C$3:$F$216,2,0)</f>
        <v>0</v>
      </c>
      <c r="AN152" s="18">
        <v>1</v>
      </c>
      <c r="AO152" s="19">
        <f>VLOOKUP(AL152,'DATABASE F&amp;B'!$C$3:$F$216,4,0)</f>
        <v>0</v>
      </c>
      <c r="AP152" s="19">
        <f t="shared" si="183"/>
        <v>0</v>
      </c>
      <c r="AQ152" s="16"/>
      <c r="AR152" s="17">
        <f>VLOOKUP(AQ152,'DATABASE F&amp;B'!$C$3:$F$216,2,0)</f>
        <v>0</v>
      </c>
      <c r="AS152" s="18">
        <v>1</v>
      </c>
      <c r="AT152" s="19">
        <f>VLOOKUP(AQ152,'DATABASE F&amp;B'!$C$3:$F$216,4,0)</f>
        <v>0</v>
      </c>
      <c r="AU152" s="19">
        <f t="shared" si="184"/>
        <v>0</v>
      </c>
      <c r="AV152" s="16"/>
      <c r="AW152" s="17">
        <f>VLOOKUP(AV152,'DATABASE F&amp;B'!$C$3:$F$216,2,0)</f>
        <v>0</v>
      </c>
      <c r="AX152" s="18"/>
      <c r="AY152" s="19">
        <f>VLOOKUP(AV152,'DATABASE F&amp;B'!$C$3:$F$216,4,0)</f>
        <v>0</v>
      </c>
      <c r="AZ152" s="19">
        <f t="shared" si="185"/>
        <v>0</v>
      </c>
      <c r="BA152" s="16"/>
      <c r="BB152" s="17">
        <f>VLOOKUP(BA152,'DATABASE F&amp;B'!$C$3:$F$216,2,0)</f>
        <v>0</v>
      </c>
      <c r="BC152" s="18"/>
      <c r="BD152" s="19">
        <f>VLOOKUP(BA152,'DATABASE F&amp;B'!$C$3:$F$216,4,0)</f>
        <v>0</v>
      </c>
      <c r="BE152" s="19">
        <f t="shared" si="186"/>
        <v>0</v>
      </c>
      <c r="BF152" s="16"/>
      <c r="BG152" s="17">
        <f>VLOOKUP(BF152,'DATABASE F&amp;B'!$C$3:$F$216,2,0)</f>
        <v>0</v>
      </c>
      <c r="BH152" s="18"/>
      <c r="BI152" s="19">
        <f>VLOOKUP(BF152,'DATABASE F&amp;B'!$C$3:$F$216,4,0)</f>
        <v>0</v>
      </c>
      <c r="BJ152" s="19">
        <f t="shared" si="187"/>
        <v>0</v>
      </c>
      <c r="BK152" s="16"/>
      <c r="BL152" s="17">
        <f>VLOOKUP(BK152,'DATABASE F&amp;B'!$C$3:$F$210,2,0)</f>
        <v>0</v>
      </c>
      <c r="BM152" s="18"/>
      <c r="BN152" s="19">
        <f>VLOOKUP(BK152,'DATABASE F&amp;B'!$C$3:$F$210,4,0)</f>
        <v>0</v>
      </c>
      <c r="BO152" s="19">
        <f t="shared" si="188"/>
        <v>0</v>
      </c>
      <c r="BP152" s="16"/>
      <c r="BQ152" s="17">
        <f>VLOOKUP(BP152,'DATABASE F&amp;B'!$C$3:$F$210,2,0)</f>
        <v>0</v>
      </c>
      <c r="BR152" s="18"/>
      <c r="BS152" s="19">
        <f>VLOOKUP(BP152,'DATABASE F&amp;B'!$C$3:$F$210,4,0)</f>
        <v>0</v>
      </c>
      <c r="BT152" s="19">
        <f t="shared" si="189"/>
        <v>0</v>
      </c>
      <c r="BU152" s="16"/>
      <c r="BV152" s="17">
        <f>VLOOKUP(BU152,'DATABASE F&amp;B'!$C$3:$F$210,2,0)</f>
        <v>0</v>
      </c>
      <c r="BW152" s="18"/>
      <c r="BX152" s="19">
        <f>VLOOKUP(BU152,'DATABASE F&amp;B'!$C$3:$F$210,4,0)</f>
        <v>0</v>
      </c>
      <c r="BY152" s="19">
        <f t="shared" si="190"/>
        <v>0</v>
      </c>
      <c r="BZ152" s="16"/>
      <c r="CA152" s="17">
        <f>VLOOKUP(BZ152,'DATABASE F&amp;B'!$C$3:$F$210,2,0)</f>
        <v>0</v>
      </c>
      <c r="CB152" s="18"/>
      <c r="CC152" s="19">
        <f>VLOOKUP(BZ152,'DATABASE F&amp;B'!$C$3:$F$210,4,0)</f>
        <v>0</v>
      </c>
      <c r="CD152" s="19">
        <f t="shared" si="191"/>
        <v>0</v>
      </c>
    </row>
    <row r="153" spans="1:82" ht="13.5" x14ac:dyDescent="0.25">
      <c r="A153" s="32" t="str">
        <f t="shared" si="172"/>
        <v>05-'27-2026</v>
      </c>
      <c r="B153" s="22">
        <f t="shared" si="192"/>
        <v>149</v>
      </c>
      <c r="C153" s="22">
        <f t="shared" si="192"/>
        <v>149</v>
      </c>
      <c r="D153" s="34">
        <v>46169</v>
      </c>
      <c r="E153" s="35" t="s">
        <v>75</v>
      </c>
      <c r="F153" s="35" t="s">
        <v>202</v>
      </c>
      <c r="G153" s="52" t="s">
        <v>81</v>
      </c>
      <c r="H153" s="36" t="str">
        <f t="shared" si="170"/>
        <v>RJ-'270526-149</v>
      </c>
      <c r="I153" s="36" t="str">
        <f t="shared" si="173"/>
        <v>'27-05-2026</v>
      </c>
      <c r="J153" s="37" t="str">
        <f>VLOOKUP(D153,Laporan!$C$4:$D$34,2,0)</f>
        <v>Rabu</v>
      </c>
      <c r="K153" s="48"/>
      <c r="L153" s="13" t="s">
        <v>33</v>
      </c>
      <c r="M153" s="19">
        <f>SUMIF('DATABASE Room'!$B$3:$B$7,L153,'DATABASE Room'!$D$3:$D$7)</f>
        <v>0</v>
      </c>
      <c r="N153" s="13">
        <v>1</v>
      </c>
      <c r="O153" s="21">
        <f t="shared" si="174"/>
        <v>0</v>
      </c>
      <c r="P153" s="38"/>
      <c r="Q153" s="19">
        <f t="shared" si="175"/>
        <v>0</v>
      </c>
      <c r="R153" s="21">
        <f t="shared" si="176"/>
        <v>0</v>
      </c>
      <c r="S153" s="19">
        <f t="shared" si="177"/>
        <v>5</v>
      </c>
      <c r="T153" s="19">
        <f t="shared" si="178"/>
        <v>225000</v>
      </c>
      <c r="U153" s="21">
        <f t="shared" si="179"/>
        <v>225000</v>
      </c>
      <c r="V153" s="39"/>
      <c r="W153" s="16">
        <v>84</v>
      </c>
      <c r="X153" s="17" t="str">
        <f>VLOOKUP(W153,'DATABASE F&amp;B'!$C$3:$F$216,2,0)</f>
        <v>ANI ANGGUR HIJAU</v>
      </c>
      <c r="Y153" s="18">
        <v>1</v>
      </c>
      <c r="Z153" s="19">
        <f>VLOOKUP(W153,'DATABASE F&amp;B'!$C$3:$F$216,4,0)</f>
        <v>155000</v>
      </c>
      <c r="AA153" s="19">
        <f t="shared" si="180"/>
        <v>155000</v>
      </c>
      <c r="AB153" s="16">
        <v>77</v>
      </c>
      <c r="AC153" s="17" t="str">
        <f>VLOOKUP(AB153,'DATABASE F&amp;B'!$C$3:$F$216,2,0)</f>
        <v>BEER KURA KURA SESSION HAZY</v>
      </c>
      <c r="AD153" s="18">
        <v>1</v>
      </c>
      <c r="AE153" s="19">
        <f>VLOOKUP(AB153,'DATABASE F&amp;B'!$C$3:$F$216,4,0)</f>
        <v>70000</v>
      </c>
      <c r="AF153" s="19">
        <f t="shared" si="181"/>
        <v>70000</v>
      </c>
      <c r="AG153" s="16"/>
      <c r="AH153" s="17">
        <f>VLOOKUP(AG153,'DATABASE F&amp;B'!$C$3:$F$216,2,0)</f>
        <v>0</v>
      </c>
      <c r="AI153" s="18">
        <v>1</v>
      </c>
      <c r="AJ153" s="19">
        <f>VLOOKUP(AG153,'DATABASE F&amp;B'!$C$3:$F$216,4,0)</f>
        <v>0</v>
      </c>
      <c r="AK153" s="19">
        <f t="shared" si="182"/>
        <v>0</v>
      </c>
      <c r="AL153" s="16"/>
      <c r="AM153" s="17">
        <f>VLOOKUP(AL153,'DATABASE F&amp;B'!$C$3:$F$216,2,0)</f>
        <v>0</v>
      </c>
      <c r="AN153" s="18">
        <v>1</v>
      </c>
      <c r="AO153" s="19">
        <f>VLOOKUP(AL153,'DATABASE F&amp;B'!$C$3:$F$216,4,0)</f>
        <v>0</v>
      </c>
      <c r="AP153" s="19">
        <f t="shared" si="183"/>
        <v>0</v>
      </c>
      <c r="AQ153" s="16"/>
      <c r="AR153" s="17">
        <f>VLOOKUP(AQ153,'DATABASE F&amp;B'!$C$3:$F$216,2,0)</f>
        <v>0</v>
      </c>
      <c r="AS153" s="18">
        <v>1</v>
      </c>
      <c r="AT153" s="19">
        <f>VLOOKUP(AQ153,'DATABASE F&amp;B'!$C$3:$F$216,4,0)</f>
        <v>0</v>
      </c>
      <c r="AU153" s="19">
        <f t="shared" si="184"/>
        <v>0</v>
      </c>
      <c r="AV153" s="16"/>
      <c r="AW153" s="17">
        <f>VLOOKUP(AV153,'DATABASE F&amp;B'!$C$3:$F$216,2,0)</f>
        <v>0</v>
      </c>
      <c r="AX153" s="18"/>
      <c r="AY153" s="19">
        <f>VLOOKUP(AV153,'DATABASE F&amp;B'!$C$3:$F$216,4,0)</f>
        <v>0</v>
      </c>
      <c r="AZ153" s="19">
        <f t="shared" si="185"/>
        <v>0</v>
      </c>
      <c r="BA153" s="16"/>
      <c r="BB153" s="17">
        <f>VLOOKUP(BA153,'DATABASE F&amp;B'!$C$3:$F$216,2,0)</f>
        <v>0</v>
      </c>
      <c r="BC153" s="18"/>
      <c r="BD153" s="19">
        <f>VLOOKUP(BA153,'DATABASE F&amp;B'!$C$3:$F$216,4,0)</f>
        <v>0</v>
      </c>
      <c r="BE153" s="19">
        <f t="shared" si="186"/>
        <v>0</v>
      </c>
      <c r="BF153" s="16"/>
      <c r="BG153" s="17">
        <f>VLOOKUP(BF153,'DATABASE F&amp;B'!$C$3:$F$216,2,0)</f>
        <v>0</v>
      </c>
      <c r="BH153" s="18"/>
      <c r="BI153" s="19">
        <f>VLOOKUP(BF153,'DATABASE F&amp;B'!$C$3:$F$216,4,0)</f>
        <v>0</v>
      </c>
      <c r="BJ153" s="19">
        <f t="shared" si="187"/>
        <v>0</v>
      </c>
      <c r="BK153" s="16"/>
      <c r="BL153" s="17">
        <f>VLOOKUP(BK153,'DATABASE F&amp;B'!$C$3:$F$210,2,0)</f>
        <v>0</v>
      </c>
      <c r="BM153" s="18"/>
      <c r="BN153" s="19">
        <f>VLOOKUP(BK153,'DATABASE F&amp;B'!$C$3:$F$210,4,0)</f>
        <v>0</v>
      </c>
      <c r="BO153" s="19">
        <f t="shared" si="188"/>
        <v>0</v>
      </c>
      <c r="BP153" s="16"/>
      <c r="BQ153" s="17">
        <f>VLOOKUP(BP153,'DATABASE F&amp;B'!$C$3:$F$210,2,0)</f>
        <v>0</v>
      </c>
      <c r="BR153" s="18"/>
      <c r="BS153" s="19">
        <f>VLOOKUP(BP153,'DATABASE F&amp;B'!$C$3:$F$210,4,0)</f>
        <v>0</v>
      </c>
      <c r="BT153" s="19">
        <f t="shared" si="189"/>
        <v>0</v>
      </c>
      <c r="BU153" s="16"/>
      <c r="BV153" s="17">
        <f>VLOOKUP(BU153,'DATABASE F&amp;B'!$C$3:$F$210,2,0)</f>
        <v>0</v>
      </c>
      <c r="BW153" s="18"/>
      <c r="BX153" s="19">
        <f>VLOOKUP(BU153,'DATABASE F&amp;B'!$C$3:$F$210,4,0)</f>
        <v>0</v>
      </c>
      <c r="BY153" s="19">
        <f t="shared" si="190"/>
        <v>0</v>
      </c>
      <c r="BZ153" s="16"/>
      <c r="CA153" s="17">
        <f>VLOOKUP(BZ153,'DATABASE F&amp;B'!$C$3:$F$210,2,0)</f>
        <v>0</v>
      </c>
      <c r="CB153" s="18"/>
      <c r="CC153" s="19">
        <f>VLOOKUP(BZ153,'DATABASE F&amp;B'!$C$3:$F$210,4,0)</f>
        <v>0</v>
      </c>
      <c r="CD153" s="19">
        <f t="shared" si="191"/>
        <v>0</v>
      </c>
    </row>
    <row r="154" spans="1:82" ht="13.5" x14ac:dyDescent="0.25">
      <c r="A154" s="32" t="str">
        <f t="shared" si="172"/>
        <v>05-'27-2026</v>
      </c>
      <c r="B154" s="22">
        <f t="shared" si="192"/>
        <v>150</v>
      </c>
      <c r="C154" s="22">
        <f t="shared" si="192"/>
        <v>150</v>
      </c>
      <c r="D154" s="34">
        <v>46169</v>
      </c>
      <c r="E154" s="35" t="s">
        <v>75</v>
      </c>
      <c r="F154" s="35" t="s">
        <v>202</v>
      </c>
      <c r="G154" s="52" t="s">
        <v>81</v>
      </c>
      <c r="H154" s="36" t="str">
        <f t="shared" si="170"/>
        <v>RJ-'270526-150</v>
      </c>
      <c r="I154" s="36" t="str">
        <f t="shared" si="173"/>
        <v>'27-05-2026</v>
      </c>
      <c r="J154" s="37" t="str">
        <f>VLOOKUP(D154,Laporan!$C$4:$D$34,2,0)</f>
        <v>Rabu</v>
      </c>
      <c r="K154" s="48"/>
      <c r="L154" s="13" t="s">
        <v>33</v>
      </c>
      <c r="M154" s="19">
        <f>SUMIF('DATABASE Room'!$B$3:$B$7,L154,'DATABASE Room'!$D$3:$D$7)</f>
        <v>0</v>
      </c>
      <c r="N154" s="13">
        <v>1</v>
      </c>
      <c r="O154" s="21">
        <f t="shared" si="174"/>
        <v>0</v>
      </c>
      <c r="P154" s="38"/>
      <c r="Q154" s="19">
        <f t="shared" si="175"/>
        <v>0</v>
      </c>
      <c r="R154" s="21">
        <f t="shared" si="176"/>
        <v>0</v>
      </c>
      <c r="S154" s="19">
        <f t="shared" si="177"/>
        <v>5</v>
      </c>
      <c r="T154" s="19">
        <f t="shared" si="178"/>
        <v>170000</v>
      </c>
      <c r="U154" s="21">
        <f t="shared" si="179"/>
        <v>170000</v>
      </c>
      <c r="V154" s="39"/>
      <c r="W154" s="16">
        <v>85</v>
      </c>
      <c r="X154" s="17" t="str">
        <f>VLOOKUP(W154,'DATABASE F&amp;B'!$C$3:$F$216,2,0)</f>
        <v>KAWA KAWA ANGGUR HIJAU</v>
      </c>
      <c r="Y154" s="18">
        <v>1</v>
      </c>
      <c r="Z154" s="19">
        <f>VLOOKUP(W154,'DATABASE F&amp;B'!$C$3:$F$216,4,0)</f>
        <v>170000</v>
      </c>
      <c r="AA154" s="19">
        <f t="shared" si="180"/>
        <v>170000</v>
      </c>
      <c r="AB154" s="16"/>
      <c r="AC154" s="17">
        <f>VLOOKUP(AB154,'DATABASE F&amp;B'!$C$3:$F$216,2,0)</f>
        <v>0</v>
      </c>
      <c r="AD154" s="18">
        <v>1</v>
      </c>
      <c r="AE154" s="19">
        <f>VLOOKUP(AB154,'DATABASE F&amp;B'!$C$3:$F$216,4,0)</f>
        <v>0</v>
      </c>
      <c r="AF154" s="19">
        <f t="shared" si="181"/>
        <v>0</v>
      </c>
      <c r="AG154" s="16"/>
      <c r="AH154" s="17">
        <f>VLOOKUP(AG154,'DATABASE F&amp;B'!$C$3:$F$216,2,0)</f>
        <v>0</v>
      </c>
      <c r="AI154" s="18">
        <v>1</v>
      </c>
      <c r="AJ154" s="19">
        <f>VLOOKUP(AG154,'DATABASE F&amp;B'!$C$3:$F$216,4,0)</f>
        <v>0</v>
      </c>
      <c r="AK154" s="19">
        <f t="shared" si="182"/>
        <v>0</v>
      </c>
      <c r="AL154" s="16"/>
      <c r="AM154" s="17">
        <f>VLOOKUP(AL154,'DATABASE F&amp;B'!$C$3:$F$216,2,0)</f>
        <v>0</v>
      </c>
      <c r="AN154" s="18">
        <v>1</v>
      </c>
      <c r="AO154" s="19">
        <f>VLOOKUP(AL154,'DATABASE F&amp;B'!$C$3:$F$216,4,0)</f>
        <v>0</v>
      </c>
      <c r="AP154" s="19">
        <f t="shared" si="183"/>
        <v>0</v>
      </c>
      <c r="AQ154" s="16"/>
      <c r="AR154" s="17">
        <f>VLOOKUP(AQ154,'DATABASE F&amp;B'!$C$3:$F$216,2,0)</f>
        <v>0</v>
      </c>
      <c r="AS154" s="18">
        <v>1</v>
      </c>
      <c r="AT154" s="19">
        <f>VLOOKUP(AQ154,'DATABASE F&amp;B'!$C$3:$F$216,4,0)</f>
        <v>0</v>
      </c>
      <c r="AU154" s="19">
        <f t="shared" si="184"/>
        <v>0</v>
      </c>
      <c r="AV154" s="16"/>
      <c r="AW154" s="17">
        <f>VLOOKUP(AV154,'DATABASE F&amp;B'!$C$3:$F$216,2,0)</f>
        <v>0</v>
      </c>
      <c r="AX154" s="18"/>
      <c r="AY154" s="19">
        <f>VLOOKUP(AV154,'DATABASE F&amp;B'!$C$3:$F$216,4,0)</f>
        <v>0</v>
      </c>
      <c r="AZ154" s="19">
        <f t="shared" si="185"/>
        <v>0</v>
      </c>
      <c r="BA154" s="16"/>
      <c r="BB154" s="17">
        <f>VLOOKUP(BA154,'DATABASE F&amp;B'!$C$3:$F$216,2,0)</f>
        <v>0</v>
      </c>
      <c r="BC154" s="18"/>
      <c r="BD154" s="19">
        <f>VLOOKUP(BA154,'DATABASE F&amp;B'!$C$3:$F$216,4,0)</f>
        <v>0</v>
      </c>
      <c r="BE154" s="19">
        <f t="shared" si="186"/>
        <v>0</v>
      </c>
      <c r="BF154" s="16"/>
      <c r="BG154" s="17">
        <f>VLOOKUP(BF154,'DATABASE F&amp;B'!$C$3:$F$216,2,0)</f>
        <v>0</v>
      </c>
      <c r="BH154" s="18"/>
      <c r="BI154" s="19">
        <f>VLOOKUP(BF154,'DATABASE F&amp;B'!$C$3:$F$216,4,0)</f>
        <v>0</v>
      </c>
      <c r="BJ154" s="19">
        <f t="shared" si="187"/>
        <v>0</v>
      </c>
      <c r="BK154" s="16"/>
      <c r="BL154" s="17">
        <f>VLOOKUP(BK154,'DATABASE F&amp;B'!$C$3:$F$210,2,0)</f>
        <v>0</v>
      </c>
      <c r="BM154" s="18"/>
      <c r="BN154" s="19">
        <f>VLOOKUP(BK154,'DATABASE F&amp;B'!$C$3:$F$210,4,0)</f>
        <v>0</v>
      </c>
      <c r="BO154" s="19">
        <f t="shared" si="188"/>
        <v>0</v>
      </c>
      <c r="BP154" s="16"/>
      <c r="BQ154" s="17">
        <f>VLOOKUP(BP154,'DATABASE F&amp;B'!$C$3:$F$210,2,0)</f>
        <v>0</v>
      </c>
      <c r="BR154" s="18"/>
      <c r="BS154" s="19">
        <f>VLOOKUP(BP154,'DATABASE F&amp;B'!$C$3:$F$210,4,0)</f>
        <v>0</v>
      </c>
      <c r="BT154" s="19">
        <f t="shared" si="189"/>
        <v>0</v>
      </c>
      <c r="BU154" s="16"/>
      <c r="BV154" s="17">
        <f>VLOOKUP(BU154,'DATABASE F&amp;B'!$C$3:$F$210,2,0)</f>
        <v>0</v>
      </c>
      <c r="BW154" s="18"/>
      <c r="BX154" s="19">
        <f>VLOOKUP(BU154,'DATABASE F&amp;B'!$C$3:$F$210,4,0)</f>
        <v>0</v>
      </c>
      <c r="BY154" s="19">
        <f t="shared" si="190"/>
        <v>0</v>
      </c>
      <c r="BZ154" s="16"/>
      <c r="CA154" s="17">
        <f>VLOOKUP(BZ154,'DATABASE F&amp;B'!$C$3:$F$210,2,0)</f>
        <v>0</v>
      </c>
      <c r="CB154" s="18"/>
      <c r="CC154" s="19">
        <f>VLOOKUP(BZ154,'DATABASE F&amp;B'!$C$3:$F$210,4,0)</f>
        <v>0</v>
      </c>
      <c r="CD154" s="19">
        <f t="shared" si="191"/>
        <v>0</v>
      </c>
    </row>
    <row r="155" spans="1:82" ht="13.5" x14ac:dyDescent="0.25">
      <c r="A155" s="32" t="str">
        <f t="shared" si="172"/>
        <v>05-'28-2026</v>
      </c>
      <c r="B155" s="22">
        <f t="shared" si="192"/>
        <v>151</v>
      </c>
      <c r="C155" s="22">
        <f t="shared" si="192"/>
        <v>151</v>
      </c>
      <c r="D155" s="34">
        <v>46170</v>
      </c>
      <c r="E155" s="35" t="s">
        <v>76</v>
      </c>
      <c r="F155" s="35" t="s">
        <v>202</v>
      </c>
      <c r="G155" s="52" t="s">
        <v>81</v>
      </c>
      <c r="H155" s="36" t="str">
        <f t="shared" si="170"/>
        <v>RJ-'280526-151</v>
      </c>
      <c r="I155" s="36" t="str">
        <f t="shared" si="173"/>
        <v>'28-05-2026</v>
      </c>
      <c r="J155" s="37" t="str">
        <f>VLOOKUP(D155,Laporan!$C$4:$D$34,2,0)</f>
        <v>Kamis</v>
      </c>
      <c r="K155" s="48"/>
      <c r="L155" s="13" t="s">
        <v>33</v>
      </c>
      <c r="M155" s="19">
        <f>SUMIF('DATABASE Room'!$B$3:$B$7,L155,'DATABASE Room'!$D$3:$D$7)</f>
        <v>0</v>
      </c>
      <c r="N155" s="13">
        <v>1</v>
      </c>
      <c r="O155" s="21">
        <f t="shared" si="174"/>
        <v>0</v>
      </c>
      <c r="P155" s="38"/>
      <c r="Q155" s="19">
        <f t="shared" si="175"/>
        <v>0</v>
      </c>
      <c r="R155" s="21">
        <f t="shared" si="176"/>
        <v>0</v>
      </c>
      <c r="S155" s="19">
        <f t="shared" si="177"/>
        <v>5</v>
      </c>
      <c r="T155" s="19">
        <f t="shared" si="178"/>
        <v>125000</v>
      </c>
      <c r="U155" s="21">
        <f t="shared" si="179"/>
        <v>125000</v>
      </c>
      <c r="V155" s="39"/>
      <c r="W155" s="16">
        <v>86</v>
      </c>
      <c r="X155" s="17" t="str">
        <f>VLOOKUP(W155,'DATABASE F&amp;B'!$C$3:$F$216,2,0)</f>
        <v>SOJU GREEN ROYAL APPLE</v>
      </c>
      <c r="Y155" s="18">
        <v>1</v>
      </c>
      <c r="Z155" s="19">
        <f>VLOOKUP(W155,'DATABASE F&amp;B'!$C$3:$F$216,4,0)</f>
        <v>125000</v>
      </c>
      <c r="AA155" s="19">
        <f t="shared" si="180"/>
        <v>125000</v>
      </c>
      <c r="AB155" s="16"/>
      <c r="AC155" s="17">
        <f>VLOOKUP(AB155,'DATABASE F&amp;B'!$C$3:$F$216,2,0)</f>
        <v>0</v>
      </c>
      <c r="AD155" s="18">
        <v>1</v>
      </c>
      <c r="AE155" s="19">
        <f>VLOOKUP(AB155,'DATABASE F&amp;B'!$C$3:$F$216,4,0)</f>
        <v>0</v>
      </c>
      <c r="AF155" s="19">
        <f t="shared" si="181"/>
        <v>0</v>
      </c>
      <c r="AG155" s="16"/>
      <c r="AH155" s="17">
        <f>VLOOKUP(AG155,'DATABASE F&amp;B'!$C$3:$F$216,2,0)</f>
        <v>0</v>
      </c>
      <c r="AI155" s="18">
        <v>1</v>
      </c>
      <c r="AJ155" s="19">
        <f>VLOOKUP(AG155,'DATABASE F&amp;B'!$C$3:$F$216,4,0)</f>
        <v>0</v>
      </c>
      <c r="AK155" s="19">
        <f t="shared" si="182"/>
        <v>0</v>
      </c>
      <c r="AL155" s="16"/>
      <c r="AM155" s="17">
        <f>VLOOKUP(AL155,'DATABASE F&amp;B'!$C$3:$F$216,2,0)</f>
        <v>0</v>
      </c>
      <c r="AN155" s="18">
        <v>1</v>
      </c>
      <c r="AO155" s="19">
        <f>VLOOKUP(AL155,'DATABASE F&amp;B'!$C$3:$F$216,4,0)</f>
        <v>0</v>
      </c>
      <c r="AP155" s="19">
        <f t="shared" si="183"/>
        <v>0</v>
      </c>
      <c r="AQ155" s="16"/>
      <c r="AR155" s="17">
        <f>VLOOKUP(AQ155,'DATABASE F&amp;B'!$C$3:$F$216,2,0)</f>
        <v>0</v>
      </c>
      <c r="AS155" s="18">
        <v>1</v>
      </c>
      <c r="AT155" s="19">
        <f>VLOOKUP(AQ155,'DATABASE F&amp;B'!$C$3:$F$216,4,0)</f>
        <v>0</v>
      </c>
      <c r="AU155" s="19">
        <f t="shared" si="184"/>
        <v>0</v>
      </c>
      <c r="AV155" s="16"/>
      <c r="AW155" s="17">
        <f>VLOOKUP(AV155,'DATABASE F&amp;B'!$C$3:$F$216,2,0)</f>
        <v>0</v>
      </c>
      <c r="AX155" s="18"/>
      <c r="AY155" s="19">
        <f>VLOOKUP(AV155,'DATABASE F&amp;B'!$C$3:$F$216,4,0)</f>
        <v>0</v>
      </c>
      <c r="AZ155" s="19">
        <f t="shared" si="185"/>
        <v>0</v>
      </c>
      <c r="BA155" s="16"/>
      <c r="BB155" s="17">
        <f>VLOOKUP(BA155,'DATABASE F&amp;B'!$C$3:$F$216,2,0)</f>
        <v>0</v>
      </c>
      <c r="BC155" s="18"/>
      <c r="BD155" s="19">
        <f>VLOOKUP(BA155,'DATABASE F&amp;B'!$C$3:$F$216,4,0)</f>
        <v>0</v>
      </c>
      <c r="BE155" s="19">
        <f t="shared" si="186"/>
        <v>0</v>
      </c>
      <c r="BF155" s="16"/>
      <c r="BG155" s="17">
        <f>VLOOKUP(BF155,'DATABASE F&amp;B'!$C$3:$F$216,2,0)</f>
        <v>0</v>
      </c>
      <c r="BH155" s="18"/>
      <c r="BI155" s="19">
        <f>VLOOKUP(BF155,'DATABASE F&amp;B'!$C$3:$F$216,4,0)</f>
        <v>0</v>
      </c>
      <c r="BJ155" s="19">
        <f t="shared" si="187"/>
        <v>0</v>
      </c>
      <c r="BK155" s="16"/>
      <c r="BL155" s="17">
        <f>VLOOKUP(BK155,'DATABASE F&amp;B'!$C$3:$F$210,2,0)</f>
        <v>0</v>
      </c>
      <c r="BM155" s="18"/>
      <c r="BN155" s="19">
        <f>VLOOKUP(BK155,'DATABASE F&amp;B'!$C$3:$F$210,4,0)</f>
        <v>0</v>
      </c>
      <c r="BO155" s="19">
        <f t="shared" si="188"/>
        <v>0</v>
      </c>
      <c r="BP155" s="16"/>
      <c r="BQ155" s="17">
        <f>VLOOKUP(BP155,'DATABASE F&amp;B'!$C$3:$F$210,2,0)</f>
        <v>0</v>
      </c>
      <c r="BR155" s="18"/>
      <c r="BS155" s="19">
        <f>VLOOKUP(BP155,'DATABASE F&amp;B'!$C$3:$F$210,4,0)</f>
        <v>0</v>
      </c>
      <c r="BT155" s="19">
        <f t="shared" si="189"/>
        <v>0</v>
      </c>
      <c r="BU155" s="16"/>
      <c r="BV155" s="17">
        <f>VLOOKUP(BU155,'DATABASE F&amp;B'!$C$3:$F$210,2,0)</f>
        <v>0</v>
      </c>
      <c r="BW155" s="18"/>
      <c r="BX155" s="19">
        <f>VLOOKUP(BU155,'DATABASE F&amp;B'!$C$3:$F$210,4,0)</f>
        <v>0</v>
      </c>
      <c r="BY155" s="19">
        <f t="shared" si="190"/>
        <v>0</v>
      </c>
      <c r="BZ155" s="16"/>
      <c r="CA155" s="17">
        <f>VLOOKUP(BZ155,'DATABASE F&amp;B'!$C$3:$F$210,2,0)</f>
        <v>0</v>
      </c>
      <c r="CB155" s="18"/>
      <c r="CC155" s="19">
        <f>VLOOKUP(BZ155,'DATABASE F&amp;B'!$C$3:$F$210,4,0)</f>
        <v>0</v>
      </c>
      <c r="CD155" s="19">
        <f t="shared" si="191"/>
        <v>0</v>
      </c>
    </row>
    <row r="156" spans="1:82" ht="13.5" x14ac:dyDescent="0.25">
      <c r="A156" s="32" t="str">
        <f t="shared" si="172"/>
        <v>05-'28-2026</v>
      </c>
      <c r="B156" s="22">
        <f t="shared" si="192"/>
        <v>152</v>
      </c>
      <c r="C156" s="22">
        <f t="shared" si="192"/>
        <v>152</v>
      </c>
      <c r="D156" s="34">
        <v>46170</v>
      </c>
      <c r="E156" s="35" t="s">
        <v>76</v>
      </c>
      <c r="F156" s="35" t="s">
        <v>202</v>
      </c>
      <c r="G156" s="52" t="s">
        <v>81</v>
      </c>
      <c r="H156" s="36" t="str">
        <f t="shared" si="170"/>
        <v>RJ-'280526-152</v>
      </c>
      <c r="I156" s="36" t="str">
        <f t="shared" si="173"/>
        <v>'28-05-2026</v>
      </c>
      <c r="J156" s="37" t="str">
        <f>VLOOKUP(D156,Laporan!$C$4:$D$34,2,0)</f>
        <v>Kamis</v>
      </c>
      <c r="K156" s="48"/>
      <c r="L156" s="13" t="s">
        <v>33</v>
      </c>
      <c r="M156" s="19">
        <f>SUMIF('DATABASE Room'!$B$3:$B$7,L156,'DATABASE Room'!$D$3:$D$7)</f>
        <v>0</v>
      </c>
      <c r="N156" s="13">
        <v>1</v>
      </c>
      <c r="O156" s="21">
        <f t="shared" si="174"/>
        <v>0</v>
      </c>
      <c r="P156" s="38"/>
      <c r="Q156" s="19">
        <f t="shared" si="175"/>
        <v>0</v>
      </c>
      <c r="R156" s="21">
        <f t="shared" si="176"/>
        <v>0</v>
      </c>
      <c r="S156" s="19">
        <f t="shared" si="177"/>
        <v>5</v>
      </c>
      <c r="T156" s="19">
        <f t="shared" si="178"/>
        <v>125000</v>
      </c>
      <c r="U156" s="21">
        <f t="shared" si="179"/>
        <v>125000</v>
      </c>
      <c r="V156" s="39"/>
      <c r="W156" s="16">
        <v>87</v>
      </c>
      <c r="X156" s="17" t="str">
        <f>VLOOKUP(W156,'DATABASE F&amp;B'!$C$3:$F$216,2,0)</f>
        <v>SOJU GREEN ROYAL LYCHEE</v>
      </c>
      <c r="Y156" s="18">
        <v>1</v>
      </c>
      <c r="Z156" s="19">
        <f>VLOOKUP(W156,'DATABASE F&amp;B'!$C$3:$F$216,4,0)</f>
        <v>125000</v>
      </c>
      <c r="AA156" s="19">
        <f t="shared" si="180"/>
        <v>125000</v>
      </c>
      <c r="AB156" s="16"/>
      <c r="AC156" s="17">
        <f>VLOOKUP(AB156,'DATABASE F&amp;B'!$C$3:$F$216,2,0)</f>
        <v>0</v>
      </c>
      <c r="AD156" s="18">
        <v>1</v>
      </c>
      <c r="AE156" s="19">
        <f>VLOOKUP(AB156,'DATABASE F&amp;B'!$C$3:$F$216,4,0)</f>
        <v>0</v>
      </c>
      <c r="AF156" s="19">
        <f t="shared" si="181"/>
        <v>0</v>
      </c>
      <c r="AG156" s="16"/>
      <c r="AH156" s="17">
        <f>VLOOKUP(AG156,'DATABASE F&amp;B'!$C$3:$F$216,2,0)</f>
        <v>0</v>
      </c>
      <c r="AI156" s="18">
        <v>1</v>
      </c>
      <c r="AJ156" s="19">
        <f>VLOOKUP(AG156,'DATABASE F&amp;B'!$C$3:$F$216,4,0)</f>
        <v>0</v>
      </c>
      <c r="AK156" s="19">
        <f t="shared" si="182"/>
        <v>0</v>
      </c>
      <c r="AL156" s="16"/>
      <c r="AM156" s="17">
        <f>VLOOKUP(AL156,'DATABASE F&amp;B'!$C$3:$F$216,2,0)</f>
        <v>0</v>
      </c>
      <c r="AN156" s="18">
        <v>1</v>
      </c>
      <c r="AO156" s="19">
        <f>VLOOKUP(AL156,'DATABASE F&amp;B'!$C$3:$F$216,4,0)</f>
        <v>0</v>
      </c>
      <c r="AP156" s="19">
        <f t="shared" si="183"/>
        <v>0</v>
      </c>
      <c r="AQ156" s="16"/>
      <c r="AR156" s="17">
        <f>VLOOKUP(AQ156,'DATABASE F&amp;B'!$C$3:$F$216,2,0)</f>
        <v>0</v>
      </c>
      <c r="AS156" s="18">
        <v>1</v>
      </c>
      <c r="AT156" s="19">
        <f>VLOOKUP(AQ156,'DATABASE F&amp;B'!$C$3:$F$216,4,0)</f>
        <v>0</v>
      </c>
      <c r="AU156" s="19">
        <f t="shared" si="184"/>
        <v>0</v>
      </c>
      <c r="AV156" s="16"/>
      <c r="AW156" s="17">
        <f>VLOOKUP(AV156,'DATABASE F&amp;B'!$C$3:$F$216,2,0)</f>
        <v>0</v>
      </c>
      <c r="AX156" s="18"/>
      <c r="AY156" s="19">
        <f>VLOOKUP(AV156,'DATABASE F&amp;B'!$C$3:$F$216,4,0)</f>
        <v>0</v>
      </c>
      <c r="AZ156" s="19">
        <f t="shared" si="185"/>
        <v>0</v>
      </c>
      <c r="BA156" s="16"/>
      <c r="BB156" s="17">
        <f>VLOOKUP(BA156,'DATABASE F&amp;B'!$C$3:$F$216,2,0)</f>
        <v>0</v>
      </c>
      <c r="BC156" s="18"/>
      <c r="BD156" s="19">
        <f>VLOOKUP(BA156,'DATABASE F&amp;B'!$C$3:$F$216,4,0)</f>
        <v>0</v>
      </c>
      <c r="BE156" s="19">
        <f t="shared" si="186"/>
        <v>0</v>
      </c>
      <c r="BF156" s="16"/>
      <c r="BG156" s="17">
        <f>VLOOKUP(BF156,'DATABASE F&amp;B'!$C$3:$F$216,2,0)</f>
        <v>0</v>
      </c>
      <c r="BH156" s="18"/>
      <c r="BI156" s="19">
        <f>VLOOKUP(BF156,'DATABASE F&amp;B'!$C$3:$F$216,4,0)</f>
        <v>0</v>
      </c>
      <c r="BJ156" s="19">
        <f t="shared" si="187"/>
        <v>0</v>
      </c>
      <c r="BK156" s="16"/>
      <c r="BL156" s="17">
        <f>VLOOKUP(BK156,'DATABASE F&amp;B'!$C$3:$F$210,2,0)</f>
        <v>0</v>
      </c>
      <c r="BM156" s="18"/>
      <c r="BN156" s="19">
        <f>VLOOKUP(BK156,'DATABASE F&amp;B'!$C$3:$F$210,4,0)</f>
        <v>0</v>
      </c>
      <c r="BO156" s="19">
        <f t="shared" si="188"/>
        <v>0</v>
      </c>
      <c r="BP156" s="16"/>
      <c r="BQ156" s="17">
        <f>VLOOKUP(BP156,'DATABASE F&amp;B'!$C$3:$F$210,2,0)</f>
        <v>0</v>
      </c>
      <c r="BR156" s="18"/>
      <c r="BS156" s="19">
        <f>VLOOKUP(BP156,'DATABASE F&amp;B'!$C$3:$F$210,4,0)</f>
        <v>0</v>
      </c>
      <c r="BT156" s="19">
        <f t="shared" si="189"/>
        <v>0</v>
      </c>
      <c r="BU156" s="16"/>
      <c r="BV156" s="17">
        <f>VLOOKUP(BU156,'DATABASE F&amp;B'!$C$3:$F$210,2,0)</f>
        <v>0</v>
      </c>
      <c r="BW156" s="18"/>
      <c r="BX156" s="19">
        <f>VLOOKUP(BU156,'DATABASE F&amp;B'!$C$3:$F$210,4,0)</f>
        <v>0</v>
      </c>
      <c r="BY156" s="19">
        <f t="shared" si="190"/>
        <v>0</v>
      </c>
      <c r="BZ156" s="16"/>
      <c r="CA156" s="17">
        <f>VLOOKUP(BZ156,'DATABASE F&amp;B'!$C$3:$F$210,2,0)</f>
        <v>0</v>
      </c>
      <c r="CB156" s="18"/>
      <c r="CC156" s="19">
        <f>VLOOKUP(BZ156,'DATABASE F&amp;B'!$C$3:$F$210,4,0)</f>
        <v>0</v>
      </c>
      <c r="CD156" s="19">
        <f t="shared" si="191"/>
        <v>0</v>
      </c>
    </row>
    <row r="157" spans="1:82" ht="13.5" x14ac:dyDescent="0.25">
      <c r="A157" s="32" t="str">
        <f t="shared" si="172"/>
        <v>05-'28-2026</v>
      </c>
      <c r="B157" s="22">
        <f t="shared" si="192"/>
        <v>153</v>
      </c>
      <c r="C157" s="22">
        <f t="shared" si="192"/>
        <v>153</v>
      </c>
      <c r="D157" s="34">
        <v>46170</v>
      </c>
      <c r="E157" s="35" t="s">
        <v>76</v>
      </c>
      <c r="F157" s="35" t="s">
        <v>202</v>
      </c>
      <c r="G157" s="52" t="s">
        <v>81</v>
      </c>
      <c r="H157" s="36" t="str">
        <f t="shared" si="170"/>
        <v>RJ-'280526-153</v>
      </c>
      <c r="I157" s="36" t="str">
        <f t="shared" si="173"/>
        <v>'28-05-2026</v>
      </c>
      <c r="J157" s="37" t="str">
        <f>VLOOKUP(D157,Laporan!$C$4:$D$34,2,0)</f>
        <v>Kamis</v>
      </c>
      <c r="K157" s="48"/>
      <c r="L157" s="13" t="s">
        <v>33</v>
      </c>
      <c r="M157" s="19">
        <f>SUMIF('DATABASE Room'!$B$3:$B$7,L157,'DATABASE Room'!$D$3:$D$7)</f>
        <v>0</v>
      </c>
      <c r="N157" s="13">
        <v>1</v>
      </c>
      <c r="O157" s="21">
        <f t="shared" si="174"/>
        <v>0</v>
      </c>
      <c r="P157" s="38"/>
      <c r="Q157" s="19">
        <f t="shared" si="175"/>
        <v>0</v>
      </c>
      <c r="R157" s="21">
        <f t="shared" si="176"/>
        <v>0</v>
      </c>
      <c r="S157" s="19">
        <f t="shared" si="177"/>
        <v>5</v>
      </c>
      <c r="T157" s="19">
        <f t="shared" si="178"/>
        <v>125000</v>
      </c>
      <c r="U157" s="21">
        <f t="shared" si="179"/>
        <v>125000</v>
      </c>
      <c r="V157" s="39"/>
      <c r="W157" s="16">
        <v>88</v>
      </c>
      <c r="X157" s="17" t="str">
        <f>VLOOKUP(W157,'DATABASE F&amp;B'!$C$3:$F$216,2,0)</f>
        <v>SOJU GREEN ROYAL MANGO</v>
      </c>
      <c r="Y157" s="18">
        <v>1</v>
      </c>
      <c r="Z157" s="19">
        <f>VLOOKUP(W157,'DATABASE F&amp;B'!$C$3:$F$216,4,0)</f>
        <v>125000</v>
      </c>
      <c r="AA157" s="19">
        <f t="shared" si="180"/>
        <v>125000</v>
      </c>
      <c r="AB157" s="16"/>
      <c r="AC157" s="17">
        <f>VLOOKUP(AB157,'DATABASE F&amp;B'!$C$3:$F$216,2,0)</f>
        <v>0</v>
      </c>
      <c r="AD157" s="18">
        <v>1</v>
      </c>
      <c r="AE157" s="19">
        <f>VLOOKUP(AB157,'DATABASE F&amp;B'!$C$3:$F$216,4,0)</f>
        <v>0</v>
      </c>
      <c r="AF157" s="19">
        <f t="shared" si="181"/>
        <v>0</v>
      </c>
      <c r="AG157" s="16"/>
      <c r="AH157" s="17">
        <f>VLOOKUP(AG157,'DATABASE F&amp;B'!$C$3:$F$216,2,0)</f>
        <v>0</v>
      </c>
      <c r="AI157" s="18">
        <v>1</v>
      </c>
      <c r="AJ157" s="19">
        <f>VLOOKUP(AG157,'DATABASE F&amp;B'!$C$3:$F$216,4,0)</f>
        <v>0</v>
      </c>
      <c r="AK157" s="19">
        <f t="shared" si="182"/>
        <v>0</v>
      </c>
      <c r="AL157" s="16"/>
      <c r="AM157" s="17">
        <f>VLOOKUP(AL157,'DATABASE F&amp;B'!$C$3:$F$216,2,0)</f>
        <v>0</v>
      </c>
      <c r="AN157" s="18">
        <v>1</v>
      </c>
      <c r="AO157" s="19">
        <f>VLOOKUP(AL157,'DATABASE F&amp;B'!$C$3:$F$216,4,0)</f>
        <v>0</v>
      </c>
      <c r="AP157" s="19">
        <f t="shared" si="183"/>
        <v>0</v>
      </c>
      <c r="AQ157" s="16"/>
      <c r="AR157" s="17">
        <f>VLOOKUP(AQ157,'DATABASE F&amp;B'!$C$3:$F$216,2,0)</f>
        <v>0</v>
      </c>
      <c r="AS157" s="18">
        <v>1</v>
      </c>
      <c r="AT157" s="19">
        <f>VLOOKUP(AQ157,'DATABASE F&amp;B'!$C$3:$F$216,4,0)</f>
        <v>0</v>
      </c>
      <c r="AU157" s="19">
        <f t="shared" si="184"/>
        <v>0</v>
      </c>
      <c r="AV157" s="16"/>
      <c r="AW157" s="17">
        <f>VLOOKUP(AV157,'DATABASE F&amp;B'!$C$3:$F$216,2,0)</f>
        <v>0</v>
      </c>
      <c r="AX157" s="18"/>
      <c r="AY157" s="19">
        <f>VLOOKUP(AV157,'DATABASE F&amp;B'!$C$3:$F$216,4,0)</f>
        <v>0</v>
      </c>
      <c r="AZ157" s="19">
        <f t="shared" si="185"/>
        <v>0</v>
      </c>
      <c r="BA157" s="16"/>
      <c r="BB157" s="17">
        <f>VLOOKUP(BA157,'DATABASE F&amp;B'!$C$3:$F$216,2,0)</f>
        <v>0</v>
      </c>
      <c r="BC157" s="18"/>
      <c r="BD157" s="19">
        <f>VLOOKUP(BA157,'DATABASE F&amp;B'!$C$3:$F$216,4,0)</f>
        <v>0</v>
      </c>
      <c r="BE157" s="19">
        <f t="shared" si="186"/>
        <v>0</v>
      </c>
      <c r="BF157" s="16"/>
      <c r="BG157" s="17">
        <f>VLOOKUP(BF157,'DATABASE F&amp;B'!$C$3:$F$216,2,0)</f>
        <v>0</v>
      </c>
      <c r="BH157" s="18"/>
      <c r="BI157" s="19">
        <f>VLOOKUP(BF157,'DATABASE F&amp;B'!$C$3:$F$216,4,0)</f>
        <v>0</v>
      </c>
      <c r="BJ157" s="19">
        <f t="shared" si="187"/>
        <v>0</v>
      </c>
      <c r="BK157" s="16"/>
      <c r="BL157" s="17">
        <f>VLOOKUP(BK157,'DATABASE F&amp;B'!$C$3:$F$210,2,0)</f>
        <v>0</v>
      </c>
      <c r="BM157" s="18"/>
      <c r="BN157" s="19">
        <f>VLOOKUP(BK157,'DATABASE F&amp;B'!$C$3:$F$210,4,0)</f>
        <v>0</v>
      </c>
      <c r="BO157" s="19">
        <f t="shared" si="188"/>
        <v>0</v>
      </c>
      <c r="BP157" s="16"/>
      <c r="BQ157" s="17">
        <f>VLOOKUP(BP157,'DATABASE F&amp;B'!$C$3:$F$210,2,0)</f>
        <v>0</v>
      </c>
      <c r="BR157" s="18"/>
      <c r="BS157" s="19">
        <f>VLOOKUP(BP157,'DATABASE F&amp;B'!$C$3:$F$210,4,0)</f>
        <v>0</v>
      </c>
      <c r="BT157" s="19">
        <f t="shared" si="189"/>
        <v>0</v>
      </c>
      <c r="BU157" s="16"/>
      <c r="BV157" s="17">
        <f>VLOOKUP(BU157,'DATABASE F&amp;B'!$C$3:$F$210,2,0)</f>
        <v>0</v>
      </c>
      <c r="BW157" s="18"/>
      <c r="BX157" s="19">
        <f>VLOOKUP(BU157,'DATABASE F&amp;B'!$C$3:$F$210,4,0)</f>
        <v>0</v>
      </c>
      <c r="BY157" s="19">
        <f t="shared" si="190"/>
        <v>0</v>
      </c>
      <c r="BZ157" s="16"/>
      <c r="CA157" s="17">
        <f>VLOOKUP(BZ157,'DATABASE F&amp;B'!$C$3:$F$210,2,0)</f>
        <v>0</v>
      </c>
      <c r="CB157" s="18"/>
      <c r="CC157" s="19">
        <f>VLOOKUP(BZ157,'DATABASE F&amp;B'!$C$3:$F$210,4,0)</f>
        <v>0</v>
      </c>
      <c r="CD157" s="19">
        <f t="shared" si="191"/>
        <v>0</v>
      </c>
    </row>
    <row r="158" spans="1:82" ht="13.5" x14ac:dyDescent="0.25">
      <c r="A158" s="32" t="str">
        <f t="shared" si="172"/>
        <v>05-'28-2026</v>
      </c>
      <c r="B158" s="22">
        <f t="shared" si="192"/>
        <v>154</v>
      </c>
      <c r="C158" s="22">
        <f t="shared" si="192"/>
        <v>154</v>
      </c>
      <c r="D158" s="34">
        <v>46170</v>
      </c>
      <c r="E158" s="35" t="s">
        <v>76</v>
      </c>
      <c r="F158" s="35" t="s">
        <v>202</v>
      </c>
      <c r="G158" s="52" t="s">
        <v>81</v>
      </c>
      <c r="H158" s="36" t="str">
        <f t="shared" si="170"/>
        <v>RJ-'280526-154</v>
      </c>
      <c r="I158" s="36" t="str">
        <f t="shared" si="173"/>
        <v>'28-05-2026</v>
      </c>
      <c r="J158" s="37" t="str">
        <f>VLOOKUP(D158,Laporan!$C$4:$D$34,2,0)</f>
        <v>Kamis</v>
      </c>
      <c r="K158" s="48"/>
      <c r="L158" s="13" t="s">
        <v>33</v>
      </c>
      <c r="M158" s="19">
        <f>SUMIF('DATABASE Room'!$B$3:$B$7,L158,'DATABASE Room'!$D$3:$D$7)</f>
        <v>0</v>
      </c>
      <c r="N158" s="13">
        <v>1</v>
      </c>
      <c r="O158" s="21">
        <f t="shared" si="174"/>
        <v>0</v>
      </c>
      <c r="P158" s="38"/>
      <c r="Q158" s="19">
        <f t="shared" si="175"/>
        <v>0</v>
      </c>
      <c r="R158" s="21">
        <f t="shared" si="176"/>
        <v>0</v>
      </c>
      <c r="S158" s="19">
        <f t="shared" si="177"/>
        <v>5</v>
      </c>
      <c r="T158" s="19">
        <f t="shared" si="178"/>
        <v>185000</v>
      </c>
      <c r="U158" s="21">
        <f t="shared" si="179"/>
        <v>185000</v>
      </c>
      <c r="V158" s="39"/>
      <c r="W158" s="16">
        <v>89</v>
      </c>
      <c r="X158" s="17" t="str">
        <f>VLOOKUP(W158,'DATABASE F&amp;B'!$C$3:$F$216,2,0)</f>
        <v>ANGGUR MERAH GOLD</v>
      </c>
      <c r="Y158" s="18">
        <v>1</v>
      </c>
      <c r="Z158" s="19">
        <f>VLOOKUP(W158,'DATABASE F&amp;B'!$C$3:$F$216,4,0)</f>
        <v>110000</v>
      </c>
      <c r="AA158" s="19">
        <f t="shared" si="180"/>
        <v>110000</v>
      </c>
      <c r="AB158" s="16">
        <v>78</v>
      </c>
      <c r="AC158" s="17" t="str">
        <f>VLOOKUP(AB158,'DATABASE F&amp;B'!$C$3:$F$216,2,0)</f>
        <v>ASAHI DRY PINT 330ML</v>
      </c>
      <c r="AD158" s="18">
        <v>1</v>
      </c>
      <c r="AE158" s="19">
        <f>VLOOKUP(AB158,'DATABASE F&amp;B'!$C$3:$F$216,4,0)</f>
        <v>75000</v>
      </c>
      <c r="AF158" s="19">
        <f t="shared" si="181"/>
        <v>75000</v>
      </c>
      <c r="AG158" s="16"/>
      <c r="AH158" s="17">
        <f>VLOOKUP(AG158,'DATABASE F&amp;B'!$C$3:$F$216,2,0)</f>
        <v>0</v>
      </c>
      <c r="AI158" s="18">
        <v>1</v>
      </c>
      <c r="AJ158" s="19">
        <f>VLOOKUP(AG158,'DATABASE F&amp;B'!$C$3:$F$216,4,0)</f>
        <v>0</v>
      </c>
      <c r="AK158" s="19">
        <f t="shared" si="182"/>
        <v>0</v>
      </c>
      <c r="AL158" s="16"/>
      <c r="AM158" s="17">
        <f>VLOOKUP(AL158,'DATABASE F&amp;B'!$C$3:$F$216,2,0)</f>
        <v>0</v>
      </c>
      <c r="AN158" s="18">
        <v>1</v>
      </c>
      <c r="AO158" s="19">
        <f>VLOOKUP(AL158,'DATABASE F&amp;B'!$C$3:$F$216,4,0)</f>
        <v>0</v>
      </c>
      <c r="AP158" s="19">
        <f t="shared" si="183"/>
        <v>0</v>
      </c>
      <c r="AQ158" s="16"/>
      <c r="AR158" s="17">
        <f>VLOOKUP(AQ158,'DATABASE F&amp;B'!$C$3:$F$216,2,0)</f>
        <v>0</v>
      </c>
      <c r="AS158" s="18">
        <v>1</v>
      </c>
      <c r="AT158" s="19">
        <f>VLOOKUP(AQ158,'DATABASE F&amp;B'!$C$3:$F$216,4,0)</f>
        <v>0</v>
      </c>
      <c r="AU158" s="19">
        <f t="shared" si="184"/>
        <v>0</v>
      </c>
      <c r="AV158" s="16"/>
      <c r="AW158" s="17">
        <f>VLOOKUP(AV158,'DATABASE F&amp;B'!$C$3:$F$216,2,0)</f>
        <v>0</v>
      </c>
      <c r="AX158" s="18"/>
      <c r="AY158" s="19">
        <f>VLOOKUP(AV158,'DATABASE F&amp;B'!$C$3:$F$216,4,0)</f>
        <v>0</v>
      </c>
      <c r="AZ158" s="19">
        <f t="shared" si="185"/>
        <v>0</v>
      </c>
      <c r="BA158" s="16"/>
      <c r="BB158" s="17">
        <f>VLOOKUP(BA158,'DATABASE F&amp;B'!$C$3:$F$216,2,0)</f>
        <v>0</v>
      </c>
      <c r="BC158" s="18"/>
      <c r="BD158" s="19">
        <f>VLOOKUP(BA158,'DATABASE F&amp;B'!$C$3:$F$216,4,0)</f>
        <v>0</v>
      </c>
      <c r="BE158" s="19">
        <f t="shared" si="186"/>
        <v>0</v>
      </c>
      <c r="BF158" s="16"/>
      <c r="BG158" s="17">
        <f>VLOOKUP(BF158,'DATABASE F&amp;B'!$C$3:$F$216,2,0)</f>
        <v>0</v>
      </c>
      <c r="BH158" s="18"/>
      <c r="BI158" s="19">
        <f>VLOOKUP(BF158,'DATABASE F&amp;B'!$C$3:$F$216,4,0)</f>
        <v>0</v>
      </c>
      <c r="BJ158" s="19">
        <f t="shared" si="187"/>
        <v>0</v>
      </c>
      <c r="BK158" s="16"/>
      <c r="BL158" s="17">
        <f>VLOOKUP(BK158,'DATABASE F&amp;B'!$C$3:$F$210,2,0)</f>
        <v>0</v>
      </c>
      <c r="BM158" s="18"/>
      <c r="BN158" s="19">
        <f>VLOOKUP(BK158,'DATABASE F&amp;B'!$C$3:$F$210,4,0)</f>
        <v>0</v>
      </c>
      <c r="BO158" s="19">
        <f t="shared" si="188"/>
        <v>0</v>
      </c>
      <c r="BP158" s="16"/>
      <c r="BQ158" s="17">
        <f>VLOOKUP(BP158,'DATABASE F&amp;B'!$C$3:$F$210,2,0)</f>
        <v>0</v>
      </c>
      <c r="BR158" s="18"/>
      <c r="BS158" s="19">
        <f>VLOOKUP(BP158,'DATABASE F&amp;B'!$C$3:$F$210,4,0)</f>
        <v>0</v>
      </c>
      <c r="BT158" s="19">
        <f t="shared" si="189"/>
        <v>0</v>
      </c>
      <c r="BU158" s="16"/>
      <c r="BV158" s="17">
        <f>VLOOKUP(BU158,'DATABASE F&amp;B'!$C$3:$F$210,2,0)</f>
        <v>0</v>
      </c>
      <c r="BW158" s="18"/>
      <c r="BX158" s="19">
        <f>VLOOKUP(BU158,'DATABASE F&amp;B'!$C$3:$F$210,4,0)</f>
        <v>0</v>
      </c>
      <c r="BY158" s="19">
        <f t="shared" si="190"/>
        <v>0</v>
      </c>
      <c r="BZ158" s="16"/>
      <c r="CA158" s="17">
        <f>VLOOKUP(BZ158,'DATABASE F&amp;B'!$C$3:$F$210,2,0)</f>
        <v>0</v>
      </c>
      <c r="CB158" s="18"/>
      <c r="CC158" s="19">
        <f>VLOOKUP(BZ158,'DATABASE F&amp;B'!$C$3:$F$210,4,0)</f>
        <v>0</v>
      </c>
      <c r="CD158" s="19">
        <f t="shared" si="191"/>
        <v>0</v>
      </c>
    </row>
    <row r="159" spans="1:82" ht="13.5" x14ac:dyDescent="0.25">
      <c r="A159" s="32" t="str">
        <f t="shared" si="172"/>
        <v>05-'28-2026</v>
      </c>
      <c r="B159" s="22">
        <f t="shared" si="192"/>
        <v>155</v>
      </c>
      <c r="C159" s="22">
        <f t="shared" si="192"/>
        <v>155</v>
      </c>
      <c r="D159" s="34">
        <v>46170</v>
      </c>
      <c r="E159" s="35" t="s">
        <v>76</v>
      </c>
      <c r="F159" s="35" t="s">
        <v>202</v>
      </c>
      <c r="G159" s="52" t="s">
        <v>81</v>
      </c>
      <c r="H159" s="36" t="str">
        <f t="shared" si="170"/>
        <v>RJ-'280526-155</v>
      </c>
      <c r="I159" s="36" t="str">
        <f t="shared" si="173"/>
        <v>'28-05-2026</v>
      </c>
      <c r="J159" s="37" t="str">
        <f>VLOOKUP(D159,Laporan!$C$4:$D$34,2,0)</f>
        <v>Kamis</v>
      </c>
      <c r="K159" s="48"/>
      <c r="L159" s="13" t="s">
        <v>33</v>
      </c>
      <c r="M159" s="19">
        <f>SUMIF('DATABASE Room'!$B$3:$B$7,L159,'DATABASE Room'!$D$3:$D$7)</f>
        <v>0</v>
      </c>
      <c r="N159" s="13">
        <v>1</v>
      </c>
      <c r="O159" s="21">
        <f t="shared" si="174"/>
        <v>0</v>
      </c>
      <c r="P159" s="38"/>
      <c r="Q159" s="19">
        <f t="shared" si="175"/>
        <v>0</v>
      </c>
      <c r="R159" s="21">
        <f t="shared" si="176"/>
        <v>0</v>
      </c>
      <c r="S159" s="19">
        <f t="shared" si="177"/>
        <v>5</v>
      </c>
      <c r="T159" s="19">
        <f t="shared" si="178"/>
        <v>22000</v>
      </c>
      <c r="U159" s="21">
        <f t="shared" si="179"/>
        <v>22000</v>
      </c>
      <c r="V159" s="39"/>
      <c r="W159" s="16">
        <v>8</v>
      </c>
      <c r="X159" s="17" t="str">
        <f>VLOOKUP(W159,'DATABASE F&amp;B'!$C$3:$F$216,2,0)</f>
        <v>MACARONI PEDES</v>
      </c>
      <c r="Y159" s="18">
        <v>1</v>
      </c>
      <c r="Z159" s="19">
        <f>VLOOKUP(W159,'DATABASE F&amp;B'!$C$3:$F$216,4,0)</f>
        <v>22000</v>
      </c>
      <c r="AA159" s="19">
        <f t="shared" si="180"/>
        <v>22000</v>
      </c>
      <c r="AB159" s="16"/>
      <c r="AC159" s="17">
        <f>VLOOKUP(AB159,'DATABASE F&amp;B'!$C$3:$F$216,2,0)</f>
        <v>0</v>
      </c>
      <c r="AD159" s="18">
        <v>1</v>
      </c>
      <c r="AE159" s="19">
        <f>VLOOKUP(AB159,'DATABASE F&amp;B'!$C$3:$F$216,4,0)</f>
        <v>0</v>
      </c>
      <c r="AF159" s="19">
        <f t="shared" si="181"/>
        <v>0</v>
      </c>
      <c r="AG159" s="16"/>
      <c r="AH159" s="17">
        <f>VLOOKUP(AG159,'DATABASE F&amp;B'!$C$3:$F$216,2,0)</f>
        <v>0</v>
      </c>
      <c r="AI159" s="18">
        <v>1</v>
      </c>
      <c r="AJ159" s="19">
        <f>VLOOKUP(AG159,'DATABASE F&amp;B'!$C$3:$F$216,4,0)</f>
        <v>0</v>
      </c>
      <c r="AK159" s="19">
        <f t="shared" si="182"/>
        <v>0</v>
      </c>
      <c r="AL159" s="16"/>
      <c r="AM159" s="17">
        <f>VLOOKUP(AL159,'DATABASE F&amp;B'!$C$3:$F$216,2,0)</f>
        <v>0</v>
      </c>
      <c r="AN159" s="18">
        <v>1</v>
      </c>
      <c r="AO159" s="19">
        <f>VLOOKUP(AL159,'DATABASE F&amp;B'!$C$3:$F$216,4,0)</f>
        <v>0</v>
      </c>
      <c r="AP159" s="19">
        <f t="shared" si="183"/>
        <v>0</v>
      </c>
      <c r="AQ159" s="16"/>
      <c r="AR159" s="17">
        <f>VLOOKUP(AQ159,'DATABASE F&amp;B'!$C$3:$F$216,2,0)</f>
        <v>0</v>
      </c>
      <c r="AS159" s="18">
        <v>1</v>
      </c>
      <c r="AT159" s="19">
        <f>VLOOKUP(AQ159,'DATABASE F&amp;B'!$C$3:$F$216,4,0)</f>
        <v>0</v>
      </c>
      <c r="AU159" s="19">
        <f t="shared" si="184"/>
        <v>0</v>
      </c>
      <c r="AV159" s="16"/>
      <c r="AW159" s="17">
        <f>VLOOKUP(AV159,'DATABASE F&amp;B'!$C$3:$F$216,2,0)</f>
        <v>0</v>
      </c>
      <c r="AX159" s="18"/>
      <c r="AY159" s="19">
        <f>VLOOKUP(AV159,'DATABASE F&amp;B'!$C$3:$F$216,4,0)</f>
        <v>0</v>
      </c>
      <c r="AZ159" s="19">
        <f t="shared" si="185"/>
        <v>0</v>
      </c>
      <c r="BA159" s="16"/>
      <c r="BB159" s="17">
        <f>VLOOKUP(BA159,'DATABASE F&amp;B'!$C$3:$F$216,2,0)</f>
        <v>0</v>
      </c>
      <c r="BC159" s="18"/>
      <c r="BD159" s="19">
        <f>VLOOKUP(BA159,'DATABASE F&amp;B'!$C$3:$F$216,4,0)</f>
        <v>0</v>
      </c>
      <c r="BE159" s="19">
        <f t="shared" si="186"/>
        <v>0</v>
      </c>
      <c r="BF159" s="16"/>
      <c r="BG159" s="17">
        <f>VLOOKUP(BF159,'DATABASE F&amp;B'!$C$3:$F$216,2,0)</f>
        <v>0</v>
      </c>
      <c r="BH159" s="18"/>
      <c r="BI159" s="19">
        <f>VLOOKUP(BF159,'DATABASE F&amp;B'!$C$3:$F$216,4,0)</f>
        <v>0</v>
      </c>
      <c r="BJ159" s="19">
        <f t="shared" si="187"/>
        <v>0</v>
      </c>
      <c r="BK159" s="16"/>
      <c r="BL159" s="17">
        <f>VLOOKUP(BK159,'DATABASE F&amp;B'!$C$3:$F$210,2,0)</f>
        <v>0</v>
      </c>
      <c r="BM159" s="18"/>
      <c r="BN159" s="19">
        <f>VLOOKUP(BK159,'DATABASE F&amp;B'!$C$3:$F$210,4,0)</f>
        <v>0</v>
      </c>
      <c r="BO159" s="19">
        <f t="shared" si="188"/>
        <v>0</v>
      </c>
      <c r="BP159" s="16"/>
      <c r="BQ159" s="17">
        <f>VLOOKUP(BP159,'DATABASE F&amp;B'!$C$3:$F$210,2,0)</f>
        <v>0</v>
      </c>
      <c r="BR159" s="18"/>
      <c r="BS159" s="19">
        <f>VLOOKUP(BP159,'DATABASE F&amp;B'!$C$3:$F$210,4,0)</f>
        <v>0</v>
      </c>
      <c r="BT159" s="19">
        <f t="shared" si="189"/>
        <v>0</v>
      </c>
      <c r="BU159" s="16"/>
      <c r="BV159" s="17">
        <f>VLOOKUP(BU159,'DATABASE F&amp;B'!$C$3:$F$210,2,0)</f>
        <v>0</v>
      </c>
      <c r="BW159" s="18"/>
      <c r="BX159" s="19">
        <f>VLOOKUP(BU159,'DATABASE F&amp;B'!$C$3:$F$210,4,0)</f>
        <v>0</v>
      </c>
      <c r="BY159" s="19">
        <f t="shared" si="190"/>
        <v>0</v>
      </c>
      <c r="BZ159" s="16"/>
      <c r="CA159" s="17">
        <f>VLOOKUP(BZ159,'DATABASE F&amp;B'!$C$3:$F$210,2,0)</f>
        <v>0</v>
      </c>
      <c r="CB159" s="18"/>
      <c r="CC159" s="19">
        <f>VLOOKUP(BZ159,'DATABASE F&amp;B'!$C$3:$F$210,4,0)</f>
        <v>0</v>
      </c>
      <c r="CD159" s="19">
        <f t="shared" si="191"/>
        <v>0</v>
      </c>
    </row>
    <row r="160" spans="1:82" ht="13.5" x14ac:dyDescent="0.25">
      <c r="A160" s="32" t="str">
        <f t="shared" si="172"/>
        <v>05-'28-2026</v>
      </c>
      <c r="B160" s="22">
        <f t="shared" si="192"/>
        <v>156</v>
      </c>
      <c r="C160" s="22">
        <f t="shared" si="192"/>
        <v>156</v>
      </c>
      <c r="D160" s="34">
        <v>46170</v>
      </c>
      <c r="E160" s="35" t="s">
        <v>76</v>
      </c>
      <c r="F160" s="35" t="s">
        <v>202</v>
      </c>
      <c r="G160" s="52" t="s">
        <v>81</v>
      </c>
      <c r="H160" s="36" t="str">
        <f t="shared" si="170"/>
        <v>RJ-'280526-156</v>
      </c>
      <c r="I160" s="36" t="str">
        <f t="shared" si="173"/>
        <v>'28-05-2026</v>
      </c>
      <c r="J160" s="37" t="str">
        <f>VLOOKUP(D160,Laporan!$C$4:$D$34,2,0)</f>
        <v>Kamis</v>
      </c>
      <c r="K160" s="48"/>
      <c r="L160" s="13" t="s">
        <v>33</v>
      </c>
      <c r="M160" s="19">
        <f>SUMIF('DATABASE Room'!$B$3:$B$7,L160,'DATABASE Room'!$D$3:$D$7)</f>
        <v>0</v>
      </c>
      <c r="N160" s="13">
        <v>1</v>
      </c>
      <c r="O160" s="21">
        <f t="shared" si="174"/>
        <v>0</v>
      </c>
      <c r="P160" s="38"/>
      <c r="Q160" s="19">
        <f t="shared" si="175"/>
        <v>0</v>
      </c>
      <c r="R160" s="21">
        <f t="shared" si="176"/>
        <v>0</v>
      </c>
      <c r="S160" s="19">
        <f t="shared" si="177"/>
        <v>5</v>
      </c>
      <c r="T160" s="19">
        <f t="shared" si="178"/>
        <v>160000</v>
      </c>
      <c r="U160" s="21">
        <f t="shared" si="179"/>
        <v>160000</v>
      </c>
      <c r="V160" s="39"/>
      <c r="W160" s="16">
        <v>91</v>
      </c>
      <c r="X160" s="17" t="str">
        <f>VLOOKUP(W160,'DATABASE F&amp;B'!$C$3:$F$216,2,0)</f>
        <v>ATLAS ANGGUR PEACH</v>
      </c>
      <c r="Y160" s="18">
        <v>1</v>
      </c>
      <c r="Z160" s="19">
        <f>VLOOKUP(W160,'DATABASE F&amp;B'!$C$3:$F$216,4,0)</f>
        <v>160000</v>
      </c>
      <c r="AA160" s="19">
        <f t="shared" si="180"/>
        <v>160000</v>
      </c>
      <c r="AB160" s="16"/>
      <c r="AC160" s="17">
        <f>VLOOKUP(AB160,'DATABASE F&amp;B'!$C$3:$F$216,2,0)</f>
        <v>0</v>
      </c>
      <c r="AD160" s="18">
        <v>1</v>
      </c>
      <c r="AE160" s="19">
        <f>VLOOKUP(AB160,'DATABASE F&amp;B'!$C$3:$F$216,4,0)</f>
        <v>0</v>
      </c>
      <c r="AF160" s="19">
        <f t="shared" si="181"/>
        <v>0</v>
      </c>
      <c r="AG160" s="16"/>
      <c r="AH160" s="17">
        <f>VLOOKUP(AG160,'DATABASE F&amp;B'!$C$3:$F$216,2,0)</f>
        <v>0</v>
      </c>
      <c r="AI160" s="18">
        <v>1</v>
      </c>
      <c r="AJ160" s="19">
        <f>VLOOKUP(AG160,'DATABASE F&amp;B'!$C$3:$F$216,4,0)</f>
        <v>0</v>
      </c>
      <c r="AK160" s="19">
        <f t="shared" si="182"/>
        <v>0</v>
      </c>
      <c r="AL160" s="16"/>
      <c r="AM160" s="17">
        <f>VLOOKUP(AL160,'DATABASE F&amp;B'!$C$3:$F$216,2,0)</f>
        <v>0</v>
      </c>
      <c r="AN160" s="18">
        <v>1</v>
      </c>
      <c r="AO160" s="19">
        <f>VLOOKUP(AL160,'DATABASE F&amp;B'!$C$3:$F$216,4,0)</f>
        <v>0</v>
      </c>
      <c r="AP160" s="19">
        <f t="shared" si="183"/>
        <v>0</v>
      </c>
      <c r="AQ160" s="16"/>
      <c r="AR160" s="17">
        <f>VLOOKUP(AQ160,'DATABASE F&amp;B'!$C$3:$F$216,2,0)</f>
        <v>0</v>
      </c>
      <c r="AS160" s="18">
        <v>1</v>
      </c>
      <c r="AT160" s="19">
        <f>VLOOKUP(AQ160,'DATABASE F&amp;B'!$C$3:$F$216,4,0)</f>
        <v>0</v>
      </c>
      <c r="AU160" s="19">
        <f t="shared" si="184"/>
        <v>0</v>
      </c>
      <c r="AV160" s="16"/>
      <c r="AW160" s="17">
        <f>VLOOKUP(AV160,'DATABASE F&amp;B'!$C$3:$F$216,2,0)</f>
        <v>0</v>
      </c>
      <c r="AX160" s="18"/>
      <c r="AY160" s="19">
        <f>VLOOKUP(AV160,'DATABASE F&amp;B'!$C$3:$F$216,4,0)</f>
        <v>0</v>
      </c>
      <c r="AZ160" s="19">
        <f t="shared" si="185"/>
        <v>0</v>
      </c>
      <c r="BA160" s="16"/>
      <c r="BB160" s="17">
        <f>VLOOKUP(BA160,'DATABASE F&amp;B'!$C$3:$F$216,2,0)</f>
        <v>0</v>
      </c>
      <c r="BC160" s="18"/>
      <c r="BD160" s="19">
        <f>VLOOKUP(BA160,'DATABASE F&amp;B'!$C$3:$F$216,4,0)</f>
        <v>0</v>
      </c>
      <c r="BE160" s="19">
        <f t="shared" si="186"/>
        <v>0</v>
      </c>
      <c r="BF160" s="16"/>
      <c r="BG160" s="17">
        <f>VLOOKUP(BF160,'DATABASE F&amp;B'!$C$3:$F$216,2,0)</f>
        <v>0</v>
      </c>
      <c r="BH160" s="18"/>
      <c r="BI160" s="19">
        <f>VLOOKUP(BF160,'DATABASE F&amp;B'!$C$3:$F$216,4,0)</f>
        <v>0</v>
      </c>
      <c r="BJ160" s="19">
        <f t="shared" si="187"/>
        <v>0</v>
      </c>
      <c r="BK160" s="16"/>
      <c r="BL160" s="17">
        <f>VLOOKUP(BK160,'DATABASE F&amp;B'!$C$3:$F$210,2,0)</f>
        <v>0</v>
      </c>
      <c r="BM160" s="18"/>
      <c r="BN160" s="19">
        <f>VLOOKUP(BK160,'DATABASE F&amp;B'!$C$3:$F$210,4,0)</f>
        <v>0</v>
      </c>
      <c r="BO160" s="19">
        <f t="shared" si="188"/>
        <v>0</v>
      </c>
      <c r="BP160" s="16"/>
      <c r="BQ160" s="17">
        <f>VLOOKUP(BP160,'DATABASE F&amp;B'!$C$3:$F$210,2,0)</f>
        <v>0</v>
      </c>
      <c r="BR160" s="18"/>
      <c r="BS160" s="19">
        <f>VLOOKUP(BP160,'DATABASE F&amp;B'!$C$3:$F$210,4,0)</f>
        <v>0</v>
      </c>
      <c r="BT160" s="19">
        <f t="shared" si="189"/>
        <v>0</v>
      </c>
      <c r="BU160" s="16"/>
      <c r="BV160" s="17">
        <f>VLOOKUP(BU160,'DATABASE F&amp;B'!$C$3:$F$210,2,0)</f>
        <v>0</v>
      </c>
      <c r="BW160" s="18"/>
      <c r="BX160" s="19">
        <f>VLOOKUP(BU160,'DATABASE F&amp;B'!$C$3:$F$210,4,0)</f>
        <v>0</v>
      </c>
      <c r="BY160" s="19">
        <f t="shared" si="190"/>
        <v>0</v>
      </c>
      <c r="BZ160" s="16"/>
      <c r="CA160" s="17">
        <f>VLOOKUP(BZ160,'DATABASE F&amp;B'!$C$3:$F$210,2,0)</f>
        <v>0</v>
      </c>
      <c r="CB160" s="18"/>
      <c r="CC160" s="19">
        <f>VLOOKUP(BZ160,'DATABASE F&amp;B'!$C$3:$F$210,4,0)</f>
        <v>0</v>
      </c>
      <c r="CD160" s="19">
        <f t="shared" si="191"/>
        <v>0</v>
      </c>
    </row>
    <row r="161" spans="1:82" ht="13.5" x14ac:dyDescent="0.25">
      <c r="A161" s="32" t="str">
        <f t="shared" si="172"/>
        <v>05-'28-2026</v>
      </c>
      <c r="B161" s="22">
        <f t="shared" si="192"/>
        <v>157</v>
      </c>
      <c r="C161" s="22">
        <f t="shared" si="192"/>
        <v>157</v>
      </c>
      <c r="D161" s="34">
        <v>46170</v>
      </c>
      <c r="E161" s="35" t="s">
        <v>76</v>
      </c>
      <c r="F161" s="35" t="s">
        <v>202</v>
      </c>
      <c r="G161" s="52" t="s">
        <v>81</v>
      </c>
      <c r="H161" s="36" t="str">
        <f t="shared" si="170"/>
        <v>RJ-'280526-157</v>
      </c>
      <c r="I161" s="36" t="str">
        <f t="shared" si="173"/>
        <v>'28-05-2026</v>
      </c>
      <c r="J161" s="37" t="str">
        <f>VLOOKUP(D161,Laporan!$C$4:$D$34,2,0)</f>
        <v>Kamis</v>
      </c>
      <c r="K161" s="48"/>
      <c r="L161" s="13" t="s">
        <v>33</v>
      </c>
      <c r="M161" s="19">
        <f>SUMIF('DATABASE Room'!$B$3:$B$7,L161,'DATABASE Room'!$D$3:$D$7)</f>
        <v>0</v>
      </c>
      <c r="N161" s="13">
        <v>1</v>
      </c>
      <c r="O161" s="21">
        <f t="shared" si="174"/>
        <v>0</v>
      </c>
      <c r="P161" s="38"/>
      <c r="Q161" s="19">
        <f t="shared" si="175"/>
        <v>0</v>
      </c>
      <c r="R161" s="21">
        <f t="shared" si="176"/>
        <v>0</v>
      </c>
      <c r="S161" s="19">
        <f t="shared" si="177"/>
        <v>5</v>
      </c>
      <c r="T161" s="19">
        <f t="shared" si="178"/>
        <v>175000</v>
      </c>
      <c r="U161" s="21">
        <f t="shared" si="179"/>
        <v>175000</v>
      </c>
      <c r="V161" s="39"/>
      <c r="W161" s="16">
        <v>92</v>
      </c>
      <c r="X161" s="17" t="str">
        <f>VLOOKUP(W161,'DATABASE F&amp;B'!$C$3:$F$216,2,0)</f>
        <v>AP ANGGUR HIJAU</v>
      </c>
      <c r="Y161" s="18">
        <v>1</v>
      </c>
      <c r="Z161" s="19">
        <f>VLOOKUP(W161,'DATABASE F&amp;B'!$C$3:$F$216,4,0)</f>
        <v>175000</v>
      </c>
      <c r="AA161" s="19">
        <f t="shared" si="180"/>
        <v>175000</v>
      </c>
      <c r="AB161" s="16"/>
      <c r="AC161" s="17">
        <f>VLOOKUP(AB161,'DATABASE F&amp;B'!$C$3:$F$216,2,0)</f>
        <v>0</v>
      </c>
      <c r="AD161" s="18">
        <v>1</v>
      </c>
      <c r="AE161" s="19">
        <f>VLOOKUP(AB161,'DATABASE F&amp;B'!$C$3:$F$216,4,0)</f>
        <v>0</v>
      </c>
      <c r="AF161" s="19">
        <f t="shared" si="181"/>
        <v>0</v>
      </c>
      <c r="AG161" s="16"/>
      <c r="AH161" s="17">
        <f>VLOOKUP(AG161,'DATABASE F&amp;B'!$C$3:$F$216,2,0)</f>
        <v>0</v>
      </c>
      <c r="AI161" s="18">
        <v>1</v>
      </c>
      <c r="AJ161" s="19">
        <f>VLOOKUP(AG161,'DATABASE F&amp;B'!$C$3:$F$216,4,0)</f>
        <v>0</v>
      </c>
      <c r="AK161" s="19">
        <f t="shared" si="182"/>
        <v>0</v>
      </c>
      <c r="AL161" s="16"/>
      <c r="AM161" s="17">
        <f>VLOOKUP(AL161,'DATABASE F&amp;B'!$C$3:$F$216,2,0)</f>
        <v>0</v>
      </c>
      <c r="AN161" s="18">
        <v>1</v>
      </c>
      <c r="AO161" s="19">
        <f>VLOOKUP(AL161,'DATABASE F&amp;B'!$C$3:$F$216,4,0)</f>
        <v>0</v>
      </c>
      <c r="AP161" s="19">
        <f t="shared" si="183"/>
        <v>0</v>
      </c>
      <c r="AQ161" s="16"/>
      <c r="AR161" s="17">
        <f>VLOOKUP(AQ161,'DATABASE F&amp;B'!$C$3:$F$216,2,0)</f>
        <v>0</v>
      </c>
      <c r="AS161" s="18">
        <v>1</v>
      </c>
      <c r="AT161" s="19">
        <f>VLOOKUP(AQ161,'DATABASE F&amp;B'!$C$3:$F$216,4,0)</f>
        <v>0</v>
      </c>
      <c r="AU161" s="19">
        <f t="shared" si="184"/>
        <v>0</v>
      </c>
      <c r="AV161" s="16"/>
      <c r="AW161" s="17">
        <f>VLOOKUP(AV161,'DATABASE F&amp;B'!$C$3:$F$216,2,0)</f>
        <v>0</v>
      </c>
      <c r="AX161" s="18"/>
      <c r="AY161" s="19">
        <f>VLOOKUP(AV161,'DATABASE F&amp;B'!$C$3:$F$216,4,0)</f>
        <v>0</v>
      </c>
      <c r="AZ161" s="19">
        <f t="shared" si="185"/>
        <v>0</v>
      </c>
      <c r="BA161" s="16"/>
      <c r="BB161" s="17">
        <f>VLOOKUP(BA161,'DATABASE F&amp;B'!$C$3:$F$216,2,0)</f>
        <v>0</v>
      </c>
      <c r="BC161" s="18"/>
      <c r="BD161" s="19">
        <f>VLOOKUP(BA161,'DATABASE F&amp;B'!$C$3:$F$216,4,0)</f>
        <v>0</v>
      </c>
      <c r="BE161" s="19">
        <f t="shared" si="186"/>
        <v>0</v>
      </c>
      <c r="BF161" s="16"/>
      <c r="BG161" s="17">
        <f>VLOOKUP(BF161,'DATABASE F&amp;B'!$C$3:$F$216,2,0)</f>
        <v>0</v>
      </c>
      <c r="BH161" s="18"/>
      <c r="BI161" s="19">
        <f>VLOOKUP(BF161,'DATABASE F&amp;B'!$C$3:$F$216,4,0)</f>
        <v>0</v>
      </c>
      <c r="BJ161" s="19">
        <f t="shared" si="187"/>
        <v>0</v>
      </c>
      <c r="BK161" s="16"/>
      <c r="BL161" s="17">
        <f>VLOOKUP(BK161,'DATABASE F&amp;B'!$C$3:$F$210,2,0)</f>
        <v>0</v>
      </c>
      <c r="BM161" s="18"/>
      <c r="BN161" s="19">
        <f>VLOOKUP(BK161,'DATABASE F&amp;B'!$C$3:$F$210,4,0)</f>
        <v>0</v>
      </c>
      <c r="BO161" s="19">
        <f t="shared" si="188"/>
        <v>0</v>
      </c>
      <c r="BP161" s="16"/>
      <c r="BQ161" s="17">
        <f>VLOOKUP(BP161,'DATABASE F&amp;B'!$C$3:$F$210,2,0)</f>
        <v>0</v>
      </c>
      <c r="BR161" s="18"/>
      <c r="BS161" s="19">
        <f>VLOOKUP(BP161,'DATABASE F&amp;B'!$C$3:$F$210,4,0)</f>
        <v>0</v>
      </c>
      <c r="BT161" s="19">
        <f t="shared" si="189"/>
        <v>0</v>
      </c>
      <c r="BU161" s="16"/>
      <c r="BV161" s="17">
        <f>VLOOKUP(BU161,'DATABASE F&amp;B'!$C$3:$F$210,2,0)</f>
        <v>0</v>
      </c>
      <c r="BW161" s="18"/>
      <c r="BX161" s="19">
        <f>VLOOKUP(BU161,'DATABASE F&amp;B'!$C$3:$F$210,4,0)</f>
        <v>0</v>
      </c>
      <c r="BY161" s="19">
        <f t="shared" si="190"/>
        <v>0</v>
      </c>
      <c r="BZ161" s="16"/>
      <c r="CA161" s="17">
        <f>VLOOKUP(BZ161,'DATABASE F&amp;B'!$C$3:$F$210,2,0)</f>
        <v>0</v>
      </c>
      <c r="CB161" s="18"/>
      <c r="CC161" s="19">
        <f>VLOOKUP(BZ161,'DATABASE F&amp;B'!$C$3:$F$210,4,0)</f>
        <v>0</v>
      </c>
      <c r="CD161" s="19">
        <f t="shared" si="191"/>
        <v>0</v>
      </c>
    </row>
    <row r="162" spans="1:82" ht="13.5" x14ac:dyDescent="0.25">
      <c r="A162" s="32" t="str">
        <f t="shared" si="172"/>
        <v>05-'29-2026</v>
      </c>
      <c r="B162" s="22">
        <f t="shared" si="192"/>
        <v>158</v>
      </c>
      <c r="C162" s="22">
        <f t="shared" si="192"/>
        <v>158</v>
      </c>
      <c r="D162" s="34">
        <v>46171</v>
      </c>
      <c r="E162" s="35" t="s">
        <v>83</v>
      </c>
      <c r="F162" s="35" t="s">
        <v>202</v>
      </c>
      <c r="G162" s="52" t="s">
        <v>81</v>
      </c>
      <c r="H162" s="36" t="str">
        <f t="shared" si="170"/>
        <v>RJ-'290526-158</v>
      </c>
      <c r="I162" s="36" t="str">
        <f t="shared" si="173"/>
        <v>'29-05-2026</v>
      </c>
      <c r="J162" s="37" t="str">
        <f>VLOOKUP(D162,Laporan!$C$4:$D$34,2,0)</f>
        <v>Jumat</v>
      </c>
      <c r="K162" s="48"/>
      <c r="L162" s="13" t="s">
        <v>33</v>
      </c>
      <c r="M162" s="19">
        <f>SUMIF('DATABASE Room'!$B$3:$B$7,L162,'DATABASE Room'!$D$3:$D$7)</f>
        <v>0</v>
      </c>
      <c r="N162" s="13">
        <v>1</v>
      </c>
      <c r="O162" s="21">
        <f t="shared" si="174"/>
        <v>0</v>
      </c>
      <c r="P162" s="38"/>
      <c r="Q162" s="19">
        <f t="shared" si="175"/>
        <v>0</v>
      </c>
      <c r="R162" s="21">
        <f t="shared" si="176"/>
        <v>0</v>
      </c>
      <c r="S162" s="19">
        <f t="shared" si="177"/>
        <v>5</v>
      </c>
      <c r="T162" s="19">
        <f t="shared" si="178"/>
        <v>155000</v>
      </c>
      <c r="U162" s="21">
        <f t="shared" si="179"/>
        <v>155000</v>
      </c>
      <c r="V162" s="39"/>
      <c r="W162" s="16">
        <v>95</v>
      </c>
      <c r="X162" s="17" t="str">
        <f>VLOOKUP(W162,'DATABASE F&amp;B'!$C$3:$F$216,2,0)</f>
        <v>MARLBORO RED</v>
      </c>
      <c r="Y162" s="18">
        <v>1</v>
      </c>
      <c r="Z162" s="19">
        <f>VLOOKUP(W162,'DATABASE F&amp;B'!$C$3:$F$216,4,0)</f>
        <v>75000</v>
      </c>
      <c r="AA162" s="19">
        <f t="shared" si="180"/>
        <v>75000</v>
      </c>
      <c r="AB162" s="16">
        <v>80</v>
      </c>
      <c r="AC162" s="17" t="str">
        <f>VLOOKUP(AB162,'DATABASE F&amp;B'!$C$3:$F$216,2,0)</f>
        <v>CORONA 330ML</v>
      </c>
      <c r="AD162" s="18">
        <v>1</v>
      </c>
      <c r="AE162" s="19">
        <f>VLOOKUP(AB162,'DATABASE F&amp;B'!$C$3:$F$216,4,0)</f>
        <v>80000</v>
      </c>
      <c r="AF162" s="19">
        <f t="shared" si="181"/>
        <v>80000</v>
      </c>
      <c r="AG162" s="16"/>
      <c r="AH162" s="17">
        <f>VLOOKUP(AG162,'DATABASE F&amp;B'!$C$3:$F$216,2,0)</f>
        <v>0</v>
      </c>
      <c r="AI162" s="18">
        <v>1</v>
      </c>
      <c r="AJ162" s="19">
        <f>VLOOKUP(AG162,'DATABASE F&amp;B'!$C$3:$F$216,4,0)</f>
        <v>0</v>
      </c>
      <c r="AK162" s="19">
        <f t="shared" si="182"/>
        <v>0</v>
      </c>
      <c r="AL162" s="16"/>
      <c r="AM162" s="17">
        <f>VLOOKUP(AL162,'DATABASE F&amp;B'!$C$3:$F$216,2,0)</f>
        <v>0</v>
      </c>
      <c r="AN162" s="18">
        <v>1</v>
      </c>
      <c r="AO162" s="19">
        <f>VLOOKUP(AL162,'DATABASE F&amp;B'!$C$3:$F$216,4,0)</f>
        <v>0</v>
      </c>
      <c r="AP162" s="19">
        <f t="shared" si="183"/>
        <v>0</v>
      </c>
      <c r="AQ162" s="16"/>
      <c r="AR162" s="17">
        <f>VLOOKUP(AQ162,'DATABASE F&amp;B'!$C$3:$F$216,2,0)</f>
        <v>0</v>
      </c>
      <c r="AS162" s="18">
        <v>1</v>
      </c>
      <c r="AT162" s="19">
        <f>VLOOKUP(AQ162,'DATABASE F&amp;B'!$C$3:$F$216,4,0)</f>
        <v>0</v>
      </c>
      <c r="AU162" s="19">
        <f t="shared" si="184"/>
        <v>0</v>
      </c>
      <c r="AV162" s="16"/>
      <c r="AW162" s="17">
        <f>VLOOKUP(AV162,'DATABASE F&amp;B'!$C$3:$F$216,2,0)</f>
        <v>0</v>
      </c>
      <c r="AX162" s="18"/>
      <c r="AY162" s="19">
        <f>VLOOKUP(AV162,'DATABASE F&amp;B'!$C$3:$F$216,4,0)</f>
        <v>0</v>
      </c>
      <c r="AZ162" s="19">
        <f t="shared" si="185"/>
        <v>0</v>
      </c>
      <c r="BA162" s="16"/>
      <c r="BB162" s="17">
        <f>VLOOKUP(BA162,'DATABASE F&amp;B'!$C$3:$F$216,2,0)</f>
        <v>0</v>
      </c>
      <c r="BC162" s="18"/>
      <c r="BD162" s="19">
        <f>VLOOKUP(BA162,'DATABASE F&amp;B'!$C$3:$F$216,4,0)</f>
        <v>0</v>
      </c>
      <c r="BE162" s="19">
        <f t="shared" si="186"/>
        <v>0</v>
      </c>
      <c r="BF162" s="16"/>
      <c r="BG162" s="17">
        <f>VLOOKUP(BF162,'DATABASE F&amp;B'!$C$3:$F$216,2,0)</f>
        <v>0</v>
      </c>
      <c r="BH162" s="18"/>
      <c r="BI162" s="19">
        <f>VLOOKUP(BF162,'DATABASE F&amp;B'!$C$3:$F$216,4,0)</f>
        <v>0</v>
      </c>
      <c r="BJ162" s="19">
        <f t="shared" si="187"/>
        <v>0</v>
      </c>
      <c r="BK162" s="16"/>
      <c r="BL162" s="17">
        <f>VLOOKUP(BK162,'DATABASE F&amp;B'!$C$3:$F$210,2,0)</f>
        <v>0</v>
      </c>
      <c r="BM162" s="18"/>
      <c r="BN162" s="19">
        <f>VLOOKUP(BK162,'DATABASE F&amp;B'!$C$3:$F$210,4,0)</f>
        <v>0</v>
      </c>
      <c r="BO162" s="19">
        <f t="shared" si="188"/>
        <v>0</v>
      </c>
      <c r="BP162" s="16"/>
      <c r="BQ162" s="17">
        <f>VLOOKUP(BP162,'DATABASE F&amp;B'!$C$3:$F$210,2,0)</f>
        <v>0</v>
      </c>
      <c r="BR162" s="18"/>
      <c r="BS162" s="19">
        <f>VLOOKUP(BP162,'DATABASE F&amp;B'!$C$3:$F$210,4,0)</f>
        <v>0</v>
      </c>
      <c r="BT162" s="19">
        <f t="shared" si="189"/>
        <v>0</v>
      </c>
      <c r="BU162" s="16"/>
      <c r="BV162" s="17">
        <f>VLOOKUP(BU162,'DATABASE F&amp;B'!$C$3:$F$210,2,0)</f>
        <v>0</v>
      </c>
      <c r="BW162" s="18"/>
      <c r="BX162" s="19">
        <f>VLOOKUP(BU162,'DATABASE F&amp;B'!$C$3:$F$210,4,0)</f>
        <v>0</v>
      </c>
      <c r="BY162" s="19">
        <f t="shared" si="190"/>
        <v>0</v>
      </c>
      <c r="BZ162" s="16"/>
      <c r="CA162" s="17">
        <f>VLOOKUP(BZ162,'DATABASE F&amp;B'!$C$3:$F$210,2,0)</f>
        <v>0</v>
      </c>
      <c r="CB162" s="18"/>
      <c r="CC162" s="19">
        <f>VLOOKUP(BZ162,'DATABASE F&amp;B'!$C$3:$F$210,4,0)</f>
        <v>0</v>
      </c>
      <c r="CD162" s="19">
        <f t="shared" si="191"/>
        <v>0</v>
      </c>
    </row>
    <row r="163" spans="1:82" ht="13.5" x14ac:dyDescent="0.25">
      <c r="A163" s="32" t="str">
        <f t="shared" si="172"/>
        <v>05-'29-2026</v>
      </c>
      <c r="B163" s="22">
        <f t="shared" si="192"/>
        <v>159</v>
      </c>
      <c r="C163" s="22">
        <f t="shared" si="192"/>
        <v>159</v>
      </c>
      <c r="D163" s="34">
        <v>46171</v>
      </c>
      <c r="E163" s="35" t="s">
        <v>83</v>
      </c>
      <c r="F163" s="35" t="s">
        <v>202</v>
      </c>
      <c r="G163" s="52" t="s">
        <v>81</v>
      </c>
      <c r="H163" s="36" t="str">
        <f t="shared" si="170"/>
        <v>RJ-'290526-159</v>
      </c>
      <c r="I163" s="36" t="str">
        <f t="shared" si="173"/>
        <v>'29-05-2026</v>
      </c>
      <c r="J163" s="37" t="str">
        <f>VLOOKUP(D163,Laporan!$C$4:$D$34,2,0)</f>
        <v>Jumat</v>
      </c>
      <c r="K163" s="48"/>
      <c r="L163" s="13" t="s">
        <v>33</v>
      </c>
      <c r="M163" s="19">
        <f>SUMIF('DATABASE Room'!$B$3:$B$7,L163,'DATABASE Room'!$D$3:$D$7)</f>
        <v>0</v>
      </c>
      <c r="N163" s="13">
        <v>1</v>
      </c>
      <c r="O163" s="21">
        <f t="shared" si="174"/>
        <v>0</v>
      </c>
      <c r="P163" s="38"/>
      <c r="Q163" s="19">
        <f t="shared" si="175"/>
        <v>0</v>
      </c>
      <c r="R163" s="21">
        <f t="shared" si="176"/>
        <v>0</v>
      </c>
      <c r="S163" s="19">
        <f t="shared" si="177"/>
        <v>5</v>
      </c>
      <c r="T163" s="19">
        <f t="shared" si="178"/>
        <v>75000</v>
      </c>
      <c r="U163" s="21">
        <f t="shared" si="179"/>
        <v>75000</v>
      </c>
      <c r="V163" s="39"/>
      <c r="W163" s="16">
        <v>96</v>
      </c>
      <c r="X163" s="17" t="str">
        <f>VLOOKUP(W163,'DATABASE F&amp;B'!$C$3:$F$216,2,0)</f>
        <v>MARLBORO LIGHT</v>
      </c>
      <c r="Y163" s="18">
        <v>1</v>
      </c>
      <c r="Z163" s="19">
        <f>VLOOKUP(W163,'DATABASE F&amp;B'!$C$3:$F$216,4,0)</f>
        <v>75000</v>
      </c>
      <c r="AA163" s="19">
        <f t="shared" si="180"/>
        <v>75000</v>
      </c>
      <c r="AB163" s="16"/>
      <c r="AC163" s="17">
        <f>VLOOKUP(AB163,'DATABASE F&amp;B'!$C$3:$F$216,2,0)</f>
        <v>0</v>
      </c>
      <c r="AD163" s="18">
        <v>1</v>
      </c>
      <c r="AE163" s="19">
        <f>VLOOKUP(AB163,'DATABASE F&amp;B'!$C$3:$F$216,4,0)</f>
        <v>0</v>
      </c>
      <c r="AF163" s="19">
        <f t="shared" si="181"/>
        <v>0</v>
      </c>
      <c r="AG163" s="16"/>
      <c r="AH163" s="17">
        <f>VLOOKUP(AG163,'DATABASE F&amp;B'!$C$3:$F$216,2,0)</f>
        <v>0</v>
      </c>
      <c r="AI163" s="18">
        <v>1</v>
      </c>
      <c r="AJ163" s="19">
        <f>VLOOKUP(AG163,'DATABASE F&amp;B'!$C$3:$F$216,4,0)</f>
        <v>0</v>
      </c>
      <c r="AK163" s="19">
        <f t="shared" si="182"/>
        <v>0</v>
      </c>
      <c r="AL163" s="16"/>
      <c r="AM163" s="17">
        <f>VLOOKUP(AL163,'DATABASE F&amp;B'!$C$3:$F$216,2,0)</f>
        <v>0</v>
      </c>
      <c r="AN163" s="18">
        <v>1</v>
      </c>
      <c r="AO163" s="19">
        <f>VLOOKUP(AL163,'DATABASE F&amp;B'!$C$3:$F$216,4,0)</f>
        <v>0</v>
      </c>
      <c r="AP163" s="19">
        <f t="shared" si="183"/>
        <v>0</v>
      </c>
      <c r="AQ163" s="16"/>
      <c r="AR163" s="17">
        <f>VLOOKUP(AQ163,'DATABASE F&amp;B'!$C$3:$F$216,2,0)</f>
        <v>0</v>
      </c>
      <c r="AS163" s="18">
        <v>1</v>
      </c>
      <c r="AT163" s="19">
        <f>VLOOKUP(AQ163,'DATABASE F&amp;B'!$C$3:$F$216,4,0)</f>
        <v>0</v>
      </c>
      <c r="AU163" s="19">
        <f t="shared" si="184"/>
        <v>0</v>
      </c>
      <c r="AV163" s="16"/>
      <c r="AW163" s="17">
        <f>VLOOKUP(AV163,'DATABASE F&amp;B'!$C$3:$F$216,2,0)</f>
        <v>0</v>
      </c>
      <c r="AX163" s="18"/>
      <c r="AY163" s="19">
        <f>VLOOKUP(AV163,'DATABASE F&amp;B'!$C$3:$F$216,4,0)</f>
        <v>0</v>
      </c>
      <c r="AZ163" s="19">
        <f t="shared" si="185"/>
        <v>0</v>
      </c>
      <c r="BA163" s="16"/>
      <c r="BB163" s="17">
        <f>VLOOKUP(BA163,'DATABASE F&amp;B'!$C$3:$F$216,2,0)</f>
        <v>0</v>
      </c>
      <c r="BC163" s="18"/>
      <c r="BD163" s="19">
        <f>VLOOKUP(BA163,'DATABASE F&amp;B'!$C$3:$F$216,4,0)</f>
        <v>0</v>
      </c>
      <c r="BE163" s="19">
        <f t="shared" si="186"/>
        <v>0</v>
      </c>
      <c r="BF163" s="16"/>
      <c r="BG163" s="17">
        <f>VLOOKUP(BF163,'DATABASE F&amp;B'!$C$3:$F$216,2,0)</f>
        <v>0</v>
      </c>
      <c r="BH163" s="18"/>
      <c r="BI163" s="19">
        <f>VLOOKUP(BF163,'DATABASE F&amp;B'!$C$3:$F$216,4,0)</f>
        <v>0</v>
      </c>
      <c r="BJ163" s="19">
        <f t="shared" si="187"/>
        <v>0</v>
      </c>
      <c r="BK163" s="16"/>
      <c r="BL163" s="17">
        <f>VLOOKUP(BK163,'DATABASE F&amp;B'!$C$3:$F$210,2,0)</f>
        <v>0</v>
      </c>
      <c r="BM163" s="18"/>
      <c r="BN163" s="19">
        <f>VLOOKUP(BK163,'DATABASE F&amp;B'!$C$3:$F$210,4,0)</f>
        <v>0</v>
      </c>
      <c r="BO163" s="19">
        <f t="shared" si="188"/>
        <v>0</v>
      </c>
      <c r="BP163" s="16"/>
      <c r="BQ163" s="17">
        <f>VLOOKUP(BP163,'DATABASE F&amp;B'!$C$3:$F$210,2,0)</f>
        <v>0</v>
      </c>
      <c r="BR163" s="18"/>
      <c r="BS163" s="19">
        <f>VLOOKUP(BP163,'DATABASE F&amp;B'!$C$3:$F$210,4,0)</f>
        <v>0</v>
      </c>
      <c r="BT163" s="19">
        <f t="shared" si="189"/>
        <v>0</v>
      </c>
      <c r="BU163" s="16"/>
      <c r="BV163" s="17">
        <f>VLOOKUP(BU163,'DATABASE F&amp;B'!$C$3:$F$210,2,0)</f>
        <v>0</v>
      </c>
      <c r="BW163" s="18"/>
      <c r="BX163" s="19">
        <f>VLOOKUP(BU163,'DATABASE F&amp;B'!$C$3:$F$210,4,0)</f>
        <v>0</v>
      </c>
      <c r="BY163" s="19">
        <f t="shared" si="190"/>
        <v>0</v>
      </c>
      <c r="BZ163" s="16"/>
      <c r="CA163" s="17">
        <f>VLOOKUP(BZ163,'DATABASE F&amp;B'!$C$3:$F$210,2,0)</f>
        <v>0</v>
      </c>
      <c r="CB163" s="18"/>
      <c r="CC163" s="19">
        <f>VLOOKUP(BZ163,'DATABASE F&amp;B'!$C$3:$F$210,4,0)</f>
        <v>0</v>
      </c>
      <c r="CD163" s="19">
        <f t="shared" si="191"/>
        <v>0</v>
      </c>
    </row>
    <row r="164" spans="1:82" ht="13.5" x14ac:dyDescent="0.25">
      <c r="A164" s="32" t="str">
        <f t="shared" si="172"/>
        <v>05-'29-2026</v>
      </c>
      <c r="B164" s="22">
        <f t="shared" si="192"/>
        <v>160</v>
      </c>
      <c r="C164" s="22">
        <f t="shared" si="192"/>
        <v>160</v>
      </c>
      <c r="D164" s="34">
        <v>46171</v>
      </c>
      <c r="E164" s="35" t="s">
        <v>83</v>
      </c>
      <c r="F164" s="35" t="s">
        <v>202</v>
      </c>
      <c r="G164" s="52" t="s">
        <v>81</v>
      </c>
      <c r="H164" s="36" t="str">
        <f t="shared" si="170"/>
        <v>RJ-'290526-160</v>
      </c>
      <c r="I164" s="36" t="str">
        <f t="shared" si="173"/>
        <v>'29-05-2026</v>
      </c>
      <c r="J164" s="37" t="str">
        <f>VLOOKUP(D164,Laporan!$C$4:$D$34,2,0)</f>
        <v>Jumat</v>
      </c>
      <c r="K164" s="48"/>
      <c r="L164" s="13" t="s">
        <v>33</v>
      </c>
      <c r="M164" s="19">
        <f>SUMIF('DATABASE Room'!$B$3:$B$7,L164,'DATABASE Room'!$D$3:$D$7)</f>
        <v>0</v>
      </c>
      <c r="N164" s="13">
        <v>1</v>
      </c>
      <c r="O164" s="21">
        <f t="shared" si="174"/>
        <v>0</v>
      </c>
      <c r="P164" s="38"/>
      <c r="Q164" s="19">
        <f t="shared" si="175"/>
        <v>0</v>
      </c>
      <c r="R164" s="21">
        <f t="shared" si="176"/>
        <v>0</v>
      </c>
      <c r="S164" s="19">
        <f t="shared" si="177"/>
        <v>5</v>
      </c>
      <c r="T164" s="19">
        <f t="shared" si="178"/>
        <v>110000</v>
      </c>
      <c r="U164" s="21">
        <f t="shared" si="179"/>
        <v>110000</v>
      </c>
      <c r="V164" s="39"/>
      <c r="W164" s="16">
        <v>89</v>
      </c>
      <c r="X164" s="17" t="str">
        <f>VLOOKUP(W164,'DATABASE F&amp;B'!$C$3:$F$216,2,0)</f>
        <v>ANGGUR MERAH GOLD</v>
      </c>
      <c r="Y164" s="18">
        <v>1</v>
      </c>
      <c r="Z164" s="19">
        <f>VLOOKUP(W164,'DATABASE F&amp;B'!$C$3:$F$216,4,0)</f>
        <v>110000</v>
      </c>
      <c r="AA164" s="19">
        <f t="shared" si="180"/>
        <v>110000</v>
      </c>
      <c r="AB164" s="16"/>
      <c r="AC164" s="17">
        <f>VLOOKUP(AB164,'DATABASE F&amp;B'!$C$3:$F$216,2,0)</f>
        <v>0</v>
      </c>
      <c r="AD164" s="18">
        <v>1</v>
      </c>
      <c r="AE164" s="19">
        <f>VLOOKUP(AB164,'DATABASE F&amp;B'!$C$3:$F$216,4,0)</f>
        <v>0</v>
      </c>
      <c r="AF164" s="19">
        <f t="shared" si="181"/>
        <v>0</v>
      </c>
      <c r="AG164" s="16"/>
      <c r="AH164" s="17">
        <f>VLOOKUP(AG164,'DATABASE F&amp;B'!$C$3:$F$216,2,0)</f>
        <v>0</v>
      </c>
      <c r="AI164" s="18">
        <v>1</v>
      </c>
      <c r="AJ164" s="19">
        <f>VLOOKUP(AG164,'DATABASE F&amp;B'!$C$3:$F$216,4,0)</f>
        <v>0</v>
      </c>
      <c r="AK164" s="19">
        <f t="shared" si="182"/>
        <v>0</v>
      </c>
      <c r="AL164" s="16"/>
      <c r="AM164" s="17">
        <f>VLOOKUP(AL164,'DATABASE F&amp;B'!$C$3:$F$216,2,0)</f>
        <v>0</v>
      </c>
      <c r="AN164" s="18">
        <v>1</v>
      </c>
      <c r="AO164" s="19">
        <f>VLOOKUP(AL164,'DATABASE F&amp;B'!$C$3:$F$216,4,0)</f>
        <v>0</v>
      </c>
      <c r="AP164" s="19">
        <f t="shared" si="183"/>
        <v>0</v>
      </c>
      <c r="AQ164" s="16"/>
      <c r="AR164" s="17">
        <f>VLOOKUP(AQ164,'DATABASE F&amp;B'!$C$3:$F$216,2,0)</f>
        <v>0</v>
      </c>
      <c r="AS164" s="18">
        <v>1</v>
      </c>
      <c r="AT164" s="19">
        <f>VLOOKUP(AQ164,'DATABASE F&amp;B'!$C$3:$F$216,4,0)</f>
        <v>0</v>
      </c>
      <c r="AU164" s="19">
        <f t="shared" si="184"/>
        <v>0</v>
      </c>
      <c r="AV164" s="16"/>
      <c r="AW164" s="17">
        <f>VLOOKUP(AV164,'DATABASE F&amp;B'!$C$3:$F$216,2,0)</f>
        <v>0</v>
      </c>
      <c r="AX164" s="18"/>
      <c r="AY164" s="19">
        <f>VLOOKUP(AV164,'DATABASE F&amp;B'!$C$3:$F$216,4,0)</f>
        <v>0</v>
      </c>
      <c r="AZ164" s="19">
        <f t="shared" si="185"/>
        <v>0</v>
      </c>
      <c r="BA164" s="16"/>
      <c r="BB164" s="17">
        <f>VLOOKUP(BA164,'DATABASE F&amp;B'!$C$3:$F$216,2,0)</f>
        <v>0</v>
      </c>
      <c r="BC164" s="18"/>
      <c r="BD164" s="19">
        <f>VLOOKUP(BA164,'DATABASE F&amp;B'!$C$3:$F$216,4,0)</f>
        <v>0</v>
      </c>
      <c r="BE164" s="19">
        <f t="shared" si="186"/>
        <v>0</v>
      </c>
      <c r="BF164" s="16"/>
      <c r="BG164" s="17">
        <f>VLOOKUP(BF164,'DATABASE F&amp;B'!$C$3:$F$216,2,0)</f>
        <v>0</v>
      </c>
      <c r="BH164" s="18"/>
      <c r="BI164" s="19">
        <f>VLOOKUP(BF164,'DATABASE F&amp;B'!$C$3:$F$216,4,0)</f>
        <v>0</v>
      </c>
      <c r="BJ164" s="19">
        <f t="shared" si="187"/>
        <v>0</v>
      </c>
      <c r="BK164" s="16"/>
      <c r="BL164" s="17">
        <f>VLOOKUP(BK164,'DATABASE F&amp;B'!$C$3:$F$210,2,0)</f>
        <v>0</v>
      </c>
      <c r="BM164" s="18"/>
      <c r="BN164" s="19">
        <f>VLOOKUP(BK164,'DATABASE F&amp;B'!$C$3:$F$210,4,0)</f>
        <v>0</v>
      </c>
      <c r="BO164" s="19">
        <f t="shared" si="188"/>
        <v>0</v>
      </c>
      <c r="BP164" s="16"/>
      <c r="BQ164" s="17">
        <f>VLOOKUP(BP164,'DATABASE F&amp;B'!$C$3:$F$210,2,0)</f>
        <v>0</v>
      </c>
      <c r="BR164" s="18"/>
      <c r="BS164" s="19">
        <f>VLOOKUP(BP164,'DATABASE F&amp;B'!$C$3:$F$210,4,0)</f>
        <v>0</v>
      </c>
      <c r="BT164" s="19">
        <f t="shared" si="189"/>
        <v>0</v>
      </c>
      <c r="BU164" s="16"/>
      <c r="BV164" s="17">
        <f>VLOOKUP(BU164,'DATABASE F&amp;B'!$C$3:$F$210,2,0)</f>
        <v>0</v>
      </c>
      <c r="BW164" s="18"/>
      <c r="BX164" s="19">
        <f>VLOOKUP(BU164,'DATABASE F&amp;B'!$C$3:$F$210,4,0)</f>
        <v>0</v>
      </c>
      <c r="BY164" s="19">
        <f t="shared" si="190"/>
        <v>0</v>
      </c>
      <c r="BZ164" s="16"/>
      <c r="CA164" s="17">
        <f>VLOOKUP(BZ164,'DATABASE F&amp;B'!$C$3:$F$210,2,0)</f>
        <v>0</v>
      </c>
      <c r="CB164" s="18"/>
      <c r="CC164" s="19">
        <f>VLOOKUP(BZ164,'DATABASE F&amp;B'!$C$3:$F$210,4,0)</f>
        <v>0</v>
      </c>
      <c r="CD164" s="19">
        <f t="shared" si="191"/>
        <v>0</v>
      </c>
    </row>
    <row r="165" spans="1:82" ht="13.5" x14ac:dyDescent="0.25">
      <c r="A165" s="32" t="str">
        <f t="shared" si="172"/>
        <v>05-'29-2026</v>
      </c>
      <c r="B165" s="22">
        <f t="shared" si="192"/>
        <v>161</v>
      </c>
      <c r="C165" s="22">
        <f t="shared" si="192"/>
        <v>161</v>
      </c>
      <c r="D165" s="34">
        <v>46171</v>
      </c>
      <c r="E165" s="35" t="s">
        <v>83</v>
      </c>
      <c r="F165" s="35" t="s">
        <v>202</v>
      </c>
      <c r="G165" s="52" t="s">
        <v>81</v>
      </c>
      <c r="H165" s="36" t="str">
        <f t="shared" si="170"/>
        <v>RJ-'290526-161</v>
      </c>
      <c r="I165" s="36" t="str">
        <f t="shared" si="173"/>
        <v>'29-05-2026</v>
      </c>
      <c r="J165" s="37" t="str">
        <f>VLOOKUP(D165,Laporan!$C$4:$D$34,2,0)</f>
        <v>Jumat</v>
      </c>
      <c r="K165" s="48"/>
      <c r="L165" s="13" t="s">
        <v>33</v>
      </c>
      <c r="M165" s="19">
        <f>SUMIF('DATABASE Room'!$B$3:$B$7,L165,'DATABASE Room'!$D$3:$D$7)</f>
        <v>0</v>
      </c>
      <c r="N165" s="13">
        <v>1</v>
      </c>
      <c r="O165" s="21">
        <f t="shared" si="174"/>
        <v>0</v>
      </c>
      <c r="P165" s="38"/>
      <c r="Q165" s="19">
        <f t="shared" si="175"/>
        <v>0</v>
      </c>
      <c r="R165" s="21">
        <f t="shared" si="176"/>
        <v>0</v>
      </c>
      <c r="S165" s="19">
        <f t="shared" si="177"/>
        <v>5</v>
      </c>
      <c r="T165" s="19">
        <f t="shared" si="178"/>
        <v>22000</v>
      </c>
      <c r="U165" s="21">
        <f t="shared" si="179"/>
        <v>22000</v>
      </c>
      <c r="V165" s="39"/>
      <c r="W165" s="16">
        <v>8</v>
      </c>
      <c r="X165" s="17" t="str">
        <f>VLOOKUP(W165,'DATABASE F&amp;B'!$C$3:$F$216,2,0)</f>
        <v>MACARONI PEDES</v>
      </c>
      <c r="Y165" s="18">
        <v>1</v>
      </c>
      <c r="Z165" s="19">
        <f>VLOOKUP(W165,'DATABASE F&amp;B'!$C$3:$F$216,4,0)</f>
        <v>22000</v>
      </c>
      <c r="AA165" s="19">
        <f t="shared" si="180"/>
        <v>22000</v>
      </c>
      <c r="AB165" s="16"/>
      <c r="AC165" s="17">
        <f>VLOOKUP(AB165,'DATABASE F&amp;B'!$C$3:$F$216,2,0)</f>
        <v>0</v>
      </c>
      <c r="AD165" s="18">
        <v>1</v>
      </c>
      <c r="AE165" s="19">
        <f>VLOOKUP(AB165,'DATABASE F&amp;B'!$C$3:$F$216,4,0)</f>
        <v>0</v>
      </c>
      <c r="AF165" s="19">
        <f t="shared" si="181"/>
        <v>0</v>
      </c>
      <c r="AG165" s="16"/>
      <c r="AH165" s="17">
        <f>VLOOKUP(AG165,'DATABASE F&amp;B'!$C$3:$F$216,2,0)</f>
        <v>0</v>
      </c>
      <c r="AI165" s="18">
        <v>1</v>
      </c>
      <c r="AJ165" s="19">
        <f>VLOOKUP(AG165,'DATABASE F&amp;B'!$C$3:$F$216,4,0)</f>
        <v>0</v>
      </c>
      <c r="AK165" s="19">
        <f t="shared" si="182"/>
        <v>0</v>
      </c>
      <c r="AL165" s="16"/>
      <c r="AM165" s="17">
        <f>VLOOKUP(AL165,'DATABASE F&amp;B'!$C$3:$F$216,2,0)</f>
        <v>0</v>
      </c>
      <c r="AN165" s="18">
        <v>1</v>
      </c>
      <c r="AO165" s="19">
        <f>VLOOKUP(AL165,'DATABASE F&amp;B'!$C$3:$F$216,4,0)</f>
        <v>0</v>
      </c>
      <c r="AP165" s="19">
        <f t="shared" si="183"/>
        <v>0</v>
      </c>
      <c r="AQ165" s="16"/>
      <c r="AR165" s="17">
        <f>VLOOKUP(AQ165,'DATABASE F&amp;B'!$C$3:$F$216,2,0)</f>
        <v>0</v>
      </c>
      <c r="AS165" s="18">
        <v>1</v>
      </c>
      <c r="AT165" s="19">
        <f>VLOOKUP(AQ165,'DATABASE F&amp;B'!$C$3:$F$216,4,0)</f>
        <v>0</v>
      </c>
      <c r="AU165" s="19">
        <f t="shared" si="184"/>
        <v>0</v>
      </c>
      <c r="AV165" s="16"/>
      <c r="AW165" s="17">
        <f>VLOOKUP(AV165,'DATABASE F&amp;B'!$C$3:$F$216,2,0)</f>
        <v>0</v>
      </c>
      <c r="AX165" s="18"/>
      <c r="AY165" s="19">
        <f>VLOOKUP(AV165,'DATABASE F&amp;B'!$C$3:$F$216,4,0)</f>
        <v>0</v>
      </c>
      <c r="AZ165" s="19">
        <f t="shared" si="185"/>
        <v>0</v>
      </c>
      <c r="BA165" s="16"/>
      <c r="BB165" s="17">
        <f>VLOOKUP(BA165,'DATABASE F&amp;B'!$C$3:$F$216,2,0)</f>
        <v>0</v>
      </c>
      <c r="BC165" s="18"/>
      <c r="BD165" s="19">
        <f>VLOOKUP(BA165,'DATABASE F&amp;B'!$C$3:$F$216,4,0)</f>
        <v>0</v>
      </c>
      <c r="BE165" s="19">
        <f t="shared" si="186"/>
        <v>0</v>
      </c>
      <c r="BF165" s="16"/>
      <c r="BG165" s="17">
        <f>VLOOKUP(BF165,'DATABASE F&amp;B'!$C$3:$F$216,2,0)</f>
        <v>0</v>
      </c>
      <c r="BH165" s="18"/>
      <c r="BI165" s="19">
        <f>VLOOKUP(BF165,'DATABASE F&amp;B'!$C$3:$F$216,4,0)</f>
        <v>0</v>
      </c>
      <c r="BJ165" s="19">
        <f t="shared" si="187"/>
        <v>0</v>
      </c>
      <c r="BK165" s="16"/>
      <c r="BL165" s="17">
        <f>VLOOKUP(BK165,'DATABASE F&amp;B'!$C$3:$F$210,2,0)</f>
        <v>0</v>
      </c>
      <c r="BM165" s="18"/>
      <c r="BN165" s="19">
        <f>VLOOKUP(BK165,'DATABASE F&amp;B'!$C$3:$F$210,4,0)</f>
        <v>0</v>
      </c>
      <c r="BO165" s="19">
        <f t="shared" si="188"/>
        <v>0</v>
      </c>
      <c r="BP165" s="16"/>
      <c r="BQ165" s="17">
        <f>VLOOKUP(BP165,'DATABASE F&amp;B'!$C$3:$F$210,2,0)</f>
        <v>0</v>
      </c>
      <c r="BR165" s="18"/>
      <c r="BS165" s="19">
        <f>VLOOKUP(BP165,'DATABASE F&amp;B'!$C$3:$F$210,4,0)</f>
        <v>0</v>
      </c>
      <c r="BT165" s="19">
        <f t="shared" si="189"/>
        <v>0</v>
      </c>
      <c r="BU165" s="16"/>
      <c r="BV165" s="17">
        <f>VLOOKUP(BU165,'DATABASE F&amp;B'!$C$3:$F$210,2,0)</f>
        <v>0</v>
      </c>
      <c r="BW165" s="18"/>
      <c r="BX165" s="19">
        <f>VLOOKUP(BU165,'DATABASE F&amp;B'!$C$3:$F$210,4,0)</f>
        <v>0</v>
      </c>
      <c r="BY165" s="19">
        <f t="shared" si="190"/>
        <v>0</v>
      </c>
      <c r="BZ165" s="16"/>
      <c r="CA165" s="17">
        <f>VLOOKUP(BZ165,'DATABASE F&amp;B'!$C$3:$F$210,2,0)</f>
        <v>0</v>
      </c>
      <c r="CB165" s="18"/>
      <c r="CC165" s="19">
        <f>VLOOKUP(BZ165,'DATABASE F&amp;B'!$C$3:$F$210,4,0)</f>
        <v>0</v>
      </c>
      <c r="CD165" s="19">
        <f t="shared" si="191"/>
        <v>0</v>
      </c>
    </row>
    <row r="166" spans="1:82" ht="13.5" x14ac:dyDescent="0.25">
      <c r="A166" s="32" t="str">
        <f t="shared" si="172"/>
        <v>05-'29-2026</v>
      </c>
      <c r="B166" s="22">
        <f t="shared" si="192"/>
        <v>162</v>
      </c>
      <c r="C166" s="22">
        <f t="shared" si="192"/>
        <v>162</v>
      </c>
      <c r="D166" s="34">
        <v>46171</v>
      </c>
      <c r="E166" s="35" t="s">
        <v>83</v>
      </c>
      <c r="F166" s="35" t="s">
        <v>202</v>
      </c>
      <c r="G166" s="52" t="s">
        <v>81</v>
      </c>
      <c r="H166" s="36" t="str">
        <f t="shared" si="170"/>
        <v>RJ-'290526-162</v>
      </c>
      <c r="I166" s="36" t="str">
        <f t="shared" si="173"/>
        <v>'29-05-2026</v>
      </c>
      <c r="J166" s="37" t="str">
        <f>VLOOKUP(D166,Laporan!$C$4:$D$34,2,0)</f>
        <v>Jumat</v>
      </c>
      <c r="K166" s="48"/>
      <c r="L166" s="13" t="s">
        <v>33</v>
      </c>
      <c r="M166" s="19">
        <f>SUMIF('DATABASE Room'!$B$3:$B$7,L166,'DATABASE Room'!$D$3:$D$7)</f>
        <v>0</v>
      </c>
      <c r="N166" s="13">
        <v>1</v>
      </c>
      <c r="O166" s="21">
        <f t="shared" si="174"/>
        <v>0</v>
      </c>
      <c r="P166" s="38"/>
      <c r="Q166" s="19">
        <f t="shared" si="175"/>
        <v>0</v>
      </c>
      <c r="R166" s="21">
        <f t="shared" si="176"/>
        <v>0</v>
      </c>
      <c r="S166" s="19">
        <f t="shared" si="177"/>
        <v>5</v>
      </c>
      <c r="T166" s="19">
        <f t="shared" si="178"/>
        <v>160000</v>
      </c>
      <c r="U166" s="21">
        <f t="shared" si="179"/>
        <v>160000</v>
      </c>
      <c r="V166" s="39"/>
      <c r="W166" s="16">
        <v>91</v>
      </c>
      <c r="X166" s="17" t="str">
        <f>VLOOKUP(W166,'DATABASE F&amp;B'!$C$3:$F$216,2,0)</f>
        <v>ATLAS ANGGUR PEACH</v>
      </c>
      <c r="Y166" s="18">
        <v>1</v>
      </c>
      <c r="Z166" s="19">
        <f>VLOOKUP(W166,'DATABASE F&amp;B'!$C$3:$F$216,4,0)</f>
        <v>160000</v>
      </c>
      <c r="AA166" s="19">
        <f t="shared" si="180"/>
        <v>160000</v>
      </c>
      <c r="AB166" s="16"/>
      <c r="AC166" s="17">
        <f>VLOOKUP(AB166,'DATABASE F&amp;B'!$C$3:$F$216,2,0)</f>
        <v>0</v>
      </c>
      <c r="AD166" s="18">
        <v>1</v>
      </c>
      <c r="AE166" s="19">
        <f>VLOOKUP(AB166,'DATABASE F&amp;B'!$C$3:$F$216,4,0)</f>
        <v>0</v>
      </c>
      <c r="AF166" s="19">
        <f t="shared" si="181"/>
        <v>0</v>
      </c>
      <c r="AG166" s="16"/>
      <c r="AH166" s="17">
        <f>VLOOKUP(AG166,'DATABASE F&amp;B'!$C$3:$F$216,2,0)</f>
        <v>0</v>
      </c>
      <c r="AI166" s="18">
        <v>1</v>
      </c>
      <c r="AJ166" s="19">
        <f>VLOOKUP(AG166,'DATABASE F&amp;B'!$C$3:$F$216,4,0)</f>
        <v>0</v>
      </c>
      <c r="AK166" s="19">
        <f t="shared" si="182"/>
        <v>0</v>
      </c>
      <c r="AL166" s="16"/>
      <c r="AM166" s="17">
        <f>VLOOKUP(AL166,'DATABASE F&amp;B'!$C$3:$F$216,2,0)</f>
        <v>0</v>
      </c>
      <c r="AN166" s="18">
        <v>1</v>
      </c>
      <c r="AO166" s="19">
        <f>VLOOKUP(AL166,'DATABASE F&amp;B'!$C$3:$F$216,4,0)</f>
        <v>0</v>
      </c>
      <c r="AP166" s="19">
        <f t="shared" si="183"/>
        <v>0</v>
      </c>
      <c r="AQ166" s="16"/>
      <c r="AR166" s="17">
        <f>VLOOKUP(AQ166,'DATABASE F&amp;B'!$C$3:$F$216,2,0)</f>
        <v>0</v>
      </c>
      <c r="AS166" s="18">
        <v>1</v>
      </c>
      <c r="AT166" s="19">
        <f>VLOOKUP(AQ166,'DATABASE F&amp;B'!$C$3:$F$216,4,0)</f>
        <v>0</v>
      </c>
      <c r="AU166" s="19">
        <f t="shared" si="184"/>
        <v>0</v>
      </c>
      <c r="AV166" s="16"/>
      <c r="AW166" s="17">
        <f>VLOOKUP(AV166,'DATABASE F&amp;B'!$C$3:$F$216,2,0)</f>
        <v>0</v>
      </c>
      <c r="AX166" s="18"/>
      <c r="AY166" s="19">
        <f>VLOOKUP(AV166,'DATABASE F&amp;B'!$C$3:$F$216,4,0)</f>
        <v>0</v>
      </c>
      <c r="AZ166" s="19">
        <f t="shared" si="185"/>
        <v>0</v>
      </c>
      <c r="BA166" s="16"/>
      <c r="BB166" s="17">
        <f>VLOOKUP(BA166,'DATABASE F&amp;B'!$C$3:$F$216,2,0)</f>
        <v>0</v>
      </c>
      <c r="BC166" s="18"/>
      <c r="BD166" s="19">
        <f>VLOOKUP(BA166,'DATABASE F&amp;B'!$C$3:$F$216,4,0)</f>
        <v>0</v>
      </c>
      <c r="BE166" s="19">
        <f t="shared" si="186"/>
        <v>0</v>
      </c>
      <c r="BF166" s="16"/>
      <c r="BG166" s="17">
        <f>VLOOKUP(BF166,'DATABASE F&amp;B'!$C$3:$F$216,2,0)</f>
        <v>0</v>
      </c>
      <c r="BH166" s="18"/>
      <c r="BI166" s="19">
        <f>VLOOKUP(BF166,'DATABASE F&amp;B'!$C$3:$F$216,4,0)</f>
        <v>0</v>
      </c>
      <c r="BJ166" s="19">
        <f t="shared" si="187"/>
        <v>0</v>
      </c>
      <c r="BK166" s="16"/>
      <c r="BL166" s="17">
        <f>VLOOKUP(BK166,'DATABASE F&amp;B'!$C$3:$F$210,2,0)</f>
        <v>0</v>
      </c>
      <c r="BM166" s="18"/>
      <c r="BN166" s="19">
        <f>VLOOKUP(BK166,'DATABASE F&amp;B'!$C$3:$F$210,4,0)</f>
        <v>0</v>
      </c>
      <c r="BO166" s="19">
        <f t="shared" si="188"/>
        <v>0</v>
      </c>
      <c r="BP166" s="16"/>
      <c r="BQ166" s="17">
        <f>VLOOKUP(BP166,'DATABASE F&amp;B'!$C$3:$F$210,2,0)</f>
        <v>0</v>
      </c>
      <c r="BR166" s="18"/>
      <c r="BS166" s="19">
        <f>VLOOKUP(BP166,'DATABASE F&amp;B'!$C$3:$F$210,4,0)</f>
        <v>0</v>
      </c>
      <c r="BT166" s="19">
        <f t="shared" si="189"/>
        <v>0</v>
      </c>
      <c r="BU166" s="16"/>
      <c r="BV166" s="17">
        <f>VLOOKUP(BU166,'DATABASE F&amp;B'!$C$3:$F$210,2,0)</f>
        <v>0</v>
      </c>
      <c r="BW166" s="18"/>
      <c r="BX166" s="19">
        <f>VLOOKUP(BU166,'DATABASE F&amp;B'!$C$3:$F$210,4,0)</f>
        <v>0</v>
      </c>
      <c r="BY166" s="19">
        <f t="shared" si="190"/>
        <v>0</v>
      </c>
      <c r="BZ166" s="16"/>
      <c r="CA166" s="17">
        <f>VLOOKUP(BZ166,'DATABASE F&amp;B'!$C$3:$F$210,2,0)</f>
        <v>0</v>
      </c>
      <c r="CB166" s="18"/>
      <c r="CC166" s="19">
        <f>VLOOKUP(BZ166,'DATABASE F&amp;B'!$C$3:$F$210,4,0)</f>
        <v>0</v>
      </c>
      <c r="CD166" s="19">
        <f t="shared" si="191"/>
        <v>0</v>
      </c>
    </row>
    <row r="167" spans="1:82" ht="13.5" x14ac:dyDescent="0.25">
      <c r="A167" s="32" t="str">
        <f t="shared" si="172"/>
        <v>05-'29-2026</v>
      </c>
      <c r="B167" s="22">
        <f t="shared" ref="B167:C182" si="193">B166+1</f>
        <v>163</v>
      </c>
      <c r="C167" s="22">
        <f t="shared" si="193"/>
        <v>163</v>
      </c>
      <c r="D167" s="34">
        <v>46171</v>
      </c>
      <c r="E167" s="35" t="s">
        <v>83</v>
      </c>
      <c r="F167" s="35" t="s">
        <v>202</v>
      </c>
      <c r="G167" s="52" t="s">
        <v>81</v>
      </c>
      <c r="H167" s="36" t="str">
        <f t="shared" si="170"/>
        <v>RJ-'290526-163</v>
      </c>
      <c r="I167" s="36" t="str">
        <f t="shared" si="173"/>
        <v>'29-05-2026</v>
      </c>
      <c r="J167" s="37" t="str">
        <f>VLOOKUP(D167,Laporan!$C$4:$D$34,2,0)</f>
        <v>Jumat</v>
      </c>
      <c r="K167" s="48"/>
      <c r="L167" s="13" t="s">
        <v>33</v>
      </c>
      <c r="M167" s="19">
        <f>SUMIF('DATABASE Room'!$B$3:$B$7,L167,'DATABASE Room'!$D$3:$D$7)</f>
        <v>0</v>
      </c>
      <c r="N167" s="13">
        <v>1</v>
      </c>
      <c r="O167" s="21">
        <f t="shared" si="174"/>
        <v>0</v>
      </c>
      <c r="P167" s="38"/>
      <c r="Q167" s="19">
        <f t="shared" si="175"/>
        <v>0</v>
      </c>
      <c r="R167" s="21">
        <f t="shared" si="176"/>
        <v>0</v>
      </c>
      <c r="S167" s="19">
        <f t="shared" si="177"/>
        <v>5</v>
      </c>
      <c r="T167" s="19">
        <f t="shared" si="178"/>
        <v>750000</v>
      </c>
      <c r="U167" s="21">
        <f t="shared" si="179"/>
        <v>750000</v>
      </c>
      <c r="V167" s="39"/>
      <c r="W167" s="16">
        <v>92</v>
      </c>
      <c r="X167" s="17" t="str">
        <f>VLOOKUP(W167,'DATABASE F&amp;B'!$C$3:$F$216,2,0)</f>
        <v>AP ANGGUR HIJAU</v>
      </c>
      <c r="Y167" s="18">
        <v>1</v>
      </c>
      <c r="Z167" s="19">
        <f>VLOOKUP(W167,'DATABASE F&amp;B'!$C$3:$F$216,4,0)</f>
        <v>175000</v>
      </c>
      <c r="AA167" s="19">
        <f t="shared" si="180"/>
        <v>175000</v>
      </c>
      <c r="AB167" s="16">
        <v>114</v>
      </c>
      <c r="AC167" s="17" t="str">
        <f>VLOOKUP(AB167,'DATABASE F&amp;B'!$C$3:$F$216,2,0)</f>
        <v>JAMESON</v>
      </c>
      <c r="AD167" s="18">
        <v>1</v>
      </c>
      <c r="AE167" s="19">
        <f>VLOOKUP(AB167,'DATABASE F&amp;B'!$C$3:$F$216,4,0)</f>
        <v>575000</v>
      </c>
      <c r="AF167" s="19">
        <f t="shared" si="181"/>
        <v>575000</v>
      </c>
      <c r="AG167" s="16"/>
      <c r="AH167" s="17">
        <f>VLOOKUP(AG167,'DATABASE F&amp;B'!$C$3:$F$216,2,0)</f>
        <v>0</v>
      </c>
      <c r="AI167" s="18">
        <v>1</v>
      </c>
      <c r="AJ167" s="19">
        <f>VLOOKUP(AG167,'DATABASE F&amp;B'!$C$3:$F$216,4,0)</f>
        <v>0</v>
      </c>
      <c r="AK167" s="19">
        <f t="shared" si="182"/>
        <v>0</v>
      </c>
      <c r="AL167" s="16"/>
      <c r="AM167" s="17">
        <f>VLOOKUP(AL167,'DATABASE F&amp;B'!$C$3:$F$216,2,0)</f>
        <v>0</v>
      </c>
      <c r="AN167" s="18">
        <v>1</v>
      </c>
      <c r="AO167" s="19">
        <f>VLOOKUP(AL167,'DATABASE F&amp;B'!$C$3:$F$216,4,0)</f>
        <v>0</v>
      </c>
      <c r="AP167" s="19">
        <f t="shared" si="183"/>
        <v>0</v>
      </c>
      <c r="AQ167" s="16"/>
      <c r="AR167" s="17">
        <f>VLOOKUP(AQ167,'DATABASE F&amp;B'!$C$3:$F$216,2,0)</f>
        <v>0</v>
      </c>
      <c r="AS167" s="18">
        <v>1</v>
      </c>
      <c r="AT167" s="19">
        <f>VLOOKUP(AQ167,'DATABASE F&amp;B'!$C$3:$F$216,4,0)</f>
        <v>0</v>
      </c>
      <c r="AU167" s="19">
        <f t="shared" si="184"/>
        <v>0</v>
      </c>
      <c r="AV167" s="16"/>
      <c r="AW167" s="17">
        <f>VLOOKUP(AV167,'DATABASE F&amp;B'!$C$3:$F$216,2,0)</f>
        <v>0</v>
      </c>
      <c r="AX167" s="18"/>
      <c r="AY167" s="19">
        <f>VLOOKUP(AV167,'DATABASE F&amp;B'!$C$3:$F$216,4,0)</f>
        <v>0</v>
      </c>
      <c r="AZ167" s="19">
        <f t="shared" si="185"/>
        <v>0</v>
      </c>
      <c r="BA167" s="16"/>
      <c r="BB167" s="17">
        <f>VLOOKUP(BA167,'DATABASE F&amp;B'!$C$3:$F$216,2,0)</f>
        <v>0</v>
      </c>
      <c r="BC167" s="18"/>
      <c r="BD167" s="19">
        <f>VLOOKUP(BA167,'DATABASE F&amp;B'!$C$3:$F$216,4,0)</f>
        <v>0</v>
      </c>
      <c r="BE167" s="19">
        <f t="shared" si="186"/>
        <v>0</v>
      </c>
      <c r="BF167" s="16"/>
      <c r="BG167" s="17">
        <f>VLOOKUP(BF167,'DATABASE F&amp;B'!$C$3:$F$216,2,0)</f>
        <v>0</v>
      </c>
      <c r="BH167" s="18"/>
      <c r="BI167" s="19">
        <f>VLOOKUP(BF167,'DATABASE F&amp;B'!$C$3:$F$216,4,0)</f>
        <v>0</v>
      </c>
      <c r="BJ167" s="19">
        <f t="shared" si="187"/>
        <v>0</v>
      </c>
      <c r="BK167" s="16"/>
      <c r="BL167" s="17">
        <f>VLOOKUP(BK167,'DATABASE F&amp;B'!$C$3:$F$210,2,0)</f>
        <v>0</v>
      </c>
      <c r="BM167" s="18"/>
      <c r="BN167" s="19">
        <f>VLOOKUP(BK167,'DATABASE F&amp;B'!$C$3:$F$210,4,0)</f>
        <v>0</v>
      </c>
      <c r="BO167" s="19">
        <f t="shared" si="188"/>
        <v>0</v>
      </c>
      <c r="BP167" s="16"/>
      <c r="BQ167" s="17">
        <f>VLOOKUP(BP167,'DATABASE F&amp;B'!$C$3:$F$210,2,0)</f>
        <v>0</v>
      </c>
      <c r="BR167" s="18"/>
      <c r="BS167" s="19">
        <f>VLOOKUP(BP167,'DATABASE F&amp;B'!$C$3:$F$210,4,0)</f>
        <v>0</v>
      </c>
      <c r="BT167" s="19">
        <f t="shared" si="189"/>
        <v>0</v>
      </c>
      <c r="BU167" s="16"/>
      <c r="BV167" s="17">
        <f>VLOOKUP(BU167,'DATABASE F&amp;B'!$C$3:$F$210,2,0)</f>
        <v>0</v>
      </c>
      <c r="BW167" s="18"/>
      <c r="BX167" s="19">
        <f>VLOOKUP(BU167,'DATABASE F&amp;B'!$C$3:$F$210,4,0)</f>
        <v>0</v>
      </c>
      <c r="BY167" s="19">
        <f t="shared" si="190"/>
        <v>0</v>
      </c>
      <c r="BZ167" s="16"/>
      <c r="CA167" s="17">
        <f>VLOOKUP(BZ167,'DATABASE F&amp;B'!$C$3:$F$210,2,0)</f>
        <v>0</v>
      </c>
      <c r="CB167" s="18"/>
      <c r="CC167" s="19">
        <f>VLOOKUP(BZ167,'DATABASE F&amp;B'!$C$3:$F$210,4,0)</f>
        <v>0</v>
      </c>
      <c r="CD167" s="19">
        <f t="shared" si="191"/>
        <v>0</v>
      </c>
    </row>
    <row r="168" spans="1:82" ht="13.5" x14ac:dyDescent="0.25">
      <c r="A168" s="32" t="str">
        <f t="shared" si="172"/>
        <v>05-'29-2026</v>
      </c>
      <c r="B168" s="22">
        <f t="shared" si="193"/>
        <v>164</v>
      </c>
      <c r="C168" s="22">
        <f t="shared" si="193"/>
        <v>164</v>
      </c>
      <c r="D168" s="34">
        <v>46171</v>
      </c>
      <c r="E168" s="35" t="s">
        <v>83</v>
      </c>
      <c r="F168" s="35" t="s">
        <v>202</v>
      </c>
      <c r="G168" s="52" t="s">
        <v>81</v>
      </c>
      <c r="H168" s="36" t="str">
        <f t="shared" si="170"/>
        <v>RJ-'290526-164</v>
      </c>
      <c r="I168" s="36" t="str">
        <f t="shared" si="173"/>
        <v>'29-05-2026</v>
      </c>
      <c r="J168" s="37" t="str">
        <f>VLOOKUP(D168,Laporan!$C$4:$D$34,2,0)</f>
        <v>Jumat</v>
      </c>
      <c r="K168" s="48"/>
      <c r="L168" s="13" t="s">
        <v>33</v>
      </c>
      <c r="M168" s="19">
        <f>SUMIF('DATABASE Room'!$B$3:$B$7,L168,'DATABASE Room'!$D$3:$D$7)</f>
        <v>0</v>
      </c>
      <c r="N168" s="13">
        <v>1</v>
      </c>
      <c r="O168" s="21">
        <f t="shared" si="174"/>
        <v>0</v>
      </c>
      <c r="P168" s="38"/>
      <c r="Q168" s="19">
        <f t="shared" si="175"/>
        <v>0</v>
      </c>
      <c r="R168" s="21">
        <f t="shared" si="176"/>
        <v>0</v>
      </c>
      <c r="S168" s="19">
        <f t="shared" si="177"/>
        <v>5</v>
      </c>
      <c r="T168" s="19">
        <f t="shared" si="178"/>
        <v>75000</v>
      </c>
      <c r="U168" s="21">
        <f t="shared" si="179"/>
        <v>75000</v>
      </c>
      <c r="V168" s="39"/>
      <c r="W168" s="16">
        <v>95</v>
      </c>
      <c r="X168" s="17" t="str">
        <f>VLOOKUP(W168,'DATABASE F&amp;B'!$C$3:$F$216,2,0)</f>
        <v>MARLBORO RED</v>
      </c>
      <c r="Y168" s="18">
        <v>1</v>
      </c>
      <c r="Z168" s="19">
        <f>VLOOKUP(W168,'DATABASE F&amp;B'!$C$3:$F$216,4,0)</f>
        <v>75000</v>
      </c>
      <c r="AA168" s="19">
        <f t="shared" si="180"/>
        <v>75000</v>
      </c>
      <c r="AB168" s="16"/>
      <c r="AC168" s="17">
        <f>VLOOKUP(AB168,'DATABASE F&amp;B'!$C$3:$F$216,2,0)</f>
        <v>0</v>
      </c>
      <c r="AD168" s="18">
        <v>1</v>
      </c>
      <c r="AE168" s="19">
        <f>VLOOKUP(AB168,'DATABASE F&amp;B'!$C$3:$F$216,4,0)</f>
        <v>0</v>
      </c>
      <c r="AF168" s="19">
        <f t="shared" si="181"/>
        <v>0</v>
      </c>
      <c r="AG168" s="16"/>
      <c r="AH168" s="17">
        <f>VLOOKUP(AG168,'DATABASE F&amp;B'!$C$3:$F$216,2,0)</f>
        <v>0</v>
      </c>
      <c r="AI168" s="18">
        <v>1</v>
      </c>
      <c r="AJ168" s="19">
        <f>VLOOKUP(AG168,'DATABASE F&amp;B'!$C$3:$F$216,4,0)</f>
        <v>0</v>
      </c>
      <c r="AK168" s="19">
        <f t="shared" si="182"/>
        <v>0</v>
      </c>
      <c r="AL168" s="16"/>
      <c r="AM168" s="17">
        <f>VLOOKUP(AL168,'DATABASE F&amp;B'!$C$3:$F$216,2,0)</f>
        <v>0</v>
      </c>
      <c r="AN168" s="18">
        <v>1</v>
      </c>
      <c r="AO168" s="19">
        <f>VLOOKUP(AL168,'DATABASE F&amp;B'!$C$3:$F$216,4,0)</f>
        <v>0</v>
      </c>
      <c r="AP168" s="19">
        <f t="shared" si="183"/>
        <v>0</v>
      </c>
      <c r="AQ168" s="16"/>
      <c r="AR168" s="17">
        <f>VLOOKUP(AQ168,'DATABASE F&amp;B'!$C$3:$F$216,2,0)</f>
        <v>0</v>
      </c>
      <c r="AS168" s="18">
        <v>1</v>
      </c>
      <c r="AT168" s="19">
        <f>VLOOKUP(AQ168,'DATABASE F&amp;B'!$C$3:$F$216,4,0)</f>
        <v>0</v>
      </c>
      <c r="AU168" s="19">
        <f t="shared" si="184"/>
        <v>0</v>
      </c>
      <c r="AV168" s="16"/>
      <c r="AW168" s="17">
        <f>VLOOKUP(AV168,'DATABASE F&amp;B'!$C$3:$F$216,2,0)</f>
        <v>0</v>
      </c>
      <c r="AX168" s="18"/>
      <c r="AY168" s="19">
        <f>VLOOKUP(AV168,'DATABASE F&amp;B'!$C$3:$F$216,4,0)</f>
        <v>0</v>
      </c>
      <c r="AZ168" s="19">
        <f t="shared" si="185"/>
        <v>0</v>
      </c>
      <c r="BA168" s="16"/>
      <c r="BB168" s="17">
        <f>VLOOKUP(BA168,'DATABASE F&amp;B'!$C$3:$F$216,2,0)</f>
        <v>0</v>
      </c>
      <c r="BC168" s="18"/>
      <c r="BD168" s="19">
        <f>VLOOKUP(BA168,'DATABASE F&amp;B'!$C$3:$F$216,4,0)</f>
        <v>0</v>
      </c>
      <c r="BE168" s="19">
        <f t="shared" si="186"/>
        <v>0</v>
      </c>
      <c r="BF168" s="16"/>
      <c r="BG168" s="17">
        <f>VLOOKUP(BF168,'DATABASE F&amp;B'!$C$3:$F$216,2,0)</f>
        <v>0</v>
      </c>
      <c r="BH168" s="18"/>
      <c r="BI168" s="19">
        <f>VLOOKUP(BF168,'DATABASE F&amp;B'!$C$3:$F$216,4,0)</f>
        <v>0</v>
      </c>
      <c r="BJ168" s="19">
        <f t="shared" si="187"/>
        <v>0</v>
      </c>
      <c r="BK168" s="16"/>
      <c r="BL168" s="17">
        <f>VLOOKUP(BK168,'DATABASE F&amp;B'!$C$3:$F$210,2,0)</f>
        <v>0</v>
      </c>
      <c r="BM168" s="18"/>
      <c r="BN168" s="19">
        <f>VLOOKUP(BK168,'DATABASE F&amp;B'!$C$3:$F$210,4,0)</f>
        <v>0</v>
      </c>
      <c r="BO168" s="19">
        <f t="shared" si="188"/>
        <v>0</v>
      </c>
      <c r="BP168" s="16"/>
      <c r="BQ168" s="17">
        <f>VLOOKUP(BP168,'DATABASE F&amp;B'!$C$3:$F$210,2,0)</f>
        <v>0</v>
      </c>
      <c r="BR168" s="18"/>
      <c r="BS168" s="19">
        <f>VLOOKUP(BP168,'DATABASE F&amp;B'!$C$3:$F$210,4,0)</f>
        <v>0</v>
      </c>
      <c r="BT168" s="19">
        <f t="shared" si="189"/>
        <v>0</v>
      </c>
      <c r="BU168" s="16"/>
      <c r="BV168" s="17">
        <f>VLOOKUP(BU168,'DATABASE F&amp;B'!$C$3:$F$210,2,0)</f>
        <v>0</v>
      </c>
      <c r="BW168" s="18"/>
      <c r="BX168" s="19">
        <f>VLOOKUP(BU168,'DATABASE F&amp;B'!$C$3:$F$210,4,0)</f>
        <v>0</v>
      </c>
      <c r="BY168" s="19">
        <f t="shared" si="190"/>
        <v>0</v>
      </c>
      <c r="BZ168" s="16"/>
      <c r="CA168" s="17">
        <f>VLOOKUP(BZ168,'DATABASE F&amp;B'!$C$3:$F$210,2,0)</f>
        <v>0</v>
      </c>
      <c r="CB168" s="18"/>
      <c r="CC168" s="19">
        <f>VLOOKUP(BZ168,'DATABASE F&amp;B'!$C$3:$F$210,4,0)</f>
        <v>0</v>
      </c>
      <c r="CD168" s="19">
        <f t="shared" si="191"/>
        <v>0</v>
      </c>
    </row>
    <row r="169" spans="1:82" ht="13.5" x14ac:dyDescent="0.25">
      <c r="A169" s="32" t="str">
        <f t="shared" si="172"/>
        <v>05-'30-2026</v>
      </c>
      <c r="B169" s="22">
        <f t="shared" si="193"/>
        <v>165</v>
      </c>
      <c r="C169" s="22">
        <f t="shared" si="193"/>
        <v>165</v>
      </c>
      <c r="D169" s="34">
        <v>46172</v>
      </c>
      <c r="E169" s="35" t="s">
        <v>84</v>
      </c>
      <c r="F169" s="35" t="s">
        <v>202</v>
      </c>
      <c r="G169" s="52" t="s">
        <v>81</v>
      </c>
      <c r="H169" s="36" t="str">
        <f t="shared" si="170"/>
        <v>RJ-'300526-165</v>
      </c>
      <c r="I169" s="36" t="str">
        <f t="shared" si="173"/>
        <v>'30-05-2026</v>
      </c>
      <c r="J169" s="37" t="str">
        <f>VLOOKUP(D169,Laporan!$C$4:$D$34,2,0)</f>
        <v>Sabtu</v>
      </c>
      <c r="K169" s="48"/>
      <c r="L169" s="13" t="s">
        <v>33</v>
      </c>
      <c r="M169" s="19">
        <f>SUMIF('DATABASE Room'!$B$3:$B$7,L169,'DATABASE Room'!$D$3:$D$7)</f>
        <v>0</v>
      </c>
      <c r="N169" s="13">
        <v>1</v>
      </c>
      <c r="O169" s="21">
        <f t="shared" si="174"/>
        <v>0</v>
      </c>
      <c r="P169" s="38"/>
      <c r="Q169" s="19">
        <f t="shared" si="175"/>
        <v>0</v>
      </c>
      <c r="R169" s="21">
        <f t="shared" si="176"/>
        <v>0</v>
      </c>
      <c r="S169" s="19">
        <f t="shared" si="177"/>
        <v>5</v>
      </c>
      <c r="T169" s="19">
        <f t="shared" si="178"/>
        <v>145000</v>
      </c>
      <c r="U169" s="21">
        <f t="shared" si="179"/>
        <v>145000</v>
      </c>
      <c r="V169" s="39"/>
      <c r="W169" s="16">
        <v>42</v>
      </c>
      <c r="X169" s="17" t="str">
        <f>VLOOKUP(W169,'DATABASE F&amp;B'!$C$3:$F$216,2,0)</f>
        <v>SOJU JINRO ORI</v>
      </c>
      <c r="Y169" s="18">
        <v>1</v>
      </c>
      <c r="Z169" s="19">
        <f>VLOOKUP(W169,'DATABASE F&amp;B'!$C$3:$F$216,4,0)</f>
        <v>145000</v>
      </c>
      <c r="AA169" s="19">
        <f t="shared" si="180"/>
        <v>145000</v>
      </c>
      <c r="AB169" s="16"/>
      <c r="AC169" s="17">
        <f>VLOOKUP(AB169,'DATABASE F&amp;B'!$C$3:$F$216,2,0)</f>
        <v>0</v>
      </c>
      <c r="AD169" s="18">
        <v>1</v>
      </c>
      <c r="AE169" s="19">
        <f>VLOOKUP(AB169,'DATABASE F&amp;B'!$C$3:$F$216,4,0)</f>
        <v>0</v>
      </c>
      <c r="AF169" s="19">
        <f t="shared" si="181"/>
        <v>0</v>
      </c>
      <c r="AG169" s="16"/>
      <c r="AH169" s="17">
        <f>VLOOKUP(AG169,'DATABASE F&amp;B'!$C$3:$F$216,2,0)</f>
        <v>0</v>
      </c>
      <c r="AI169" s="18">
        <v>1</v>
      </c>
      <c r="AJ169" s="19">
        <f>VLOOKUP(AG169,'DATABASE F&amp;B'!$C$3:$F$216,4,0)</f>
        <v>0</v>
      </c>
      <c r="AK169" s="19">
        <f t="shared" si="182"/>
        <v>0</v>
      </c>
      <c r="AL169" s="16"/>
      <c r="AM169" s="17">
        <f>VLOOKUP(AL169,'DATABASE F&amp;B'!$C$3:$F$216,2,0)</f>
        <v>0</v>
      </c>
      <c r="AN169" s="18">
        <v>1</v>
      </c>
      <c r="AO169" s="19">
        <f>VLOOKUP(AL169,'DATABASE F&amp;B'!$C$3:$F$216,4,0)</f>
        <v>0</v>
      </c>
      <c r="AP169" s="19">
        <f t="shared" si="183"/>
        <v>0</v>
      </c>
      <c r="AQ169" s="16"/>
      <c r="AR169" s="17">
        <f>VLOOKUP(AQ169,'DATABASE F&amp;B'!$C$3:$F$216,2,0)</f>
        <v>0</v>
      </c>
      <c r="AS169" s="18">
        <v>1</v>
      </c>
      <c r="AT169" s="19">
        <f>VLOOKUP(AQ169,'DATABASE F&amp;B'!$C$3:$F$216,4,0)</f>
        <v>0</v>
      </c>
      <c r="AU169" s="19">
        <f t="shared" si="184"/>
        <v>0</v>
      </c>
      <c r="AV169" s="16"/>
      <c r="AW169" s="17">
        <f>VLOOKUP(AV169,'DATABASE F&amp;B'!$C$3:$F$216,2,0)</f>
        <v>0</v>
      </c>
      <c r="AX169" s="18"/>
      <c r="AY169" s="19">
        <f>VLOOKUP(AV169,'DATABASE F&amp;B'!$C$3:$F$216,4,0)</f>
        <v>0</v>
      </c>
      <c r="AZ169" s="19">
        <f t="shared" si="185"/>
        <v>0</v>
      </c>
      <c r="BA169" s="16"/>
      <c r="BB169" s="17">
        <f>VLOOKUP(BA169,'DATABASE F&amp;B'!$C$3:$F$216,2,0)</f>
        <v>0</v>
      </c>
      <c r="BC169" s="18"/>
      <c r="BD169" s="19">
        <f>VLOOKUP(BA169,'DATABASE F&amp;B'!$C$3:$F$216,4,0)</f>
        <v>0</v>
      </c>
      <c r="BE169" s="19">
        <f t="shared" si="186"/>
        <v>0</v>
      </c>
      <c r="BF169" s="16"/>
      <c r="BG169" s="17">
        <f>VLOOKUP(BF169,'DATABASE F&amp;B'!$C$3:$F$216,2,0)</f>
        <v>0</v>
      </c>
      <c r="BH169" s="18"/>
      <c r="BI169" s="19">
        <f>VLOOKUP(BF169,'DATABASE F&amp;B'!$C$3:$F$216,4,0)</f>
        <v>0</v>
      </c>
      <c r="BJ169" s="19">
        <f t="shared" si="187"/>
        <v>0</v>
      </c>
      <c r="BK169" s="16"/>
      <c r="BL169" s="17">
        <f>VLOOKUP(BK169,'DATABASE F&amp;B'!$C$3:$F$210,2,0)</f>
        <v>0</v>
      </c>
      <c r="BM169" s="18"/>
      <c r="BN169" s="19">
        <f>VLOOKUP(BK169,'DATABASE F&amp;B'!$C$3:$F$210,4,0)</f>
        <v>0</v>
      </c>
      <c r="BO169" s="19">
        <f t="shared" si="188"/>
        <v>0</v>
      </c>
      <c r="BP169" s="16"/>
      <c r="BQ169" s="17">
        <f>VLOOKUP(BP169,'DATABASE F&amp;B'!$C$3:$F$210,2,0)</f>
        <v>0</v>
      </c>
      <c r="BR169" s="18"/>
      <c r="BS169" s="19">
        <f>VLOOKUP(BP169,'DATABASE F&amp;B'!$C$3:$F$210,4,0)</f>
        <v>0</v>
      </c>
      <c r="BT169" s="19">
        <f t="shared" si="189"/>
        <v>0</v>
      </c>
      <c r="BU169" s="16"/>
      <c r="BV169" s="17">
        <f>VLOOKUP(BU169,'DATABASE F&amp;B'!$C$3:$F$210,2,0)</f>
        <v>0</v>
      </c>
      <c r="BW169" s="18"/>
      <c r="BX169" s="19">
        <f>VLOOKUP(BU169,'DATABASE F&amp;B'!$C$3:$F$210,4,0)</f>
        <v>0</v>
      </c>
      <c r="BY169" s="19">
        <f t="shared" si="190"/>
        <v>0</v>
      </c>
      <c r="BZ169" s="16"/>
      <c r="CA169" s="17">
        <f>VLOOKUP(BZ169,'DATABASE F&amp;B'!$C$3:$F$210,2,0)</f>
        <v>0</v>
      </c>
      <c r="CB169" s="18"/>
      <c r="CC169" s="19">
        <f>VLOOKUP(BZ169,'DATABASE F&amp;B'!$C$3:$F$210,4,0)</f>
        <v>0</v>
      </c>
      <c r="CD169" s="19">
        <f t="shared" si="191"/>
        <v>0</v>
      </c>
    </row>
    <row r="170" spans="1:82" ht="13.5" x14ac:dyDescent="0.25">
      <c r="A170" s="32" t="str">
        <f t="shared" si="172"/>
        <v>05-'30-2026</v>
      </c>
      <c r="B170" s="22">
        <f t="shared" si="193"/>
        <v>166</v>
      </c>
      <c r="C170" s="22">
        <f t="shared" si="193"/>
        <v>166</v>
      </c>
      <c r="D170" s="34">
        <v>46172</v>
      </c>
      <c r="E170" s="35" t="s">
        <v>84</v>
      </c>
      <c r="F170" s="35" t="s">
        <v>202</v>
      </c>
      <c r="G170" s="52" t="s">
        <v>81</v>
      </c>
      <c r="H170" s="36" t="str">
        <f t="shared" si="170"/>
        <v>RJ-'300526-166</v>
      </c>
      <c r="I170" s="36" t="str">
        <f t="shared" si="173"/>
        <v>'30-05-2026</v>
      </c>
      <c r="J170" s="37" t="str">
        <f>VLOOKUP(D170,Laporan!$C$4:$D$34,2,0)</f>
        <v>Sabtu</v>
      </c>
      <c r="K170" s="48"/>
      <c r="L170" s="13" t="s">
        <v>33</v>
      </c>
      <c r="M170" s="19">
        <f>SUMIF('DATABASE Room'!$B$3:$B$7,L170,'DATABASE Room'!$D$3:$D$7)</f>
        <v>0</v>
      </c>
      <c r="N170" s="13">
        <v>1</v>
      </c>
      <c r="O170" s="21">
        <f t="shared" si="174"/>
        <v>0</v>
      </c>
      <c r="P170" s="38"/>
      <c r="Q170" s="19">
        <f t="shared" si="175"/>
        <v>0</v>
      </c>
      <c r="R170" s="21">
        <f t="shared" si="176"/>
        <v>0</v>
      </c>
      <c r="S170" s="19">
        <f t="shared" si="177"/>
        <v>5</v>
      </c>
      <c r="T170" s="19">
        <f t="shared" si="178"/>
        <v>145000</v>
      </c>
      <c r="U170" s="21">
        <f t="shared" si="179"/>
        <v>145000</v>
      </c>
      <c r="V170" s="39"/>
      <c r="W170" s="16">
        <v>43</v>
      </c>
      <c r="X170" s="17" t="str">
        <f>VLOOKUP(W170,'DATABASE F&amp;B'!$C$3:$F$216,2,0)</f>
        <v>SOJU JINRO GREENGRAPE</v>
      </c>
      <c r="Y170" s="18">
        <v>1</v>
      </c>
      <c r="Z170" s="19">
        <f>VLOOKUP(W170,'DATABASE F&amp;B'!$C$3:$F$216,4,0)</f>
        <v>145000</v>
      </c>
      <c r="AA170" s="19">
        <f t="shared" si="180"/>
        <v>145000</v>
      </c>
      <c r="AB170" s="16"/>
      <c r="AC170" s="17">
        <f>VLOOKUP(AB170,'DATABASE F&amp;B'!$C$3:$F$216,2,0)</f>
        <v>0</v>
      </c>
      <c r="AD170" s="18">
        <v>1</v>
      </c>
      <c r="AE170" s="19">
        <f>VLOOKUP(AB170,'DATABASE F&amp;B'!$C$3:$F$216,4,0)</f>
        <v>0</v>
      </c>
      <c r="AF170" s="19">
        <f t="shared" si="181"/>
        <v>0</v>
      </c>
      <c r="AG170" s="16"/>
      <c r="AH170" s="17">
        <f>VLOOKUP(AG170,'DATABASE F&amp;B'!$C$3:$F$216,2,0)</f>
        <v>0</v>
      </c>
      <c r="AI170" s="18">
        <v>1</v>
      </c>
      <c r="AJ170" s="19">
        <f>VLOOKUP(AG170,'DATABASE F&amp;B'!$C$3:$F$216,4,0)</f>
        <v>0</v>
      </c>
      <c r="AK170" s="19">
        <f t="shared" si="182"/>
        <v>0</v>
      </c>
      <c r="AL170" s="16"/>
      <c r="AM170" s="17">
        <f>VLOOKUP(AL170,'DATABASE F&amp;B'!$C$3:$F$216,2,0)</f>
        <v>0</v>
      </c>
      <c r="AN170" s="18">
        <v>1</v>
      </c>
      <c r="AO170" s="19">
        <f>VLOOKUP(AL170,'DATABASE F&amp;B'!$C$3:$F$216,4,0)</f>
        <v>0</v>
      </c>
      <c r="AP170" s="19">
        <f t="shared" si="183"/>
        <v>0</v>
      </c>
      <c r="AQ170" s="16"/>
      <c r="AR170" s="17">
        <f>VLOOKUP(AQ170,'DATABASE F&amp;B'!$C$3:$F$216,2,0)</f>
        <v>0</v>
      </c>
      <c r="AS170" s="18">
        <v>1</v>
      </c>
      <c r="AT170" s="19">
        <f>VLOOKUP(AQ170,'DATABASE F&amp;B'!$C$3:$F$216,4,0)</f>
        <v>0</v>
      </c>
      <c r="AU170" s="19">
        <f t="shared" si="184"/>
        <v>0</v>
      </c>
      <c r="AV170" s="16"/>
      <c r="AW170" s="17">
        <f>VLOOKUP(AV170,'DATABASE F&amp;B'!$C$3:$F$216,2,0)</f>
        <v>0</v>
      </c>
      <c r="AX170" s="18"/>
      <c r="AY170" s="19">
        <f>VLOOKUP(AV170,'DATABASE F&amp;B'!$C$3:$F$216,4,0)</f>
        <v>0</v>
      </c>
      <c r="AZ170" s="19">
        <f t="shared" si="185"/>
        <v>0</v>
      </c>
      <c r="BA170" s="16"/>
      <c r="BB170" s="17">
        <f>VLOOKUP(BA170,'DATABASE F&amp;B'!$C$3:$F$216,2,0)</f>
        <v>0</v>
      </c>
      <c r="BC170" s="18"/>
      <c r="BD170" s="19">
        <f>VLOOKUP(BA170,'DATABASE F&amp;B'!$C$3:$F$216,4,0)</f>
        <v>0</v>
      </c>
      <c r="BE170" s="19">
        <f t="shared" si="186"/>
        <v>0</v>
      </c>
      <c r="BF170" s="16"/>
      <c r="BG170" s="17">
        <f>VLOOKUP(BF170,'DATABASE F&amp;B'!$C$3:$F$216,2,0)</f>
        <v>0</v>
      </c>
      <c r="BH170" s="18"/>
      <c r="BI170" s="19">
        <f>VLOOKUP(BF170,'DATABASE F&amp;B'!$C$3:$F$216,4,0)</f>
        <v>0</v>
      </c>
      <c r="BJ170" s="19">
        <f t="shared" si="187"/>
        <v>0</v>
      </c>
      <c r="BK170" s="16"/>
      <c r="BL170" s="17">
        <f>VLOOKUP(BK170,'DATABASE F&amp;B'!$C$3:$F$210,2,0)</f>
        <v>0</v>
      </c>
      <c r="BM170" s="18"/>
      <c r="BN170" s="19">
        <f>VLOOKUP(BK170,'DATABASE F&amp;B'!$C$3:$F$210,4,0)</f>
        <v>0</v>
      </c>
      <c r="BO170" s="19">
        <f t="shared" si="188"/>
        <v>0</v>
      </c>
      <c r="BP170" s="16"/>
      <c r="BQ170" s="17">
        <f>VLOOKUP(BP170,'DATABASE F&amp;B'!$C$3:$F$210,2,0)</f>
        <v>0</v>
      </c>
      <c r="BR170" s="18"/>
      <c r="BS170" s="19">
        <f>VLOOKUP(BP170,'DATABASE F&amp;B'!$C$3:$F$210,4,0)</f>
        <v>0</v>
      </c>
      <c r="BT170" s="19">
        <f t="shared" si="189"/>
        <v>0</v>
      </c>
      <c r="BU170" s="16"/>
      <c r="BV170" s="17">
        <f>VLOOKUP(BU170,'DATABASE F&amp;B'!$C$3:$F$210,2,0)</f>
        <v>0</v>
      </c>
      <c r="BW170" s="18"/>
      <c r="BX170" s="19">
        <f>VLOOKUP(BU170,'DATABASE F&amp;B'!$C$3:$F$210,4,0)</f>
        <v>0</v>
      </c>
      <c r="BY170" s="19">
        <f t="shared" si="190"/>
        <v>0</v>
      </c>
      <c r="BZ170" s="16"/>
      <c r="CA170" s="17">
        <f>VLOOKUP(BZ170,'DATABASE F&amp;B'!$C$3:$F$210,2,0)</f>
        <v>0</v>
      </c>
      <c r="CB170" s="18"/>
      <c r="CC170" s="19">
        <f>VLOOKUP(BZ170,'DATABASE F&amp;B'!$C$3:$F$210,4,0)</f>
        <v>0</v>
      </c>
      <c r="CD170" s="19">
        <f t="shared" si="191"/>
        <v>0</v>
      </c>
    </row>
    <row r="171" spans="1:82" ht="13.5" x14ac:dyDescent="0.25">
      <c r="A171" s="32" t="str">
        <f t="shared" si="172"/>
        <v>05-'30-2026</v>
      </c>
      <c r="B171" s="22">
        <f t="shared" si="193"/>
        <v>167</v>
      </c>
      <c r="C171" s="22">
        <f t="shared" si="193"/>
        <v>167</v>
      </c>
      <c r="D171" s="34">
        <v>46172</v>
      </c>
      <c r="E171" s="35" t="s">
        <v>84</v>
      </c>
      <c r="F171" s="35" t="s">
        <v>202</v>
      </c>
      <c r="G171" s="52" t="s">
        <v>81</v>
      </c>
      <c r="H171" s="36" t="str">
        <f t="shared" si="170"/>
        <v>RJ-'300526-167</v>
      </c>
      <c r="I171" s="36" t="str">
        <f t="shared" si="173"/>
        <v>'30-05-2026</v>
      </c>
      <c r="J171" s="37" t="str">
        <f>VLOOKUP(D171,Laporan!$C$4:$D$34,2,0)</f>
        <v>Sabtu</v>
      </c>
      <c r="K171" s="48"/>
      <c r="L171" s="13" t="s">
        <v>33</v>
      </c>
      <c r="M171" s="19">
        <f>SUMIF('DATABASE Room'!$B$3:$B$7,L171,'DATABASE Room'!$D$3:$D$7)</f>
        <v>0</v>
      </c>
      <c r="N171" s="13">
        <v>1</v>
      </c>
      <c r="O171" s="21">
        <f t="shared" si="174"/>
        <v>0</v>
      </c>
      <c r="P171" s="38"/>
      <c r="Q171" s="19">
        <f t="shared" si="175"/>
        <v>0</v>
      </c>
      <c r="R171" s="21">
        <f t="shared" si="176"/>
        <v>0</v>
      </c>
      <c r="S171" s="19">
        <f t="shared" si="177"/>
        <v>5</v>
      </c>
      <c r="T171" s="19">
        <f t="shared" si="178"/>
        <v>145000</v>
      </c>
      <c r="U171" s="21">
        <f t="shared" si="179"/>
        <v>145000</v>
      </c>
      <c r="V171" s="39"/>
      <c r="W171" s="16">
        <v>44</v>
      </c>
      <c r="X171" s="17" t="str">
        <f>VLOOKUP(W171,'DATABASE F&amp;B'!$C$3:$F$216,2,0)</f>
        <v>SOJU JINRO PEACH</v>
      </c>
      <c r="Y171" s="18">
        <v>1</v>
      </c>
      <c r="Z171" s="19">
        <f>VLOOKUP(W171,'DATABASE F&amp;B'!$C$3:$F$216,4,0)</f>
        <v>145000</v>
      </c>
      <c r="AA171" s="19">
        <f t="shared" si="180"/>
        <v>145000</v>
      </c>
      <c r="AB171" s="16"/>
      <c r="AC171" s="17">
        <f>VLOOKUP(AB171,'DATABASE F&amp;B'!$C$3:$F$216,2,0)</f>
        <v>0</v>
      </c>
      <c r="AD171" s="18">
        <v>1</v>
      </c>
      <c r="AE171" s="19">
        <f>VLOOKUP(AB171,'DATABASE F&amp;B'!$C$3:$F$216,4,0)</f>
        <v>0</v>
      </c>
      <c r="AF171" s="19">
        <f t="shared" si="181"/>
        <v>0</v>
      </c>
      <c r="AG171" s="16"/>
      <c r="AH171" s="17">
        <f>VLOOKUP(AG171,'DATABASE F&amp;B'!$C$3:$F$216,2,0)</f>
        <v>0</v>
      </c>
      <c r="AI171" s="18">
        <v>1</v>
      </c>
      <c r="AJ171" s="19">
        <f>VLOOKUP(AG171,'DATABASE F&amp;B'!$C$3:$F$216,4,0)</f>
        <v>0</v>
      </c>
      <c r="AK171" s="19">
        <f t="shared" si="182"/>
        <v>0</v>
      </c>
      <c r="AL171" s="16"/>
      <c r="AM171" s="17">
        <f>VLOOKUP(AL171,'DATABASE F&amp;B'!$C$3:$F$216,2,0)</f>
        <v>0</v>
      </c>
      <c r="AN171" s="18">
        <v>1</v>
      </c>
      <c r="AO171" s="19">
        <f>VLOOKUP(AL171,'DATABASE F&amp;B'!$C$3:$F$216,4,0)</f>
        <v>0</v>
      </c>
      <c r="AP171" s="19">
        <f t="shared" si="183"/>
        <v>0</v>
      </c>
      <c r="AQ171" s="16"/>
      <c r="AR171" s="17">
        <f>VLOOKUP(AQ171,'DATABASE F&amp;B'!$C$3:$F$216,2,0)</f>
        <v>0</v>
      </c>
      <c r="AS171" s="18">
        <v>1</v>
      </c>
      <c r="AT171" s="19">
        <f>VLOOKUP(AQ171,'DATABASE F&amp;B'!$C$3:$F$216,4,0)</f>
        <v>0</v>
      </c>
      <c r="AU171" s="19">
        <f t="shared" si="184"/>
        <v>0</v>
      </c>
      <c r="AV171" s="16"/>
      <c r="AW171" s="17">
        <f>VLOOKUP(AV171,'DATABASE F&amp;B'!$C$3:$F$216,2,0)</f>
        <v>0</v>
      </c>
      <c r="AX171" s="18"/>
      <c r="AY171" s="19">
        <f>VLOOKUP(AV171,'DATABASE F&amp;B'!$C$3:$F$216,4,0)</f>
        <v>0</v>
      </c>
      <c r="AZ171" s="19">
        <f t="shared" si="185"/>
        <v>0</v>
      </c>
      <c r="BA171" s="16"/>
      <c r="BB171" s="17">
        <f>VLOOKUP(BA171,'DATABASE F&amp;B'!$C$3:$F$216,2,0)</f>
        <v>0</v>
      </c>
      <c r="BC171" s="18"/>
      <c r="BD171" s="19">
        <f>VLOOKUP(BA171,'DATABASE F&amp;B'!$C$3:$F$216,4,0)</f>
        <v>0</v>
      </c>
      <c r="BE171" s="19">
        <f t="shared" si="186"/>
        <v>0</v>
      </c>
      <c r="BF171" s="16"/>
      <c r="BG171" s="17">
        <f>VLOOKUP(BF171,'DATABASE F&amp;B'!$C$3:$F$216,2,0)</f>
        <v>0</v>
      </c>
      <c r="BH171" s="18"/>
      <c r="BI171" s="19">
        <f>VLOOKUP(BF171,'DATABASE F&amp;B'!$C$3:$F$216,4,0)</f>
        <v>0</v>
      </c>
      <c r="BJ171" s="19">
        <f t="shared" si="187"/>
        <v>0</v>
      </c>
      <c r="BK171" s="16"/>
      <c r="BL171" s="17">
        <f>VLOOKUP(BK171,'DATABASE F&amp;B'!$C$3:$F$210,2,0)</f>
        <v>0</v>
      </c>
      <c r="BM171" s="18"/>
      <c r="BN171" s="19">
        <f>VLOOKUP(BK171,'DATABASE F&amp;B'!$C$3:$F$210,4,0)</f>
        <v>0</v>
      </c>
      <c r="BO171" s="19">
        <f t="shared" si="188"/>
        <v>0</v>
      </c>
      <c r="BP171" s="16"/>
      <c r="BQ171" s="17">
        <f>VLOOKUP(BP171,'DATABASE F&amp;B'!$C$3:$F$210,2,0)</f>
        <v>0</v>
      </c>
      <c r="BR171" s="18"/>
      <c r="BS171" s="19">
        <f>VLOOKUP(BP171,'DATABASE F&amp;B'!$C$3:$F$210,4,0)</f>
        <v>0</v>
      </c>
      <c r="BT171" s="19">
        <f t="shared" si="189"/>
        <v>0</v>
      </c>
      <c r="BU171" s="16"/>
      <c r="BV171" s="17">
        <f>VLOOKUP(BU171,'DATABASE F&amp;B'!$C$3:$F$210,2,0)</f>
        <v>0</v>
      </c>
      <c r="BW171" s="18"/>
      <c r="BX171" s="19">
        <f>VLOOKUP(BU171,'DATABASE F&amp;B'!$C$3:$F$210,4,0)</f>
        <v>0</v>
      </c>
      <c r="BY171" s="19">
        <f t="shared" si="190"/>
        <v>0</v>
      </c>
      <c r="BZ171" s="16"/>
      <c r="CA171" s="17">
        <f>VLOOKUP(BZ171,'DATABASE F&amp;B'!$C$3:$F$210,2,0)</f>
        <v>0</v>
      </c>
      <c r="CB171" s="18"/>
      <c r="CC171" s="19">
        <f>VLOOKUP(BZ171,'DATABASE F&amp;B'!$C$3:$F$210,4,0)</f>
        <v>0</v>
      </c>
      <c r="CD171" s="19">
        <f t="shared" si="191"/>
        <v>0</v>
      </c>
    </row>
    <row r="172" spans="1:82" ht="13.5" x14ac:dyDescent="0.25">
      <c r="A172" s="32" t="str">
        <f t="shared" si="172"/>
        <v>05-'30-2026</v>
      </c>
      <c r="B172" s="22">
        <f t="shared" si="193"/>
        <v>168</v>
      </c>
      <c r="C172" s="22">
        <f t="shared" si="193"/>
        <v>168</v>
      </c>
      <c r="D172" s="34">
        <v>46172</v>
      </c>
      <c r="E172" s="35" t="s">
        <v>84</v>
      </c>
      <c r="F172" s="35" t="s">
        <v>202</v>
      </c>
      <c r="G172" s="52" t="s">
        <v>81</v>
      </c>
      <c r="H172" s="36" t="str">
        <f t="shared" si="170"/>
        <v>RJ-'300526-168</v>
      </c>
      <c r="I172" s="36" t="str">
        <f t="shared" si="173"/>
        <v>'30-05-2026</v>
      </c>
      <c r="J172" s="37" t="str">
        <f>VLOOKUP(D172,Laporan!$C$4:$D$34,2,0)</f>
        <v>Sabtu</v>
      </c>
      <c r="K172" s="48"/>
      <c r="L172" s="13" t="s">
        <v>33</v>
      </c>
      <c r="M172" s="19">
        <f>SUMIF('DATABASE Room'!$B$3:$B$7,L172,'DATABASE Room'!$D$3:$D$7)</f>
        <v>0</v>
      </c>
      <c r="N172" s="13">
        <v>1</v>
      </c>
      <c r="O172" s="21">
        <f t="shared" si="174"/>
        <v>0</v>
      </c>
      <c r="P172" s="38"/>
      <c r="Q172" s="19">
        <f t="shared" si="175"/>
        <v>0</v>
      </c>
      <c r="R172" s="21">
        <f t="shared" si="176"/>
        <v>0</v>
      </c>
      <c r="S172" s="19">
        <f t="shared" si="177"/>
        <v>5</v>
      </c>
      <c r="T172" s="19">
        <f t="shared" si="178"/>
        <v>22000</v>
      </c>
      <c r="U172" s="21">
        <f t="shared" si="179"/>
        <v>22000</v>
      </c>
      <c r="V172" s="39"/>
      <c r="W172" s="16">
        <v>7</v>
      </c>
      <c r="X172" s="17" t="str">
        <f>VLOOKUP(W172,'DATABASE F&amp;B'!$C$3:$F$216,2,0)</f>
        <v>MACARONI ORI</v>
      </c>
      <c r="Y172" s="18">
        <v>1</v>
      </c>
      <c r="Z172" s="19">
        <f>VLOOKUP(W172,'DATABASE F&amp;B'!$C$3:$F$216,4,0)</f>
        <v>22000</v>
      </c>
      <c r="AA172" s="19">
        <f t="shared" si="180"/>
        <v>22000</v>
      </c>
      <c r="AB172" s="16"/>
      <c r="AC172" s="17">
        <f>VLOOKUP(AB172,'DATABASE F&amp;B'!$C$3:$F$216,2,0)</f>
        <v>0</v>
      </c>
      <c r="AD172" s="18">
        <v>1</v>
      </c>
      <c r="AE172" s="19">
        <f>VLOOKUP(AB172,'DATABASE F&amp;B'!$C$3:$F$216,4,0)</f>
        <v>0</v>
      </c>
      <c r="AF172" s="19">
        <f t="shared" si="181"/>
        <v>0</v>
      </c>
      <c r="AG172" s="16"/>
      <c r="AH172" s="17">
        <f>VLOOKUP(AG172,'DATABASE F&amp;B'!$C$3:$F$216,2,0)</f>
        <v>0</v>
      </c>
      <c r="AI172" s="18">
        <v>1</v>
      </c>
      <c r="AJ172" s="19">
        <f>VLOOKUP(AG172,'DATABASE F&amp;B'!$C$3:$F$216,4,0)</f>
        <v>0</v>
      </c>
      <c r="AK172" s="19">
        <f t="shared" si="182"/>
        <v>0</v>
      </c>
      <c r="AL172" s="16"/>
      <c r="AM172" s="17">
        <f>VLOOKUP(AL172,'DATABASE F&amp;B'!$C$3:$F$216,2,0)</f>
        <v>0</v>
      </c>
      <c r="AN172" s="18">
        <v>1</v>
      </c>
      <c r="AO172" s="19">
        <f>VLOOKUP(AL172,'DATABASE F&amp;B'!$C$3:$F$216,4,0)</f>
        <v>0</v>
      </c>
      <c r="AP172" s="19">
        <f t="shared" si="183"/>
        <v>0</v>
      </c>
      <c r="AQ172" s="16"/>
      <c r="AR172" s="17">
        <f>VLOOKUP(AQ172,'DATABASE F&amp;B'!$C$3:$F$216,2,0)</f>
        <v>0</v>
      </c>
      <c r="AS172" s="18">
        <v>1</v>
      </c>
      <c r="AT172" s="19">
        <f>VLOOKUP(AQ172,'DATABASE F&amp;B'!$C$3:$F$216,4,0)</f>
        <v>0</v>
      </c>
      <c r="AU172" s="19">
        <f t="shared" si="184"/>
        <v>0</v>
      </c>
      <c r="AV172" s="16"/>
      <c r="AW172" s="17">
        <f>VLOOKUP(AV172,'DATABASE F&amp;B'!$C$3:$F$216,2,0)</f>
        <v>0</v>
      </c>
      <c r="AX172" s="18"/>
      <c r="AY172" s="19">
        <f>VLOOKUP(AV172,'DATABASE F&amp;B'!$C$3:$F$216,4,0)</f>
        <v>0</v>
      </c>
      <c r="AZ172" s="19">
        <f t="shared" si="185"/>
        <v>0</v>
      </c>
      <c r="BA172" s="16"/>
      <c r="BB172" s="17">
        <f>VLOOKUP(BA172,'DATABASE F&amp;B'!$C$3:$F$216,2,0)</f>
        <v>0</v>
      </c>
      <c r="BC172" s="18"/>
      <c r="BD172" s="19">
        <f>VLOOKUP(BA172,'DATABASE F&amp;B'!$C$3:$F$216,4,0)</f>
        <v>0</v>
      </c>
      <c r="BE172" s="19">
        <f t="shared" si="186"/>
        <v>0</v>
      </c>
      <c r="BF172" s="16"/>
      <c r="BG172" s="17">
        <f>VLOOKUP(BF172,'DATABASE F&amp;B'!$C$3:$F$216,2,0)</f>
        <v>0</v>
      </c>
      <c r="BH172" s="18"/>
      <c r="BI172" s="19">
        <f>VLOOKUP(BF172,'DATABASE F&amp;B'!$C$3:$F$216,4,0)</f>
        <v>0</v>
      </c>
      <c r="BJ172" s="19">
        <f t="shared" si="187"/>
        <v>0</v>
      </c>
      <c r="BK172" s="16"/>
      <c r="BL172" s="17">
        <f>VLOOKUP(BK172,'DATABASE F&amp;B'!$C$3:$F$210,2,0)</f>
        <v>0</v>
      </c>
      <c r="BM172" s="18"/>
      <c r="BN172" s="19">
        <f>VLOOKUP(BK172,'DATABASE F&amp;B'!$C$3:$F$210,4,0)</f>
        <v>0</v>
      </c>
      <c r="BO172" s="19">
        <f t="shared" si="188"/>
        <v>0</v>
      </c>
      <c r="BP172" s="16"/>
      <c r="BQ172" s="17">
        <f>VLOOKUP(BP172,'DATABASE F&amp;B'!$C$3:$F$210,2,0)</f>
        <v>0</v>
      </c>
      <c r="BR172" s="18"/>
      <c r="BS172" s="19">
        <f>VLOOKUP(BP172,'DATABASE F&amp;B'!$C$3:$F$210,4,0)</f>
        <v>0</v>
      </c>
      <c r="BT172" s="19">
        <f t="shared" si="189"/>
        <v>0</v>
      </c>
      <c r="BU172" s="16"/>
      <c r="BV172" s="17">
        <f>VLOOKUP(BU172,'DATABASE F&amp;B'!$C$3:$F$210,2,0)</f>
        <v>0</v>
      </c>
      <c r="BW172" s="18"/>
      <c r="BX172" s="19">
        <f>VLOOKUP(BU172,'DATABASE F&amp;B'!$C$3:$F$210,4,0)</f>
        <v>0</v>
      </c>
      <c r="BY172" s="19">
        <f t="shared" si="190"/>
        <v>0</v>
      </c>
      <c r="BZ172" s="16"/>
      <c r="CA172" s="17">
        <f>VLOOKUP(BZ172,'DATABASE F&amp;B'!$C$3:$F$210,2,0)</f>
        <v>0</v>
      </c>
      <c r="CB172" s="18"/>
      <c r="CC172" s="19">
        <f>VLOOKUP(BZ172,'DATABASE F&amp;B'!$C$3:$F$210,4,0)</f>
        <v>0</v>
      </c>
      <c r="CD172" s="19">
        <f t="shared" si="191"/>
        <v>0</v>
      </c>
    </row>
    <row r="173" spans="1:82" ht="13.5" x14ac:dyDescent="0.25">
      <c r="A173" s="32" t="str">
        <f t="shared" si="172"/>
        <v>05-'30-2026</v>
      </c>
      <c r="B173" s="22">
        <f t="shared" si="193"/>
        <v>169</v>
      </c>
      <c r="C173" s="22">
        <f t="shared" si="193"/>
        <v>169</v>
      </c>
      <c r="D173" s="34">
        <v>46172</v>
      </c>
      <c r="E173" s="35" t="s">
        <v>84</v>
      </c>
      <c r="F173" s="35" t="s">
        <v>202</v>
      </c>
      <c r="G173" s="52" t="s">
        <v>81</v>
      </c>
      <c r="H173" s="36" t="str">
        <f t="shared" si="170"/>
        <v>RJ-'300526-169</v>
      </c>
      <c r="I173" s="36" t="str">
        <f t="shared" si="173"/>
        <v>'30-05-2026</v>
      </c>
      <c r="J173" s="37" t="str">
        <f>VLOOKUP(D173,Laporan!$C$4:$D$34,2,0)</f>
        <v>Sabtu</v>
      </c>
      <c r="K173" s="48"/>
      <c r="L173" s="13" t="s">
        <v>33</v>
      </c>
      <c r="M173" s="19">
        <f>SUMIF('DATABASE Room'!$B$3:$B$7,L173,'DATABASE Room'!$D$3:$D$7)</f>
        <v>0</v>
      </c>
      <c r="N173" s="13">
        <v>1</v>
      </c>
      <c r="O173" s="21">
        <f t="shared" si="174"/>
        <v>0</v>
      </c>
      <c r="P173" s="38"/>
      <c r="Q173" s="19">
        <f t="shared" si="175"/>
        <v>0</v>
      </c>
      <c r="R173" s="21">
        <f t="shared" si="176"/>
        <v>0</v>
      </c>
      <c r="S173" s="19">
        <f t="shared" si="177"/>
        <v>5</v>
      </c>
      <c r="T173" s="19">
        <f t="shared" si="178"/>
        <v>22000</v>
      </c>
      <c r="U173" s="21">
        <f t="shared" si="179"/>
        <v>22000</v>
      </c>
      <c r="V173" s="39"/>
      <c r="W173" s="16">
        <v>8</v>
      </c>
      <c r="X173" s="17" t="str">
        <f>VLOOKUP(W173,'DATABASE F&amp;B'!$C$3:$F$216,2,0)</f>
        <v>MACARONI PEDES</v>
      </c>
      <c r="Y173" s="18">
        <v>1</v>
      </c>
      <c r="Z173" s="19">
        <f>VLOOKUP(W173,'DATABASE F&amp;B'!$C$3:$F$216,4,0)</f>
        <v>22000</v>
      </c>
      <c r="AA173" s="19">
        <f t="shared" si="180"/>
        <v>22000</v>
      </c>
      <c r="AB173" s="16"/>
      <c r="AC173" s="17">
        <f>VLOOKUP(AB173,'DATABASE F&amp;B'!$C$3:$F$216,2,0)</f>
        <v>0</v>
      </c>
      <c r="AD173" s="18">
        <v>1</v>
      </c>
      <c r="AE173" s="19">
        <f>VLOOKUP(AB173,'DATABASE F&amp;B'!$C$3:$F$216,4,0)</f>
        <v>0</v>
      </c>
      <c r="AF173" s="19">
        <f t="shared" si="181"/>
        <v>0</v>
      </c>
      <c r="AG173" s="16"/>
      <c r="AH173" s="17">
        <f>VLOOKUP(AG173,'DATABASE F&amp;B'!$C$3:$F$216,2,0)</f>
        <v>0</v>
      </c>
      <c r="AI173" s="18">
        <v>1</v>
      </c>
      <c r="AJ173" s="19">
        <f>VLOOKUP(AG173,'DATABASE F&amp;B'!$C$3:$F$216,4,0)</f>
        <v>0</v>
      </c>
      <c r="AK173" s="19">
        <f t="shared" si="182"/>
        <v>0</v>
      </c>
      <c r="AL173" s="16"/>
      <c r="AM173" s="17">
        <f>VLOOKUP(AL173,'DATABASE F&amp;B'!$C$3:$F$216,2,0)</f>
        <v>0</v>
      </c>
      <c r="AN173" s="18">
        <v>1</v>
      </c>
      <c r="AO173" s="19">
        <f>VLOOKUP(AL173,'DATABASE F&amp;B'!$C$3:$F$216,4,0)</f>
        <v>0</v>
      </c>
      <c r="AP173" s="19">
        <f t="shared" si="183"/>
        <v>0</v>
      </c>
      <c r="AQ173" s="16"/>
      <c r="AR173" s="17">
        <f>VLOOKUP(AQ173,'DATABASE F&amp;B'!$C$3:$F$216,2,0)</f>
        <v>0</v>
      </c>
      <c r="AS173" s="18">
        <v>1</v>
      </c>
      <c r="AT173" s="19">
        <f>VLOOKUP(AQ173,'DATABASE F&amp;B'!$C$3:$F$216,4,0)</f>
        <v>0</v>
      </c>
      <c r="AU173" s="19">
        <f t="shared" si="184"/>
        <v>0</v>
      </c>
      <c r="AV173" s="16"/>
      <c r="AW173" s="17">
        <f>VLOOKUP(AV173,'DATABASE F&amp;B'!$C$3:$F$216,2,0)</f>
        <v>0</v>
      </c>
      <c r="AX173" s="18"/>
      <c r="AY173" s="19">
        <f>VLOOKUP(AV173,'DATABASE F&amp;B'!$C$3:$F$216,4,0)</f>
        <v>0</v>
      </c>
      <c r="AZ173" s="19">
        <f t="shared" si="185"/>
        <v>0</v>
      </c>
      <c r="BA173" s="16"/>
      <c r="BB173" s="17">
        <f>VLOOKUP(BA173,'DATABASE F&amp;B'!$C$3:$F$216,2,0)</f>
        <v>0</v>
      </c>
      <c r="BC173" s="18"/>
      <c r="BD173" s="19">
        <f>VLOOKUP(BA173,'DATABASE F&amp;B'!$C$3:$F$216,4,0)</f>
        <v>0</v>
      </c>
      <c r="BE173" s="19">
        <f t="shared" si="186"/>
        <v>0</v>
      </c>
      <c r="BF173" s="16"/>
      <c r="BG173" s="17">
        <f>VLOOKUP(BF173,'DATABASE F&amp;B'!$C$3:$F$216,2,0)</f>
        <v>0</v>
      </c>
      <c r="BH173" s="18"/>
      <c r="BI173" s="19">
        <f>VLOOKUP(BF173,'DATABASE F&amp;B'!$C$3:$F$216,4,0)</f>
        <v>0</v>
      </c>
      <c r="BJ173" s="19">
        <f t="shared" si="187"/>
        <v>0</v>
      </c>
      <c r="BK173" s="16"/>
      <c r="BL173" s="17">
        <f>VLOOKUP(BK173,'DATABASE F&amp;B'!$C$3:$F$210,2,0)</f>
        <v>0</v>
      </c>
      <c r="BM173" s="18"/>
      <c r="BN173" s="19">
        <f>VLOOKUP(BK173,'DATABASE F&amp;B'!$C$3:$F$210,4,0)</f>
        <v>0</v>
      </c>
      <c r="BO173" s="19">
        <f t="shared" si="188"/>
        <v>0</v>
      </c>
      <c r="BP173" s="16"/>
      <c r="BQ173" s="17">
        <f>VLOOKUP(BP173,'DATABASE F&amp;B'!$C$3:$F$210,2,0)</f>
        <v>0</v>
      </c>
      <c r="BR173" s="18"/>
      <c r="BS173" s="19">
        <f>VLOOKUP(BP173,'DATABASE F&amp;B'!$C$3:$F$210,4,0)</f>
        <v>0</v>
      </c>
      <c r="BT173" s="19">
        <f t="shared" si="189"/>
        <v>0</v>
      </c>
      <c r="BU173" s="16"/>
      <c r="BV173" s="17">
        <f>VLOOKUP(BU173,'DATABASE F&amp;B'!$C$3:$F$210,2,0)</f>
        <v>0</v>
      </c>
      <c r="BW173" s="18"/>
      <c r="BX173" s="19">
        <f>VLOOKUP(BU173,'DATABASE F&amp;B'!$C$3:$F$210,4,0)</f>
        <v>0</v>
      </c>
      <c r="BY173" s="19">
        <f t="shared" si="190"/>
        <v>0</v>
      </c>
      <c r="BZ173" s="16"/>
      <c r="CA173" s="17">
        <f>VLOOKUP(BZ173,'DATABASE F&amp;B'!$C$3:$F$210,2,0)</f>
        <v>0</v>
      </c>
      <c r="CB173" s="18"/>
      <c r="CC173" s="19">
        <f>VLOOKUP(BZ173,'DATABASE F&amp;B'!$C$3:$F$210,4,0)</f>
        <v>0</v>
      </c>
      <c r="CD173" s="19">
        <f t="shared" si="191"/>
        <v>0</v>
      </c>
    </row>
    <row r="174" spans="1:82" ht="13.5" x14ac:dyDescent="0.25">
      <c r="A174" s="32" t="str">
        <f t="shared" si="172"/>
        <v>05-'30-2026</v>
      </c>
      <c r="B174" s="22">
        <f t="shared" si="193"/>
        <v>170</v>
      </c>
      <c r="C174" s="22">
        <f t="shared" si="193"/>
        <v>170</v>
      </c>
      <c r="D174" s="34">
        <v>46172</v>
      </c>
      <c r="E174" s="35" t="s">
        <v>84</v>
      </c>
      <c r="F174" s="35" t="s">
        <v>202</v>
      </c>
      <c r="G174" s="52" t="s">
        <v>81</v>
      </c>
      <c r="H174" s="36" t="str">
        <f t="shared" si="170"/>
        <v>RJ-'300526-170</v>
      </c>
      <c r="I174" s="36" t="str">
        <f t="shared" si="173"/>
        <v>'30-05-2026</v>
      </c>
      <c r="J174" s="37" t="str">
        <f>VLOOKUP(D174,Laporan!$C$4:$D$34,2,0)</f>
        <v>Sabtu</v>
      </c>
      <c r="K174" s="48"/>
      <c r="L174" s="13" t="s">
        <v>33</v>
      </c>
      <c r="M174" s="19">
        <f>SUMIF('DATABASE Room'!$B$3:$B$7,L174,'DATABASE Room'!$D$3:$D$7)</f>
        <v>0</v>
      </c>
      <c r="N174" s="13">
        <v>1</v>
      </c>
      <c r="O174" s="21">
        <f t="shared" si="174"/>
        <v>0</v>
      </c>
      <c r="P174" s="38"/>
      <c r="Q174" s="19">
        <f t="shared" si="175"/>
        <v>0</v>
      </c>
      <c r="R174" s="21">
        <f t="shared" si="176"/>
        <v>0</v>
      </c>
      <c r="S174" s="19">
        <f t="shared" si="177"/>
        <v>5</v>
      </c>
      <c r="T174" s="19">
        <f t="shared" si="178"/>
        <v>85000</v>
      </c>
      <c r="U174" s="21">
        <f t="shared" si="179"/>
        <v>85000</v>
      </c>
      <c r="V174" s="39"/>
      <c r="W174" s="16">
        <v>9</v>
      </c>
      <c r="X174" s="17" t="str">
        <f>VLOOKUP(W174,'DATABASE F&amp;B'!$C$3:$F$216,2,0)</f>
        <v>MIE REMES ORI</v>
      </c>
      <c r="Y174" s="18">
        <v>1</v>
      </c>
      <c r="Z174" s="19">
        <f>VLOOKUP(W174,'DATABASE F&amp;B'!$C$3:$F$216,4,0)</f>
        <v>30000</v>
      </c>
      <c r="AA174" s="19">
        <f t="shared" si="180"/>
        <v>30000</v>
      </c>
      <c r="AB174" s="16">
        <v>100</v>
      </c>
      <c r="AC174" s="17" t="str">
        <f>VLOOKUP(AB174,'DATABASE F&amp;B'!$C$3:$F$216,2,0)</f>
        <v>GG SURYA 16</v>
      </c>
      <c r="AD174" s="18">
        <v>1</v>
      </c>
      <c r="AE174" s="19">
        <f>VLOOKUP(AB174,'DATABASE F&amp;B'!$C$3:$F$216,4,0)</f>
        <v>55000</v>
      </c>
      <c r="AF174" s="19">
        <f t="shared" si="181"/>
        <v>55000</v>
      </c>
      <c r="AG174" s="16"/>
      <c r="AH174" s="17">
        <f>VLOOKUP(AG174,'DATABASE F&amp;B'!$C$3:$F$216,2,0)</f>
        <v>0</v>
      </c>
      <c r="AI174" s="18">
        <v>1</v>
      </c>
      <c r="AJ174" s="19">
        <f>VLOOKUP(AG174,'DATABASE F&amp;B'!$C$3:$F$216,4,0)</f>
        <v>0</v>
      </c>
      <c r="AK174" s="19">
        <f t="shared" si="182"/>
        <v>0</v>
      </c>
      <c r="AL174" s="16"/>
      <c r="AM174" s="17">
        <f>VLOOKUP(AL174,'DATABASE F&amp;B'!$C$3:$F$216,2,0)</f>
        <v>0</v>
      </c>
      <c r="AN174" s="18">
        <v>1</v>
      </c>
      <c r="AO174" s="19">
        <f>VLOOKUP(AL174,'DATABASE F&amp;B'!$C$3:$F$216,4,0)</f>
        <v>0</v>
      </c>
      <c r="AP174" s="19">
        <f t="shared" si="183"/>
        <v>0</v>
      </c>
      <c r="AQ174" s="16"/>
      <c r="AR174" s="17">
        <f>VLOOKUP(AQ174,'DATABASE F&amp;B'!$C$3:$F$216,2,0)</f>
        <v>0</v>
      </c>
      <c r="AS174" s="18">
        <v>1</v>
      </c>
      <c r="AT174" s="19">
        <f>VLOOKUP(AQ174,'DATABASE F&amp;B'!$C$3:$F$216,4,0)</f>
        <v>0</v>
      </c>
      <c r="AU174" s="19">
        <f t="shared" si="184"/>
        <v>0</v>
      </c>
      <c r="AV174" s="16"/>
      <c r="AW174" s="17">
        <f>VLOOKUP(AV174,'DATABASE F&amp;B'!$C$3:$F$216,2,0)</f>
        <v>0</v>
      </c>
      <c r="AX174" s="18"/>
      <c r="AY174" s="19">
        <f>VLOOKUP(AV174,'DATABASE F&amp;B'!$C$3:$F$216,4,0)</f>
        <v>0</v>
      </c>
      <c r="AZ174" s="19">
        <f t="shared" si="185"/>
        <v>0</v>
      </c>
      <c r="BA174" s="16"/>
      <c r="BB174" s="17">
        <f>VLOOKUP(BA174,'DATABASE F&amp;B'!$C$3:$F$216,2,0)</f>
        <v>0</v>
      </c>
      <c r="BC174" s="18"/>
      <c r="BD174" s="19">
        <f>VLOOKUP(BA174,'DATABASE F&amp;B'!$C$3:$F$216,4,0)</f>
        <v>0</v>
      </c>
      <c r="BE174" s="19">
        <f t="shared" si="186"/>
        <v>0</v>
      </c>
      <c r="BF174" s="16"/>
      <c r="BG174" s="17">
        <f>VLOOKUP(BF174,'DATABASE F&amp;B'!$C$3:$F$216,2,0)</f>
        <v>0</v>
      </c>
      <c r="BH174" s="18"/>
      <c r="BI174" s="19">
        <f>VLOOKUP(BF174,'DATABASE F&amp;B'!$C$3:$F$216,4,0)</f>
        <v>0</v>
      </c>
      <c r="BJ174" s="19">
        <f t="shared" si="187"/>
        <v>0</v>
      </c>
      <c r="BK174" s="16"/>
      <c r="BL174" s="17">
        <f>VLOOKUP(BK174,'DATABASE F&amp;B'!$C$3:$F$210,2,0)</f>
        <v>0</v>
      </c>
      <c r="BM174" s="18"/>
      <c r="BN174" s="19">
        <f>VLOOKUP(BK174,'DATABASE F&amp;B'!$C$3:$F$210,4,0)</f>
        <v>0</v>
      </c>
      <c r="BO174" s="19">
        <f t="shared" si="188"/>
        <v>0</v>
      </c>
      <c r="BP174" s="16"/>
      <c r="BQ174" s="17">
        <f>VLOOKUP(BP174,'DATABASE F&amp;B'!$C$3:$F$210,2,0)</f>
        <v>0</v>
      </c>
      <c r="BR174" s="18"/>
      <c r="BS174" s="19">
        <f>VLOOKUP(BP174,'DATABASE F&amp;B'!$C$3:$F$210,4,0)</f>
        <v>0</v>
      </c>
      <c r="BT174" s="19">
        <f t="shared" si="189"/>
        <v>0</v>
      </c>
      <c r="BU174" s="16"/>
      <c r="BV174" s="17">
        <f>VLOOKUP(BU174,'DATABASE F&amp;B'!$C$3:$F$210,2,0)</f>
        <v>0</v>
      </c>
      <c r="BW174" s="18"/>
      <c r="BX174" s="19">
        <f>VLOOKUP(BU174,'DATABASE F&amp;B'!$C$3:$F$210,4,0)</f>
        <v>0</v>
      </c>
      <c r="BY174" s="19">
        <f t="shared" si="190"/>
        <v>0</v>
      </c>
      <c r="BZ174" s="16"/>
      <c r="CA174" s="17">
        <f>VLOOKUP(BZ174,'DATABASE F&amp;B'!$C$3:$F$210,2,0)</f>
        <v>0</v>
      </c>
      <c r="CB174" s="18"/>
      <c r="CC174" s="19">
        <f>VLOOKUP(BZ174,'DATABASE F&amp;B'!$C$3:$F$210,4,0)</f>
        <v>0</v>
      </c>
      <c r="CD174" s="19">
        <f t="shared" si="191"/>
        <v>0</v>
      </c>
    </row>
    <row r="175" spans="1:82" ht="13.5" x14ac:dyDescent="0.25">
      <c r="A175" s="32" t="str">
        <f t="shared" si="172"/>
        <v>05-'30-2026</v>
      </c>
      <c r="B175" s="22">
        <f t="shared" si="193"/>
        <v>171</v>
      </c>
      <c r="C175" s="22">
        <f t="shared" si="193"/>
        <v>171</v>
      </c>
      <c r="D175" s="34">
        <v>46172</v>
      </c>
      <c r="E175" s="35" t="s">
        <v>84</v>
      </c>
      <c r="F175" s="35" t="s">
        <v>202</v>
      </c>
      <c r="G175" s="52" t="s">
        <v>81</v>
      </c>
      <c r="H175" s="36" t="str">
        <f t="shared" si="170"/>
        <v>RJ-'300526-171</v>
      </c>
      <c r="I175" s="36" t="str">
        <f t="shared" si="173"/>
        <v>'30-05-2026</v>
      </c>
      <c r="J175" s="37" t="str">
        <f>VLOOKUP(D175,Laporan!$C$4:$D$34,2,0)</f>
        <v>Sabtu</v>
      </c>
      <c r="K175" s="48"/>
      <c r="L175" s="13" t="s">
        <v>33</v>
      </c>
      <c r="M175" s="19">
        <f>SUMIF('DATABASE Room'!$B$3:$B$7,L175,'DATABASE Room'!$D$3:$D$7)</f>
        <v>0</v>
      </c>
      <c r="N175" s="13">
        <v>1</v>
      </c>
      <c r="O175" s="21">
        <f t="shared" si="174"/>
        <v>0</v>
      </c>
      <c r="P175" s="38"/>
      <c r="Q175" s="19">
        <f t="shared" si="175"/>
        <v>0</v>
      </c>
      <c r="R175" s="21">
        <f t="shared" si="176"/>
        <v>0</v>
      </c>
      <c r="S175" s="19">
        <f t="shared" si="177"/>
        <v>5</v>
      </c>
      <c r="T175" s="19">
        <f t="shared" si="178"/>
        <v>28000</v>
      </c>
      <c r="U175" s="21">
        <f t="shared" si="179"/>
        <v>28000</v>
      </c>
      <c r="V175" s="39"/>
      <c r="W175" s="16">
        <v>10</v>
      </c>
      <c r="X175" s="17" t="str">
        <f>VLOOKUP(W175,'DATABASE F&amp;B'!$C$3:$F$216,2,0)</f>
        <v>KACANG LOFET DK</v>
      </c>
      <c r="Y175" s="18">
        <v>1</v>
      </c>
      <c r="Z175" s="19">
        <f>VLOOKUP(W175,'DATABASE F&amp;B'!$C$3:$F$216,4,0)</f>
        <v>28000</v>
      </c>
      <c r="AA175" s="19">
        <f t="shared" si="180"/>
        <v>28000</v>
      </c>
      <c r="AB175" s="16"/>
      <c r="AC175" s="17">
        <f>VLOOKUP(AB175,'DATABASE F&amp;B'!$C$3:$F$216,2,0)</f>
        <v>0</v>
      </c>
      <c r="AD175" s="18">
        <v>1</v>
      </c>
      <c r="AE175" s="19">
        <f>VLOOKUP(AB175,'DATABASE F&amp;B'!$C$3:$F$216,4,0)</f>
        <v>0</v>
      </c>
      <c r="AF175" s="19">
        <f t="shared" si="181"/>
        <v>0</v>
      </c>
      <c r="AG175" s="16"/>
      <c r="AH175" s="17">
        <f>VLOOKUP(AG175,'DATABASE F&amp;B'!$C$3:$F$216,2,0)</f>
        <v>0</v>
      </c>
      <c r="AI175" s="18">
        <v>1</v>
      </c>
      <c r="AJ175" s="19">
        <f>VLOOKUP(AG175,'DATABASE F&amp;B'!$C$3:$F$216,4,0)</f>
        <v>0</v>
      </c>
      <c r="AK175" s="19">
        <f t="shared" si="182"/>
        <v>0</v>
      </c>
      <c r="AL175" s="16"/>
      <c r="AM175" s="17">
        <f>VLOOKUP(AL175,'DATABASE F&amp;B'!$C$3:$F$216,2,0)</f>
        <v>0</v>
      </c>
      <c r="AN175" s="18">
        <v>1</v>
      </c>
      <c r="AO175" s="19">
        <f>VLOOKUP(AL175,'DATABASE F&amp;B'!$C$3:$F$216,4,0)</f>
        <v>0</v>
      </c>
      <c r="AP175" s="19">
        <f t="shared" si="183"/>
        <v>0</v>
      </c>
      <c r="AQ175" s="16"/>
      <c r="AR175" s="17">
        <f>VLOOKUP(AQ175,'DATABASE F&amp;B'!$C$3:$F$216,2,0)</f>
        <v>0</v>
      </c>
      <c r="AS175" s="18">
        <v>1</v>
      </c>
      <c r="AT175" s="19">
        <f>VLOOKUP(AQ175,'DATABASE F&amp;B'!$C$3:$F$216,4,0)</f>
        <v>0</v>
      </c>
      <c r="AU175" s="19">
        <f t="shared" si="184"/>
        <v>0</v>
      </c>
      <c r="AV175" s="16"/>
      <c r="AW175" s="17">
        <f>VLOOKUP(AV175,'DATABASE F&amp;B'!$C$3:$F$216,2,0)</f>
        <v>0</v>
      </c>
      <c r="AX175" s="18"/>
      <c r="AY175" s="19">
        <f>VLOOKUP(AV175,'DATABASE F&amp;B'!$C$3:$F$216,4,0)</f>
        <v>0</v>
      </c>
      <c r="AZ175" s="19">
        <f t="shared" si="185"/>
        <v>0</v>
      </c>
      <c r="BA175" s="16"/>
      <c r="BB175" s="17">
        <f>VLOOKUP(BA175,'DATABASE F&amp;B'!$C$3:$F$216,2,0)</f>
        <v>0</v>
      </c>
      <c r="BC175" s="18"/>
      <c r="BD175" s="19">
        <f>VLOOKUP(BA175,'DATABASE F&amp;B'!$C$3:$F$216,4,0)</f>
        <v>0</v>
      </c>
      <c r="BE175" s="19">
        <f t="shared" si="186"/>
        <v>0</v>
      </c>
      <c r="BF175" s="16"/>
      <c r="BG175" s="17">
        <f>VLOOKUP(BF175,'DATABASE F&amp;B'!$C$3:$F$216,2,0)</f>
        <v>0</v>
      </c>
      <c r="BH175" s="18"/>
      <c r="BI175" s="19">
        <f>VLOOKUP(BF175,'DATABASE F&amp;B'!$C$3:$F$216,4,0)</f>
        <v>0</v>
      </c>
      <c r="BJ175" s="19">
        <f t="shared" si="187"/>
        <v>0</v>
      </c>
      <c r="BK175" s="16"/>
      <c r="BL175" s="17">
        <f>VLOOKUP(BK175,'DATABASE F&amp;B'!$C$3:$F$210,2,0)</f>
        <v>0</v>
      </c>
      <c r="BM175" s="18"/>
      <c r="BN175" s="19">
        <f>VLOOKUP(BK175,'DATABASE F&amp;B'!$C$3:$F$210,4,0)</f>
        <v>0</v>
      </c>
      <c r="BO175" s="19">
        <f t="shared" si="188"/>
        <v>0</v>
      </c>
      <c r="BP175" s="16"/>
      <c r="BQ175" s="17">
        <f>VLOOKUP(BP175,'DATABASE F&amp;B'!$C$3:$F$210,2,0)</f>
        <v>0</v>
      </c>
      <c r="BR175" s="18"/>
      <c r="BS175" s="19">
        <f>VLOOKUP(BP175,'DATABASE F&amp;B'!$C$3:$F$210,4,0)</f>
        <v>0</v>
      </c>
      <c r="BT175" s="19">
        <f t="shared" si="189"/>
        <v>0</v>
      </c>
      <c r="BU175" s="16"/>
      <c r="BV175" s="17">
        <f>VLOOKUP(BU175,'DATABASE F&amp;B'!$C$3:$F$210,2,0)</f>
        <v>0</v>
      </c>
      <c r="BW175" s="18"/>
      <c r="BX175" s="19">
        <f>VLOOKUP(BU175,'DATABASE F&amp;B'!$C$3:$F$210,4,0)</f>
        <v>0</v>
      </c>
      <c r="BY175" s="19">
        <f t="shared" si="190"/>
        <v>0</v>
      </c>
      <c r="BZ175" s="16"/>
      <c r="CA175" s="17">
        <f>VLOOKUP(BZ175,'DATABASE F&amp;B'!$C$3:$F$210,2,0)</f>
        <v>0</v>
      </c>
      <c r="CB175" s="18"/>
      <c r="CC175" s="19">
        <f>VLOOKUP(BZ175,'DATABASE F&amp;B'!$C$3:$F$210,4,0)</f>
        <v>0</v>
      </c>
      <c r="CD175" s="19">
        <f t="shared" si="191"/>
        <v>0</v>
      </c>
    </row>
    <row r="176" spans="1:82" ht="13.5" x14ac:dyDescent="0.25">
      <c r="A176" s="32" t="str">
        <f t="shared" si="172"/>
        <v>05-'31-2026</v>
      </c>
      <c r="B176" s="22">
        <f t="shared" si="193"/>
        <v>172</v>
      </c>
      <c r="C176" s="22">
        <f t="shared" si="193"/>
        <v>172</v>
      </c>
      <c r="D176" s="34">
        <v>46173</v>
      </c>
      <c r="E176" s="35" t="s">
        <v>203</v>
      </c>
      <c r="F176" s="35" t="s">
        <v>202</v>
      </c>
      <c r="G176" s="52" t="s">
        <v>81</v>
      </c>
      <c r="H176" s="36" t="str">
        <f t="shared" si="170"/>
        <v>RJ-'310526-172</v>
      </c>
      <c r="I176" s="36" t="str">
        <f t="shared" si="173"/>
        <v>'31-05-2026</v>
      </c>
      <c r="J176" s="37" t="str">
        <f>VLOOKUP(D176,Laporan!$C$4:$D$34,2,0)</f>
        <v>Minggu</v>
      </c>
      <c r="K176" s="48"/>
      <c r="L176" s="13" t="s">
        <v>33</v>
      </c>
      <c r="M176" s="19">
        <f>SUMIF('DATABASE Room'!$B$3:$B$7,L176,'DATABASE Room'!$D$3:$D$7)</f>
        <v>0</v>
      </c>
      <c r="N176" s="13">
        <v>1</v>
      </c>
      <c r="O176" s="21">
        <f t="shared" si="174"/>
        <v>0</v>
      </c>
      <c r="P176" s="38"/>
      <c r="Q176" s="19">
        <f t="shared" si="175"/>
        <v>0</v>
      </c>
      <c r="R176" s="21">
        <f t="shared" si="176"/>
        <v>0</v>
      </c>
      <c r="S176" s="19">
        <f t="shared" si="177"/>
        <v>5</v>
      </c>
      <c r="T176" s="19">
        <f t="shared" si="178"/>
        <v>28000</v>
      </c>
      <c r="U176" s="21">
        <f t="shared" si="179"/>
        <v>28000</v>
      </c>
      <c r="V176" s="39"/>
      <c r="W176" s="16">
        <v>11</v>
      </c>
      <c r="X176" s="17" t="str">
        <f>VLOOKUP(W176,'DATABASE F&amp;B'!$C$3:$F$216,2,0)</f>
        <v>KACANG MIX DK</v>
      </c>
      <c r="Y176" s="18">
        <v>1</v>
      </c>
      <c r="Z176" s="19">
        <f>VLOOKUP(W176,'DATABASE F&amp;B'!$C$3:$F$216,4,0)</f>
        <v>28000</v>
      </c>
      <c r="AA176" s="19">
        <f t="shared" si="180"/>
        <v>28000</v>
      </c>
      <c r="AB176" s="16"/>
      <c r="AC176" s="17">
        <f>VLOOKUP(AB176,'DATABASE F&amp;B'!$C$3:$F$216,2,0)</f>
        <v>0</v>
      </c>
      <c r="AD176" s="18">
        <v>1</v>
      </c>
      <c r="AE176" s="19">
        <f>VLOOKUP(AB176,'DATABASE F&amp;B'!$C$3:$F$216,4,0)</f>
        <v>0</v>
      </c>
      <c r="AF176" s="19">
        <f t="shared" si="181"/>
        <v>0</v>
      </c>
      <c r="AG176" s="16"/>
      <c r="AH176" s="17">
        <f>VLOOKUP(AG176,'DATABASE F&amp;B'!$C$3:$F$216,2,0)</f>
        <v>0</v>
      </c>
      <c r="AI176" s="18">
        <v>1</v>
      </c>
      <c r="AJ176" s="19">
        <f>VLOOKUP(AG176,'DATABASE F&amp;B'!$C$3:$F$216,4,0)</f>
        <v>0</v>
      </c>
      <c r="AK176" s="19">
        <f t="shared" si="182"/>
        <v>0</v>
      </c>
      <c r="AL176" s="16"/>
      <c r="AM176" s="17">
        <f>VLOOKUP(AL176,'DATABASE F&amp;B'!$C$3:$F$216,2,0)</f>
        <v>0</v>
      </c>
      <c r="AN176" s="18">
        <v>1</v>
      </c>
      <c r="AO176" s="19">
        <f>VLOOKUP(AL176,'DATABASE F&amp;B'!$C$3:$F$216,4,0)</f>
        <v>0</v>
      </c>
      <c r="AP176" s="19">
        <f t="shared" si="183"/>
        <v>0</v>
      </c>
      <c r="AQ176" s="16"/>
      <c r="AR176" s="17">
        <f>VLOOKUP(AQ176,'DATABASE F&amp;B'!$C$3:$F$216,2,0)</f>
        <v>0</v>
      </c>
      <c r="AS176" s="18">
        <v>1</v>
      </c>
      <c r="AT176" s="19">
        <f>VLOOKUP(AQ176,'DATABASE F&amp;B'!$C$3:$F$216,4,0)</f>
        <v>0</v>
      </c>
      <c r="AU176" s="19">
        <f t="shared" si="184"/>
        <v>0</v>
      </c>
      <c r="AV176" s="16"/>
      <c r="AW176" s="17">
        <f>VLOOKUP(AV176,'DATABASE F&amp;B'!$C$3:$F$216,2,0)</f>
        <v>0</v>
      </c>
      <c r="AX176" s="18"/>
      <c r="AY176" s="19">
        <f>VLOOKUP(AV176,'DATABASE F&amp;B'!$C$3:$F$216,4,0)</f>
        <v>0</v>
      </c>
      <c r="AZ176" s="19">
        <f t="shared" si="185"/>
        <v>0</v>
      </c>
      <c r="BA176" s="16"/>
      <c r="BB176" s="17">
        <f>VLOOKUP(BA176,'DATABASE F&amp;B'!$C$3:$F$216,2,0)</f>
        <v>0</v>
      </c>
      <c r="BC176" s="18"/>
      <c r="BD176" s="19">
        <f>VLOOKUP(BA176,'DATABASE F&amp;B'!$C$3:$F$216,4,0)</f>
        <v>0</v>
      </c>
      <c r="BE176" s="19">
        <f t="shared" si="186"/>
        <v>0</v>
      </c>
      <c r="BF176" s="16"/>
      <c r="BG176" s="17">
        <f>VLOOKUP(BF176,'DATABASE F&amp;B'!$C$3:$F$216,2,0)</f>
        <v>0</v>
      </c>
      <c r="BH176" s="18"/>
      <c r="BI176" s="19">
        <f>VLOOKUP(BF176,'DATABASE F&amp;B'!$C$3:$F$216,4,0)</f>
        <v>0</v>
      </c>
      <c r="BJ176" s="19">
        <f t="shared" si="187"/>
        <v>0</v>
      </c>
      <c r="BK176" s="16"/>
      <c r="BL176" s="17">
        <f>VLOOKUP(BK176,'DATABASE F&amp;B'!$C$3:$F$210,2,0)</f>
        <v>0</v>
      </c>
      <c r="BM176" s="18"/>
      <c r="BN176" s="19">
        <f>VLOOKUP(BK176,'DATABASE F&amp;B'!$C$3:$F$210,4,0)</f>
        <v>0</v>
      </c>
      <c r="BO176" s="19">
        <f t="shared" si="188"/>
        <v>0</v>
      </c>
      <c r="BP176" s="16"/>
      <c r="BQ176" s="17">
        <f>VLOOKUP(BP176,'DATABASE F&amp;B'!$C$3:$F$210,2,0)</f>
        <v>0</v>
      </c>
      <c r="BR176" s="18"/>
      <c r="BS176" s="19">
        <f>VLOOKUP(BP176,'DATABASE F&amp;B'!$C$3:$F$210,4,0)</f>
        <v>0</v>
      </c>
      <c r="BT176" s="19">
        <f t="shared" si="189"/>
        <v>0</v>
      </c>
      <c r="BU176" s="16"/>
      <c r="BV176" s="17">
        <f>VLOOKUP(BU176,'DATABASE F&amp;B'!$C$3:$F$210,2,0)</f>
        <v>0</v>
      </c>
      <c r="BW176" s="18"/>
      <c r="BX176" s="19">
        <f>VLOOKUP(BU176,'DATABASE F&amp;B'!$C$3:$F$210,4,0)</f>
        <v>0</v>
      </c>
      <c r="BY176" s="19">
        <f t="shared" si="190"/>
        <v>0</v>
      </c>
      <c r="BZ176" s="16"/>
      <c r="CA176" s="17">
        <f>VLOOKUP(BZ176,'DATABASE F&amp;B'!$C$3:$F$210,2,0)</f>
        <v>0</v>
      </c>
      <c r="CB176" s="18"/>
      <c r="CC176" s="19">
        <f>VLOOKUP(BZ176,'DATABASE F&amp;B'!$C$3:$F$210,4,0)</f>
        <v>0</v>
      </c>
      <c r="CD176" s="19">
        <f t="shared" si="191"/>
        <v>0</v>
      </c>
    </row>
    <row r="177" spans="1:82" ht="13.5" x14ac:dyDescent="0.25">
      <c r="A177" s="32" t="str">
        <f t="shared" si="172"/>
        <v>05-'31-2026</v>
      </c>
      <c r="B177" s="22">
        <f t="shared" si="193"/>
        <v>173</v>
      </c>
      <c r="C177" s="22">
        <f t="shared" si="193"/>
        <v>173</v>
      </c>
      <c r="D177" s="34">
        <v>46173</v>
      </c>
      <c r="E177" s="35" t="s">
        <v>203</v>
      </c>
      <c r="F177" s="35" t="s">
        <v>202</v>
      </c>
      <c r="G177" s="52" t="s">
        <v>81</v>
      </c>
      <c r="H177" s="36" t="str">
        <f t="shared" si="170"/>
        <v>RJ-'310526-173</v>
      </c>
      <c r="I177" s="36" t="str">
        <f t="shared" si="173"/>
        <v>'31-05-2026</v>
      </c>
      <c r="J177" s="37" t="str">
        <f>VLOOKUP(D177,Laporan!$C$4:$D$34,2,0)</f>
        <v>Minggu</v>
      </c>
      <c r="K177" s="48"/>
      <c r="L177" s="13" t="s">
        <v>33</v>
      </c>
      <c r="M177" s="19">
        <f>SUMIF('DATABASE Room'!$B$3:$B$7,L177,'DATABASE Room'!$D$3:$D$7)</f>
        <v>0</v>
      </c>
      <c r="N177" s="13">
        <v>1</v>
      </c>
      <c r="O177" s="21">
        <f t="shared" si="174"/>
        <v>0</v>
      </c>
      <c r="P177" s="38"/>
      <c r="Q177" s="19">
        <f t="shared" si="175"/>
        <v>0</v>
      </c>
      <c r="R177" s="21">
        <f t="shared" si="176"/>
        <v>0</v>
      </c>
      <c r="S177" s="19">
        <f t="shared" si="177"/>
        <v>5</v>
      </c>
      <c r="T177" s="19">
        <f t="shared" si="178"/>
        <v>24000</v>
      </c>
      <c r="U177" s="21">
        <f t="shared" si="179"/>
        <v>24000</v>
      </c>
      <c r="V177" s="39"/>
      <c r="W177" s="16">
        <v>12</v>
      </c>
      <c r="X177" s="17" t="str">
        <f>VLOOKUP(W177,'DATABASE F&amp;B'!$C$3:$F$216,2,0)</f>
        <v>HANDCUTTED TRUFFLES FRIES</v>
      </c>
      <c r="Y177" s="18">
        <v>1</v>
      </c>
      <c r="Z177" s="19">
        <f>VLOOKUP(W177,'DATABASE F&amp;B'!$C$3:$F$216,4,0)</f>
        <v>24000</v>
      </c>
      <c r="AA177" s="19">
        <f t="shared" si="180"/>
        <v>24000</v>
      </c>
      <c r="AB177" s="16"/>
      <c r="AC177" s="17">
        <f>VLOOKUP(AB177,'DATABASE F&amp;B'!$C$3:$F$216,2,0)</f>
        <v>0</v>
      </c>
      <c r="AD177" s="18">
        <v>1</v>
      </c>
      <c r="AE177" s="19">
        <f>VLOOKUP(AB177,'DATABASE F&amp;B'!$C$3:$F$216,4,0)</f>
        <v>0</v>
      </c>
      <c r="AF177" s="19">
        <f t="shared" si="181"/>
        <v>0</v>
      </c>
      <c r="AG177" s="16"/>
      <c r="AH177" s="17">
        <f>VLOOKUP(AG177,'DATABASE F&amp;B'!$C$3:$F$216,2,0)</f>
        <v>0</v>
      </c>
      <c r="AI177" s="18">
        <v>1</v>
      </c>
      <c r="AJ177" s="19">
        <f>VLOOKUP(AG177,'DATABASE F&amp;B'!$C$3:$F$216,4,0)</f>
        <v>0</v>
      </c>
      <c r="AK177" s="19">
        <f t="shared" si="182"/>
        <v>0</v>
      </c>
      <c r="AL177" s="16"/>
      <c r="AM177" s="17">
        <f>VLOOKUP(AL177,'DATABASE F&amp;B'!$C$3:$F$216,2,0)</f>
        <v>0</v>
      </c>
      <c r="AN177" s="18">
        <v>1</v>
      </c>
      <c r="AO177" s="19">
        <f>VLOOKUP(AL177,'DATABASE F&amp;B'!$C$3:$F$216,4,0)</f>
        <v>0</v>
      </c>
      <c r="AP177" s="19">
        <f t="shared" si="183"/>
        <v>0</v>
      </c>
      <c r="AQ177" s="16"/>
      <c r="AR177" s="17">
        <f>VLOOKUP(AQ177,'DATABASE F&amp;B'!$C$3:$F$216,2,0)</f>
        <v>0</v>
      </c>
      <c r="AS177" s="18">
        <v>1</v>
      </c>
      <c r="AT177" s="19">
        <f>VLOOKUP(AQ177,'DATABASE F&amp;B'!$C$3:$F$216,4,0)</f>
        <v>0</v>
      </c>
      <c r="AU177" s="19">
        <f t="shared" si="184"/>
        <v>0</v>
      </c>
      <c r="AV177" s="16"/>
      <c r="AW177" s="17">
        <f>VLOOKUP(AV177,'DATABASE F&amp;B'!$C$3:$F$216,2,0)</f>
        <v>0</v>
      </c>
      <c r="AX177" s="18"/>
      <c r="AY177" s="19">
        <f>VLOOKUP(AV177,'DATABASE F&amp;B'!$C$3:$F$216,4,0)</f>
        <v>0</v>
      </c>
      <c r="AZ177" s="19">
        <f t="shared" si="185"/>
        <v>0</v>
      </c>
      <c r="BA177" s="16"/>
      <c r="BB177" s="17">
        <f>VLOOKUP(BA177,'DATABASE F&amp;B'!$C$3:$F$216,2,0)</f>
        <v>0</v>
      </c>
      <c r="BC177" s="18"/>
      <c r="BD177" s="19">
        <f>VLOOKUP(BA177,'DATABASE F&amp;B'!$C$3:$F$216,4,0)</f>
        <v>0</v>
      </c>
      <c r="BE177" s="19">
        <f t="shared" si="186"/>
        <v>0</v>
      </c>
      <c r="BF177" s="16"/>
      <c r="BG177" s="17">
        <f>VLOOKUP(BF177,'DATABASE F&amp;B'!$C$3:$F$216,2,0)</f>
        <v>0</v>
      </c>
      <c r="BH177" s="18"/>
      <c r="BI177" s="19">
        <f>VLOOKUP(BF177,'DATABASE F&amp;B'!$C$3:$F$216,4,0)</f>
        <v>0</v>
      </c>
      <c r="BJ177" s="19">
        <f t="shared" si="187"/>
        <v>0</v>
      </c>
      <c r="BK177" s="16"/>
      <c r="BL177" s="17">
        <f>VLOOKUP(BK177,'DATABASE F&amp;B'!$C$3:$F$210,2,0)</f>
        <v>0</v>
      </c>
      <c r="BM177" s="18"/>
      <c r="BN177" s="19">
        <f>VLOOKUP(BK177,'DATABASE F&amp;B'!$C$3:$F$210,4,0)</f>
        <v>0</v>
      </c>
      <c r="BO177" s="19">
        <f t="shared" si="188"/>
        <v>0</v>
      </c>
      <c r="BP177" s="16"/>
      <c r="BQ177" s="17">
        <f>VLOOKUP(BP177,'DATABASE F&amp;B'!$C$3:$F$210,2,0)</f>
        <v>0</v>
      </c>
      <c r="BR177" s="18"/>
      <c r="BS177" s="19">
        <f>VLOOKUP(BP177,'DATABASE F&amp;B'!$C$3:$F$210,4,0)</f>
        <v>0</v>
      </c>
      <c r="BT177" s="19">
        <f t="shared" si="189"/>
        <v>0</v>
      </c>
      <c r="BU177" s="16"/>
      <c r="BV177" s="17">
        <f>VLOOKUP(BU177,'DATABASE F&amp;B'!$C$3:$F$210,2,0)</f>
        <v>0</v>
      </c>
      <c r="BW177" s="18"/>
      <c r="BX177" s="19">
        <f>VLOOKUP(BU177,'DATABASE F&amp;B'!$C$3:$F$210,4,0)</f>
        <v>0</v>
      </c>
      <c r="BY177" s="19">
        <f t="shared" si="190"/>
        <v>0</v>
      </c>
      <c r="BZ177" s="16"/>
      <c r="CA177" s="17">
        <f>VLOOKUP(BZ177,'DATABASE F&amp;B'!$C$3:$F$210,2,0)</f>
        <v>0</v>
      </c>
      <c r="CB177" s="18"/>
      <c r="CC177" s="19">
        <f>VLOOKUP(BZ177,'DATABASE F&amp;B'!$C$3:$F$210,4,0)</f>
        <v>0</v>
      </c>
      <c r="CD177" s="19">
        <f t="shared" si="191"/>
        <v>0</v>
      </c>
    </row>
    <row r="178" spans="1:82" ht="13.5" x14ac:dyDescent="0.25">
      <c r="A178" s="32" t="str">
        <f t="shared" si="172"/>
        <v>05-'31-2026</v>
      </c>
      <c r="B178" s="22">
        <f t="shared" si="193"/>
        <v>174</v>
      </c>
      <c r="C178" s="22">
        <f t="shared" si="193"/>
        <v>174</v>
      </c>
      <c r="D178" s="34">
        <v>46173</v>
      </c>
      <c r="E178" s="35" t="s">
        <v>203</v>
      </c>
      <c r="F178" s="35" t="s">
        <v>202</v>
      </c>
      <c r="G178" s="52" t="s">
        <v>81</v>
      </c>
      <c r="H178" s="36" t="str">
        <f t="shared" si="170"/>
        <v>RJ-'310526-174</v>
      </c>
      <c r="I178" s="36" t="str">
        <f t="shared" si="173"/>
        <v>'31-05-2026</v>
      </c>
      <c r="J178" s="37" t="str">
        <f>VLOOKUP(D178,Laporan!$C$4:$D$34,2,0)</f>
        <v>Minggu</v>
      </c>
      <c r="K178" s="48"/>
      <c r="L178" s="13" t="s">
        <v>33</v>
      </c>
      <c r="M178" s="19">
        <f>SUMIF('DATABASE Room'!$B$3:$B$7,L178,'DATABASE Room'!$D$3:$D$7)</f>
        <v>0</v>
      </c>
      <c r="N178" s="13">
        <v>1</v>
      </c>
      <c r="O178" s="21">
        <f t="shared" si="174"/>
        <v>0</v>
      </c>
      <c r="P178" s="38"/>
      <c r="Q178" s="19">
        <f t="shared" si="175"/>
        <v>0</v>
      </c>
      <c r="R178" s="21">
        <f t="shared" si="176"/>
        <v>0</v>
      </c>
      <c r="S178" s="19">
        <f t="shared" si="177"/>
        <v>5</v>
      </c>
      <c r="T178" s="19">
        <f t="shared" si="178"/>
        <v>45000</v>
      </c>
      <c r="U178" s="21">
        <f t="shared" si="179"/>
        <v>45000</v>
      </c>
      <c r="V178" s="39"/>
      <c r="W178" s="16">
        <v>74</v>
      </c>
      <c r="X178" s="17" t="str">
        <f>VLOOKUP(W178,'DATABASE F&amp;B'!$C$3:$F$216,2,0)</f>
        <v>SAN MIGUEL NEGRA 330ML</v>
      </c>
      <c r="Y178" s="18">
        <v>1</v>
      </c>
      <c r="Z178" s="19">
        <f>VLOOKUP(W178,'DATABASE F&amp;B'!$C$3:$F$216,4,0)</f>
        <v>45000</v>
      </c>
      <c r="AA178" s="19">
        <f t="shared" si="180"/>
        <v>45000</v>
      </c>
      <c r="AB178" s="16"/>
      <c r="AC178" s="17">
        <f>VLOOKUP(AB178,'DATABASE F&amp;B'!$C$3:$F$216,2,0)</f>
        <v>0</v>
      </c>
      <c r="AD178" s="18">
        <v>1</v>
      </c>
      <c r="AE178" s="19">
        <f>VLOOKUP(AB178,'DATABASE F&amp;B'!$C$3:$F$216,4,0)</f>
        <v>0</v>
      </c>
      <c r="AF178" s="19">
        <f t="shared" si="181"/>
        <v>0</v>
      </c>
      <c r="AG178" s="16"/>
      <c r="AH178" s="17">
        <f>VLOOKUP(AG178,'DATABASE F&amp;B'!$C$3:$F$216,2,0)</f>
        <v>0</v>
      </c>
      <c r="AI178" s="18">
        <v>1</v>
      </c>
      <c r="AJ178" s="19">
        <f>VLOOKUP(AG178,'DATABASE F&amp;B'!$C$3:$F$216,4,0)</f>
        <v>0</v>
      </c>
      <c r="AK178" s="19">
        <f t="shared" si="182"/>
        <v>0</v>
      </c>
      <c r="AL178" s="16"/>
      <c r="AM178" s="17">
        <f>VLOOKUP(AL178,'DATABASE F&amp;B'!$C$3:$F$216,2,0)</f>
        <v>0</v>
      </c>
      <c r="AN178" s="18">
        <v>1</v>
      </c>
      <c r="AO178" s="19">
        <f>VLOOKUP(AL178,'DATABASE F&amp;B'!$C$3:$F$216,4,0)</f>
        <v>0</v>
      </c>
      <c r="AP178" s="19">
        <f t="shared" si="183"/>
        <v>0</v>
      </c>
      <c r="AQ178" s="16"/>
      <c r="AR178" s="17">
        <f>VLOOKUP(AQ178,'DATABASE F&amp;B'!$C$3:$F$216,2,0)</f>
        <v>0</v>
      </c>
      <c r="AS178" s="18">
        <v>1</v>
      </c>
      <c r="AT178" s="19">
        <f>VLOOKUP(AQ178,'DATABASE F&amp;B'!$C$3:$F$216,4,0)</f>
        <v>0</v>
      </c>
      <c r="AU178" s="19">
        <f t="shared" si="184"/>
        <v>0</v>
      </c>
      <c r="AV178" s="16"/>
      <c r="AW178" s="17">
        <f>VLOOKUP(AV178,'DATABASE F&amp;B'!$C$3:$F$216,2,0)</f>
        <v>0</v>
      </c>
      <c r="AX178" s="18"/>
      <c r="AY178" s="19">
        <f>VLOOKUP(AV178,'DATABASE F&amp;B'!$C$3:$F$216,4,0)</f>
        <v>0</v>
      </c>
      <c r="AZ178" s="19">
        <f t="shared" si="185"/>
        <v>0</v>
      </c>
      <c r="BA178" s="16"/>
      <c r="BB178" s="17">
        <f>VLOOKUP(BA178,'DATABASE F&amp;B'!$C$3:$F$216,2,0)</f>
        <v>0</v>
      </c>
      <c r="BC178" s="18"/>
      <c r="BD178" s="19">
        <f>VLOOKUP(BA178,'DATABASE F&amp;B'!$C$3:$F$216,4,0)</f>
        <v>0</v>
      </c>
      <c r="BE178" s="19">
        <f t="shared" si="186"/>
        <v>0</v>
      </c>
      <c r="BF178" s="16"/>
      <c r="BG178" s="17">
        <f>VLOOKUP(BF178,'DATABASE F&amp;B'!$C$3:$F$216,2,0)</f>
        <v>0</v>
      </c>
      <c r="BH178" s="18"/>
      <c r="BI178" s="19">
        <f>VLOOKUP(BF178,'DATABASE F&amp;B'!$C$3:$F$216,4,0)</f>
        <v>0</v>
      </c>
      <c r="BJ178" s="19">
        <f t="shared" si="187"/>
        <v>0</v>
      </c>
      <c r="BK178" s="16"/>
      <c r="BL178" s="17">
        <f>VLOOKUP(BK178,'DATABASE F&amp;B'!$C$3:$F$210,2,0)</f>
        <v>0</v>
      </c>
      <c r="BM178" s="18"/>
      <c r="BN178" s="19">
        <f>VLOOKUP(BK178,'DATABASE F&amp;B'!$C$3:$F$210,4,0)</f>
        <v>0</v>
      </c>
      <c r="BO178" s="19">
        <f t="shared" si="188"/>
        <v>0</v>
      </c>
      <c r="BP178" s="16"/>
      <c r="BQ178" s="17">
        <f>VLOOKUP(BP178,'DATABASE F&amp;B'!$C$3:$F$210,2,0)</f>
        <v>0</v>
      </c>
      <c r="BR178" s="18"/>
      <c r="BS178" s="19">
        <f>VLOOKUP(BP178,'DATABASE F&amp;B'!$C$3:$F$210,4,0)</f>
        <v>0</v>
      </c>
      <c r="BT178" s="19">
        <f t="shared" si="189"/>
        <v>0</v>
      </c>
      <c r="BU178" s="16"/>
      <c r="BV178" s="17">
        <f>VLOOKUP(BU178,'DATABASE F&amp;B'!$C$3:$F$210,2,0)</f>
        <v>0</v>
      </c>
      <c r="BW178" s="18"/>
      <c r="BX178" s="19">
        <f>VLOOKUP(BU178,'DATABASE F&amp;B'!$C$3:$F$210,4,0)</f>
        <v>0</v>
      </c>
      <c r="BY178" s="19">
        <f t="shared" si="190"/>
        <v>0</v>
      </c>
      <c r="BZ178" s="16"/>
      <c r="CA178" s="17">
        <f>VLOOKUP(BZ178,'DATABASE F&amp;B'!$C$3:$F$210,2,0)</f>
        <v>0</v>
      </c>
      <c r="CB178" s="18"/>
      <c r="CC178" s="19">
        <f>VLOOKUP(BZ178,'DATABASE F&amp;B'!$C$3:$F$210,4,0)</f>
        <v>0</v>
      </c>
      <c r="CD178" s="19">
        <f t="shared" si="191"/>
        <v>0</v>
      </c>
    </row>
    <row r="179" spans="1:82" ht="13.5" x14ac:dyDescent="0.25">
      <c r="A179" s="32" t="str">
        <f t="shared" si="172"/>
        <v>05-'31-2026</v>
      </c>
      <c r="B179" s="22">
        <f t="shared" si="193"/>
        <v>175</v>
      </c>
      <c r="C179" s="22">
        <f t="shared" si="193"/>
        <v>175</v>
      </c>
      <c r="D179" s="34">
        <v>46173</v>
      </c>
      <c r="E179" s="35" t="s">
        <v>203</v>
      </c>
      <c r="F179" s="35" t="s">
        <v>202</v>
      </c>
      <c r="G179" s="52" t="s">
        <v>81</v>
      </c>
      <c r="H179" s="36" t="str">
        <f t="shared" si="170"/>
        <v>RJ-'310526-175</v>
      </c>
      <c r="I179" s="36" t="str">
        <f t="shared" si="173"/>
        <v>'31-05-2026</v>
      </c>
      <c r="J179" s="37" t="str">
        <f>VLOOKUP(D179,Laporan!$C$4:$D$34,2,0)</f>
        <v>Minggu</v>
      </c>
      <c r="K179" s="48"/>
      <c r="L179" s="13" t="s">
        <v>33</v>
      </c>
      <c r="M179" s="19">
        <f>SUMIF('DATABASE Room'!$B$3:$B$7,L179,'DATABASE Room'!$D$3:$D$7)</f>
        <v>0</v>
      </c>
      <c r="N179" s="13">
        <v>1</v>
      </c>
      <c r="O179" s="21">
        <f t="shared" si="174"/>
        <v>0</v>
      </c>
      <c r="P179" s="38"/>
      <c r="Q179" s="19">
        <f t="shared" si="175"/>
        <v>0</v>
      </c>
      <c r="R179" s="21">
        <f t="shared" si="176"/>
        <v>0</v>
      </c>
      <c r="S179" s="19">
        <f t="shared" si="177"/>
        <v>5</v>
      </c>
      <c r="T179" s="19">
        <f t="shared" si="178"/>
        <v>60000</v>
      </c>
      <c r="U179" s="21">
        <f t="shared" si="179"/>
        <v>60000</v>
      </c>
      <c r="V179" s="39"/>
      <c r="W179" s="16">
        <v>75</v>
      </c>
      <c r="X179" s="17" t="str">
        <f>VLOOKUP(W179,'DATABASE F&amp;B'!$C$3:$F$216,2,0)</f>
        <v>BEER KURA KURA EASY ALE</v>
      </c>
      <c r="Y179" s="18">
        <v>1</v>
      </c>
      <c r="Z179" s="19">
        <f>VLOOKUP(W179,'DATABASE F&amp;B'!$C$3:$F$216,4,0)</f>
        <v>60000</v>
      </c>
      <c r="AA179" s="19">
        <f t="shared" si="180"/>
        <v>60000</v>
      </c>
      <c r="AB179" s="16"/>
      <c r="AC179" s="17">
        <f>VLOOKUP(AB179,'DATABASE F&amp;B'!$C$3:$F$216,2,0)</f>
        <v>0</v>
      </c>
      <c r="AD179" s="18">
        <v>1</v>
      </c>
      <c r="AE179" s="19">
        <f>VLOOKUP(AB179,'DATABASE F&amp;B'!$C$3:$F$216,4,0)</f>
        <v>0</v>
      </c>
      <c r="AF179" s="19">
        <f t="shared" si="181"/>
        <v>0</v>
      </c>
      <c r="AG179" s="16"/>
      <c r="AH179" s="17">
        <f>VLOOKUP(AG179,'DATABASE F&amp;B'!$C$3:$F$216,2,0)</f>
        <v>0</v>
      </c>
      <c r="AI179" s="18">
        <v>1</v>
      </c>
      <c r="AJ179" s="19">
        <f>VLOOKUP(AG179,'DATABASE F&amp;B'!$C$3:$F$216,4,0)</f>
        <v>0</v>
      </c>
      <c r="AK179" s="19">
        <f t="shared" si="182"/>
        <v>0</v>
      </c>
      <c r="AL179" s="16"/>
      <c r="AM179" s="17">
        <f>VLOOKUP(AL179,'DATABASE F&amp;B'!$C$3:$F$216,2,0)</f>
        <v>0</v>
      </c>
      <c r="AN179" s="18">
        <v>1</v>
      </c>
      <c r="AO179" s="19">
        <f>VLOOKUP(AL179,'DATABASE F&amp;B'!$C$3:$F$216,4,0)</f>
        <v>0</v>
      </c>
      <c r="AP179" s="19">
        <f t="shared" si="183"/>
        <v>0</v>
      </c>
      <c r="AQ179" s="16"/>
      <c r="AR179" s="17">
        <f>VLOOKUP(AQ179,'DATABASE F&amp;B'!$C$3:$F$216,2,0)</f>
        <v>0</v>
      </c>
      <c r="AS179" s="18">
        <v>1</v>
      </c>
      <c r="AT179" s="19">
        <f>VLOOKUP(AQ179,'DATABASE F&amp;B'!$C$3:$F$216,4,0)</f>
        <v>0</v>
      </c>
      <c r="AU179" s="19">
        <f t="shared" si="184"/>
        <v>0</v>
      </c>
      <c r="AV179" s="16"/>
      <c r="AW179" s="17">
        <f>VLOOKUP(AV179,'DATABASE F&amp;B'!$C$3:$F$216,2,0)</f>
        <v>0</v>
      </c>
      <c r="AX179" s="18"/>
      <c r="AY179" s="19">
        <f>VLOOKUP(AV179,'DATABASE F&amp;B'!$C$3:$F$216,4,0)</f>
        <v>0</v>
      </c>
      <c r="AZ179" s="19">
        <f t="shared" si="185"/>
        <v>0</v>
      </c>
      <c r="BA179" s="16"/>
      <c r="BB179" s="17">
        <f>VLOOKUP(BA179,'DATABASE F&amp;B'!$C$3:$F$216,2,0)</f>
        <v>0</v>
      </c>
      <c r="BC179" s="18"/>
      <c r="BD179" s="19">
        <f>VLOOKUP(BA179,'DATABASE F&amp;B'!$C$3:$F$216,4,0)</f>
        <v>0</v>
      </c>
      <c r="BE179" s="19">
        <f t="shared" si="186"/>
        <v>0</v>
      </c>
      <c r="BF179" s="16"/>
      <c r="BG179" s="17">
        <f>VLOOKUP(BF179,'DATABASE F&amp;B'!$C$3:$F$216,2,0)</f>
        <v>0</v>
      </c>
      <c r="BH179" s="18"/>
      <c r="BI179" s="19">
        <f>VLOOKUP(BF179,'DATABASE F&amp;B'!$C$3:$F$216,4,0)</f>
        <v>0</v>
      </c>
      <c r="BJ179" s="19">
        <f t="shared" si="187"/>
        <v>0</v>
      </c>
      <c r="BK179" s="16"/>
      <c r="BL179" s="17">
        <f>VLOOKUP(BK179,'DATABASE F&amp;B'!$C$3:$F$210,2,0)</f>
        <v>0</v>
      </c>
      <c r="BM179" s="18"/>
      <c r="BN179" s="19">
        <f>VLOOKUP(BK179,'DATABASE F&amp;B'!$C$3:$F$210,4,0)</f>
        <v>0</v>
      </c>
      <c r="BO179" s="19">
        <f t="shared" si="188"/>
        <v>0</v>
      </c>
      <c r="BP179" s="16"/>
      <c r="BQ179" s="17">
        <f>VLOOKUP(BP179,'DATABASE F&amp;B'!$C$3:$F$210,2,0)</f>
        <v>0</v>
      </c>
      <c r="BR179" s="18"/>
      <c r="BS179" s="19">
        <f>VLOOKUP(BP179,'DATABASE F&amp;B'!$C$3:$F$210,4,0)</f>
        <v>0</v>
      </c>
      <c r="BT179" s="19">
        <f t="shared" si="189"/>
        <v>0</v>
      </c>
      <c r="BU179" s="16"/>
      <c r="BV179" s="17">
        <f>VLOOKUP(BU179,'DATABASE F&amp;B'!$C$3:$F$210,2,0)</f>
        <v>0</v>
      </c>
      <c r="BW179" s="18"/>
      <c r="BX179" s="19">
        <f>VLOOKUP(BU179,'DATABASE F&amp;B'!$C$3:$F$210,4,0)</f>
        <v>0</v>
      </c>
      <c r="BY179" s="19">
        <f t="shared" si="190"/>
        <v>0</v>
      </c>
      <c r="BZ179" s="16"/>
      <c r="CA179" s="17">
        <f>VLOOKUP(BZ179,'DATABASE F&amp;B'!$C$3:$F$210,2,0)</f>
        <v>0</v>
      </c>
      <c r="CB179" s="18"/>
      <c r="CC179" s="19">
        <f>VLOOKUP(BZ179,'DATABASE F&amp;B'!$C$3:$F$210,4,0)</f>
        <v>0</v>
      </c>
      <c r="CD179" s="19">
        <f t="shared" si="191"/>
        <v>0</v>
      </c>
    </row>
    <row r="180" spans="1:82" ht="13.5" x14ac:dyDescent="0.25">
      <c r="A180" s="32" t="str">
        <f t="shared" si="172"/>
        <v>05-'31-2026</v>
      </c>
      <c r="B180" s="22">
        <f t="shared" si="193"/>
        <v>176</v>
      </c>
      <c r="C180" s="22">
        <f t="shared" si="193"/>
        <v>176</v>
      </c>
      <c r="D180" s="34">
        <v>46173</v>
      </c>
      <c r="E180" s="35" t="s">
        <v>203</v>
      </c>
      <c r="F180" s="35" t="s">
        <v>202</v>
      </c>
      <c r="G180" s="52" t="s">
        <v>81</v>
      </c>
      <c r="H180" s="36" t="str">
        <f t="shared" si="170"/>
        <v>RJ-'310526-176</v>
      </c>
      <c r="I180" s="36" t="str">
        <f t="shared" si="173"/>
        <v>'31-05-2026</v>
      </c>
      <c r="J180" s="37" t="str">
        <f>VLOOKUP(D180,Laporan!$C$4:$D$34,2,0)</f>
        <v>Minggu</v>
      </c>
      <c r="K180" s="48"/>
      <c r="L180" s="13" t="s">
        <v>33</v>
      </c>
      <c r="M180" s="19">
        <f>SUMIF('DATABASE Room'!$B$3:$B$7,L180,'DATABASE Room'!$D$3:$D$7)</f>
        <v>0</v>
      </c>
      <c r="N180" s="13">
        <v>1</v>
      </c>
      <c r="O180" s="21">
        <f t="shared" si="174"/>
        <v>0</v>
      </c>
      <c r="P180" s="38"/>
      <c r="Q180" s="19">
        <f t="shared" si="175"/>
        <v>0</v>
      </c>
      <c r="R180" s="21">
        <f t="shared" si="176"/>
        <v>0</v>
      </c>
      <c r="S180" s="19">
        <f t="shared" si="177"/>
        <v>5</v>
      </c>
      <c r="T180" s="19">
        <f t="shared" si="178"/>
        <v>60000</v>
      </c>
      <c r="U180" s="21">
        <f t="shared" si="179"/>
        <v>60000</v>
      </c>
      <c r="V180" s="39"/>
      <c r="W180" s="16">
        <v>76</v>
      </c>
      <c r="X180" s="17" t="str">
        <f>VLOOKUP(W180,'DATABASE F&amp;B'!$C$3:$F$216,2,0)</f>
        <v>BEER KURA KURA LAGER</v>
      </c>
      <c r="Y180" s="18">
        <v>1</v>
      </c>
      <c r="Z180" s="19">
        <f>VLOOKUP(W180,'DATABASE F&amp;B'!$C$3:$F$216,4,0)</f>
        <v>60000</v>
      </c>
      <c r="AA180" s="19">
        <f t="shared" si="180"/>
        <v>60000</v>
      </c>
      <c r="AB180" s="16"/>
      <c r="AC180" s="17">
        <f>VLOOKUP(AB180,'DATABASE F&amp;B'!$C$3:$F$216,2,0)</f>
        <v>0</v>
      </c>
      <c r="AD180" s="18">
        <v>1</v>
      </c>
      <c r="AE180" s="19">
        <f>VLOOKUP(AB180,'DATABASE F&amp;B'!$C$3:$F$216,4,0)</f>
        <v>0</v>
      </c>
      <c r="AF180" s="19">
        <f t="shared" si="181"/>
        <v>0</v>
      </c>
      <c r="AG180" s="16"/>
      <c r="AH180" s="17">
        <f>VLOOKUP(AG180,'DATABASE F&amp;B'!$C$3:$F$216,2,0)</f>
        <v>0</v>
      </c>
      <c r="AI180" s="18">
        <v>1</v>
      </c>
      <c r="AJ180" s="19">
        <f>VLOOKUP(AG180,'DATABASE F&amp;B'!$C$3:$F$216,4,0)</f>
        <v>0</v>
      </c>
      <c r="AK180" s="19">
        <f t="shared" si="182"/>
        <v>0</v>
      </c>
      <c r="AL180" s="16"/>
      <c r="AM180" s="17">
        <f>VLOOKUP(AL180,'DATABASE F&amp;B'!$C$3:$F$216,2,0)</f>
        <v>0</v>
      </c>
      <c r="AN180" s="18">
        <v>1</v>
      </c>
      <c r="AO180" s="19">
        <f>VLOOKUP(AL180,'DATABASE F&amp;B'!$C$3:$F$216,4,0)</f>
        <v>0</v>
      </c>
      <c r="AP180" s="19">
        <f t="shared" si="183"/>
        <v>0</v>
      </c>
      <c r="AQ180" s="16"/>
      <c r="AR180" s="17">
        <f>VLOOKUP(AQ180,'DATABASE F&amp;B'!$C$3:$F$216,2,0)</f>
        <v>0</v>
      </c>
      <c r="AS180" s="18">
        <v>1</v>
      </c>
      <c r="AT180" s="19">
        <f>VLOOKUP(AQ180,'DATABASE F&amp;B'!$C$3:$F$216,4,0)</f>
        <v>0</v>
      </c>
      <c r="AU180" s="19">
        <f t="shared" si="184"/>
        <v>0</v>
      </c>
      <c r="AV180" s="16"/>
      <c r="AW180" s="17">
        <f>VLOOKUP(AV180,'DATABASE F&amp;B'!$C$3:$F$216,2,0)</f>
        <v>0</v>
      </c>
      <c r="AX180" s="18"/>
      <c r="AY180" s="19">
        <f>VLOOKUP(AV180,'DATABASE F&amp;B'!$C$3:$F$216,4,0)</f>
        <v>0</v>
      </c>
      <c r="AZ180" s="19">
        <f t="shared" si="185"/>
        <v>0</v>
      </c>
      <c r="BA180" s="16"/>
      <c r="BB180" s="17">
        <f>VLOOKUP(BA180,'DATABASE F&amp;B'!$C$3:$F$216,2,0)</f>
        <v>0</v>
      </c>
      <c r="BC180" s="18"/>
      <c r="BD180" s="19">
        <f>VLOOKUP(BA180,'DATABASE F&amp;B'!$C$3:$F$216,4,0)</f>
        <v>0</v>
      </c>
      <c r="BE180" s="19">
        <f t="shared" si="186"/>
        <v>0</v>
      </c>
      <c r="BF180" s="16"/>
      <c r="BG180" s="17">
        <f>VLOOKUP(BF180,'DATABASE F&amp;B'!$C$3:$F$216,2,0)</f>
        <v>0</v>
      </c>
      <c r="BH180" s="18"/>
      <c r="BI180" s="19">
        <f>VLOOKUP(BF180,'DATABASE F&amp;B'!$C$3:$F$216,4,0)</f>
        <v>0</v>
      </c>
      <c r="BJ180" s="19">
        <f t="shared" si="187"/>
        <v>0</v>
      </c>
      <c r="BK180" s="16"/>
      <c r="BL180" s="17">
        <f>VLOOKUP(BK180,'DATABASE F&amp;B'!$C$3:$F$210,2,0)</f>
        <v>0</v>
      </c>
      <c r="BM180" s="18"/>
      <c r="BN180" s="19">
        <f>VLOOKUP(BK180,'DATABASE F&amp;B'!$C$3:$F$210,4,0)</f>
        <v>0</v>
      </c>
      <c r="BO180" s="19">
        <f t="shared" si="188"/>
        <v>0</v>
      </c>
      <c r="BP180" s="16"/>
      <c r="BQ180" s="17">
        <f>VLOOKUP(BP180,'DATABASE F&amp;B'!$C$3:$F$210,2,0)</f>
        <v>0</v>
      </c>
      <c r="BR180" s="18"/>
      <c r="BS180" s="19">
        <f>VLOOKUP(BP180,'DATABASE F&amp;B'!$C$3:$F$210,4,0)</f>
        <v>0</v>
      </c>
      <c r="BT180" s="19">
        <f t="shared" si="189"/>
        <v>0</v>
      </c>
      <c r="BU180" s="16"/>
      <c r="BV180" s="17">
        <f>VLOOKUP(BU180,'DATABASE F&amp;B'!$C$3:$F$210,2,0)</f>
        <v>0</v>
      </c>
      <c r="BW180" s="18"/>
      <c r="BX180" s="19">
        <f>VLOOKUP(BU180,'DATABASE F&amp;B'!$C$3:$F$210,4,0)</f>
        <v>0</v>
      </c>
      <c r="BY180" s="19">
        <f t="shared" si="190"/>
        <v>0</v>
      </c>
      <c r="BZ180" s="16"/>
      <c r="CA180" s="17">
        <f>VLOOKUP(BZ180,'DATABASE F&amp;B'!$C$3:$F$210,2,0)</f>
        <v>0</v>
      </c>
      <c r="CB180" s="18"/>
      <c r="CC180" s="19">
        <f>VLOOKUP(BZ180,'DATABASE F&amp;B'!$C$3:$F$210,4,0)</f>
        <v>0</v>
      </c>
      <c r="CD180" s="19">
        <f t="shared" si="191"/>
        <v>0</v>
      </c>
    </row>
    <row r="181" spans="1:82" ht="13.5" x14ac:dyDescent="0.25">
      <c r="A181" s="32" t="str">
        <f t="shared" si="172"/>
        <v>05-'31-2026</v>
      </c>
      <c r="B181" s="22">
        <f t="shared" si="193"/>
        <v>177</v>
      </c>
      <c r="C181" s="22">
        <f t="shared" si="193"/>
        <v>177</v>
      </c>
      <c r="D181" s="34">
        <v>46173</v>
      </c>
      <c r="E181" s="35" t="s">
        <v>203</v>
      </c>
      <c r="F181" s="35" t="s">
        <v>202</v>
      </c>
      <c r="G181" s="52" t="s">
        <v>81</v>
      </c>
      <c r="H181" s="36" t="str">
        <f t="shared" si="170"/>
        <v>RJ-'310526-177</v>
      </c>
      <c r="I181" s="36" t="str">
        <f t="shared" si="173"/>
        <v>'31-05-2026</v>
      </c>
      <c r="J181" s="37" t="str">
        <f>VLOOKUP(D181,Laporan!$C$4:$D$34,2,0)</f>
        <v>Minggu</v>
      </c>
      <c r="K181" s="48"/>
      <c r="L181" s="13" t="s">
        <v>33</v>
      </c>
      <c r="M181" s="19">
        <f>SUMIF('DATABASE Room'!$B$3:$B$7,L181,'DATABASE Room'!$D$3:$D$7)</f>
        <v>0</v>
      </c>
      <c r="N181" s="13">
        <v>1</v>
      </c>
      <c r="O181" s="21">
        <f t="shared" si="174"/>
        <v>0</v>
      </c>
      <c r="P181" s="38"/>
      <c r="Q181" s="19">
        <f t="shared" si="175"/>
        <v>0</v>
      </c>
      <c r="R181" s="21">
        <f t="shared" si="176"/>
        <v>0</v>
      </c>
      <c r="S181" s="19">
        <f t="shared" si="177"/>
        <v>5</v>
      </c>
      <c r="T181" s="19">
        <f t="shared" si="178"/>
        <v>92000</v>
      </c>
      <c r="U181" s="21">
        <f t="shared" si="179"/>
        <v>92000</v>
      </c>
      <c r="V181" s="39"/>
      <c r="W181" s="16">
        <v>77</v>
      </c>
      <c r="X181" s="17" t="str">
        <f>VLOOKUP(W181,'DATABASE F&amp;B'!$C$3:$F$216,2,0)</f>
        <v>BEER KURA KURA SESSION HAZY</v>
      </c>
      <c r="Y181" s="18">
        <v>1</v>
      </c>
      <c r="Z181" s="19">
        <f>VLOOKUP(W181,'DATABASE F&amp;B'!$C$3:$F$216,4,0)</f>
        <v>70000</v>
      </c>
      <c r="AA181" s="19">
        <f t="shared" si="180"/>
        <v>70000</v>
      </c>
      <c r="AB181" s="16">
        <v>8</v>
      </c>
      <c r="AC181" s="17" t="str">
        <f>VLOOKUP(AB181,'DATABASE F&amp;B'!$C$3:$F$216,2,0)</f>
        <v>MACARONI PEDES</v>
      </c>
      <c r="AD181" s="18">
        <v>1</v>
      </c>
      <c r="AE181" s="19">
        <f>VLOOKUP(AB181,'DATABASE F&amp;B'!$C$3:$F$216,4,0)</f>
        <v>22000</v>
      </c>
      <c r="AF181" s="19">
        <f t="shared" si="181"/>
        <v>22000</v>
      </c>
      <c r="AG181" s="16"/>
      <c r="AH181" s="17">
        <f>VLOOKUP(AG181,'DATABASE F&amp;B'!$C$3:$F$216,2,0)</f>
        <v>0</v>
      </c>
      <c r="AI181" s="18">
        <v>1</v>
      </c>
      <c r="AJ181" s="19">
        <f>VLOOKUP(AG181,'DATABASE F&amp;B'!$C$3:$F$216,4,0)</f>
        <v>0</v>
      </c>
      <c r="AK181" s="19">
        <f t="shared" si="182"/>
        <v>0</v>
      </c>
      <c r="AL181" s="16"/>
      <c r="AM181" s="17">
        <f>VLOOKUP(AL181,'DATABASE F&amp;B'!$C$3:$F$216,2,0)</f>
        <v>0</v>
      </c>
      <c r="AN181" s="18">
        <v>1</v>
      </c>
      <c r="AO181" s="19">
        <f>VLOOKUP(AL181,'DATABASE F&amp;B'!$C$3:$F$216,4,0)</f>
        <v>0</v>
      </c>
      <c r="AP181" s="19">
        <f t="shared" si="183"/>
        <v>0</v>
      </c>
      <c r="AQ181" s="16"/>
      <c r="AR181" s="17">
        <f>VLOOKUP(AQ181,'DATABASE F&amp;B'!$C$3:$F$216,2,0)</f>
        <v>0</v>
      </c>
      <c r="AS181" s="18">
        <v>1</v>
      </c>
      <c r="AT181" s="19">
        <f>VLOOKUP(AQ181,'DATABASE F&amp;B'!$C$3:$F$216,4,0)</f>
        <v>0</v>
      </c>
      <c r="AU181" s="19">
        <f t="shared" si="184"/>
        <v>0</v>
      </c>
      <c r="AV181" s="16"/>
      <c r="AW181" s="17">
        <f>VLOOKUP(AV181,'DATABASE F&amp;B'!$C$3:$F$216,2,0)</f>
        <v>0</v>
      </c>
      <c r="AX181" s="18"/>
      <c r="AY181" s="19">
        <f>VLOOKUP(AV181,'DATABASE F&amp;B'!$C$3:$F$216,4,0)</f>
        <v>0</v>
      </c>
      <c r="AZ181" s="19">
        <f t="shared" si="185"/>
        <v>0</v>
      </c>
      <c r="BA181" s="16"/>
      <c r="BB181" s="17">
        <f>VLOOKUP(BA181,'DATABASE F&amp;B'!$C$3:$F$216,2,0)</f>
        <v>0</v>
      </c>
      <c r="BC181" s="18"/>
      <c r="BD181" s="19">
        <f>VLOOKUP(BA181,'DATABASE F&amp;B'!$C$3:$F$216,4,0)</f>
        <v>0</v>
      </c>
      <c r="BE181" s="19">
        <f t="shared" si="186"/>
        <v>0</v>
      </c>
      <c r="BF181" s="16"/>
      <c r="BG181" s="17">
        <f>VLOOKUP(BF181,'DATABASE F&amp;B'!$C$3:$F$216,2,0)</f>
        <v>0</v>
      </c>
      <c r="BH181" s="18"/>
      <c r="BI181" s="19">
        <f>VLOOKUP(BF181,'DATABASE F&amp;B'!$C$3:$F$216,4,0)</f>
        <v>0</v>
      </c>
      <c r="BJ181" s="19">
        <f t="shared" si="187"/>
        <v>0</v>
      </c>
      <c r="BK181" s="16"/>
      <c r="BL181" s="17">
        <f>VLOOKUP(BK181,'DATABASE F&amp;B'!$C$3:$F$210,2,0)</f>
        <v>0</v>
      </c>
      <c r="BM181" s="18"/>
      <c r="BN181" s="19">
        <f>VLOOKUP(BK181,'DATABASE F&amp;B'!$C$3:$F$210,4,0)</f>
        <v>0</v>
      </c>
      <c r="BO181" s="19">
        <f t="shared" si="188"/>
        <v>0</v>
      </c>
      <c r="BP181" s="16"/>
      <c r="BQ181" s="17">
        <f>VLOOKUP(BP181,'DATABASE F&amp;B'!$C$3:$F$210,2,0)</f>
        <v>0</v>
      </c>
      <c r="BR181" s="18"/>
      <c r="BS181" s="19">
        <f>VLOOKUP(BP181,'DATABASE F&amp;B'!$C$3:$F$210,4,0)</f>
        <v>0</v>
      </c>
      <c r="BT181" s="19">
        <f t="shared" si="189"/>
        <v>0</v>
      </c>
      <c r="BU181" s="16"/>
      <c r="BV181" s="17">
        <f>VLOOKUP(BU181,'DATABASE F&amp;B'!$C$3:$F$210,2,0)</f>
        <v>0</v>
      </c>
      <c r="BW181" s="18"/>
      <c r="BX181" s="19">
        <f>VLOOKUP(BU181,'DATABASE F&amp;B'!$C$3:$F$210,4,0)</f>
        <v>0</v>
      </c>
      <c r="BY181" s="19">
        <f t="shared" si="190"/>
        <v>0</v>
      </c>
      <c r="BZ181" s="16"/>
      <c r="CA181" s="17">
        <f>VLOOKUP(BZ181,'DATABASE F&amp;B'!$C$3:$F$210,2,0)</f>
        <v>0</v>
      </c>
      <c r="CB181" s="18"/>
      <c r="CC181" s="19">
        <f>VLOOKUP(BZ181,'DATABASE F&amp;B'!$C$3:$F$210,4,0)</f>
        <v>0</v>
      </c>
      <c r="CD181" s="19">
        <f t="shared" si="191"/>
        <v>0</v>
      </c>
    </row>
    <row r="182" spans="1:82" ht="13.5" x14ac:dyDescent="0.25">
      <c r="A182" s="32" t="str">
        <f t="shared" si="172"/>
        <v>05-'31-2026</v>
      </c>
      <c r="B182" s="22">
        <f t="shared" si="193"/>
        <v>178</v>
      </c>
      <c r="C182" s="22">
        <f t="shared" si="193"/>
        <v>178</v>
      </c>
      <c r="D182" s="34">
        <v>46173</v>
      </c>
      <c r="E182" s="35" t="s">
        <v>203</v>
      </c>
      <c r="F182" s="35" t="s">
        <v>202</v>
      </c>
      <c r="G182" s="52" t="s">
        <v>81</v>
      </c>
      <c r="H182" s="36" t="str">
        <f t="shared" si="170"/>
        <v>RJ-'310526-178</v>
      </c>
      <c r="I182" s="36" t="str">
        <f t="shared" si="173"/>
        <v>'31-05-2026</v>
      </c>
      <c r="J182" s="37" t="str">
        <f>VLOOKUP(D182,Laporan!$C$4:$D$34,2,0)</f>
        <v>Minggu</v>
      </c>
      <c r="K182" s="48"/>
      <c r="L182" s="13" t="s">
        <v>33</v>
      </c>
      <c r="M182" s="19">
        <f>SUMIF('DATABASE Room'!$B$3:$B$7,L182,'DATABASE Room'!$D$3:$D$7)</f>
        <v>0</v>
      </c>
      <c r="N182" s="13">
        <v>1</v>
      </c>
      <c r="O182" s="21">
        <f t="shared" si="174"/>
        <v>0</v>
      </c>
      <c r="P182" s="38"/>
      <c r="Q182" s="19">
        <f t="shared" si="175"/>
        <v>0</v>
      </c>
      <c r="R182" s="21">
        <f t="shared" si="176"/>
        <v>0</v>
      </c>
      <c r="S182" s="19">
        <f t="shared" si="177"/>
        <v>5</v>
      </c>
      <c r="T182" s="19">
        <f t="shared" si="178"/>
        <v>75000</v>
      </c>
      <c r="U182" s="21">
        <f t="shared" si="179"/>
        <v>75000</v>
      </c>
      <c r="V182" s="39"/>
      <c r="W182" s="16">
        <v>78</v>
      </c>
      <c r="X182" s="17" t="str">
        <f>VLOOKUP(W182,'DATABASE F&amp;B'!$C$3:$F$216,2,0)</f>
        <v>ASAHI DRY PINT 330ML</v>
      </c>
      <c r="Y182" s="18">
        <v>1</v>
      </c>
      <c r="Z182" s="19">
        <f>VLOOKUP(W182,'DATABASE F&amp;B'!$C$3:$F$216,4,0)</f>
        <v>75000</v>
      </c>
      <c r="AA182" s="19">
        <f t="shared" si="180"/>
        <v>75000</v>
      </c>
      <c r="AB182" s="16"/>
      <c r="AC182" s="17">
        <f>VLOOKUP(AB182,'DATABASE F&amp;B'!$C$3:$F$216,2,0)</f>
        <v>0</v>
      </c>
      <c r="AD182" s="18">
        <v>1</v>
      </c>
      <c r="AE182" s="19">
        <f>VLOOKUP(AB182,'DATABASE F&amp;B'!$C$3:$F$216,4,0)</f>
        <v>0</v>
      </c>
      <c r="AF182" s="19">
        <f t="shared" si="181"/>
        <v>0</v>
      </c>
      <c r="AG182" s="16"/>
      <c r="AH182" s="17">
        <f>VLOOKUP(AG182,'DATABASE F&amp;B'!$C$3:$F$216,2,0)</f>
        <v>0</v>
      </c>
      <c r="AI182" s="18">
        <v>1</v>
      </c>
      <c r="AJ182" s="19">
        <f>VLOOKUP(AG182,'DATABASE F&amp;B'!$C$3:$F$216,4,0)</f>
        <v>0</v>
      </c>
      <c r="AK182" s="19">
        <f t="shared" si="182"/>
        <v>0</v>
      </c>
      <c r="AL182" s="16"/>
      <c r="AM182" s="17">
        <f>VLOOKUP(AL182,'DATABASE F&amp;B'!$C$3:$F$216,2,0)</f>
        <v>0</v>
      </c>
      <c r="AN182" s="18">
        <v>1</v>
      </c>
      <c r="AO182" s="19">
        <f>VLOOKUP(AL182,'DATABASE F&amp;B'!$C$3:$F$216,4,0)</f>
        <v>0</v>
      </c>
      <c r="AP182" s="19">
        <f t="shared" si="183"/>
        <v>0</v>
      </c>
      <c r="AQ182" s="16"/>
      <c r="AR182" s="17">
        <f>VLOOKUP(AQ182,'DATABASE F&amp;B'!$C$3:$F$216,2,0)</f>
        <v>0</v>
      </c>
      <c r="AS182" s="18">
        <v>1</v>
      </c>
      <c r="AT182" s="19">
        <f>VLOOKUP(AQ182,'DATABASE F&amp;B'!$C$3:$F$216,4,0)</f>
        <v>0</v>
      </c>
      <c r="AU182" s="19">
        <f t="shared" si="184"/>
        <v>0</v>
      </c>
      <c r="AV182" s="16"/>
      <c r="AW182" s="17">
        <f>VLOOKUP(AV182,'DATABASE F&amp;B'!$C$3:$F$216,2,0)</f>
        <v>0</v>
      </c>
      <c r="AX182" s="18"/>
      <c r="AY182" s="19">
        <f>VLOOKUP(AV182,'DATABASE F&amp;B'!$C$3:$F$216,4,0)</f>
        <v>0</v>
      </c>
      <c r="AZ182" s="19">
        <f t="shared" si="185"/>
        <v>0</v>
      </c>
      <c r="BA182" s="16"/>
      <c r="BB182" s="17">
        <f>VLOOKUP(BA182,'DATABASE F&amp;B'!$C$3:$F$216,2,0)</f>
        <v>0</v>
      </c>
      <c r="BC182" s="18"/>
      <c r="BD182" s="19">
        <f>VLOOKUP(BA182,'DATABASE F&amp;B'!$C$3:$F$216,4,0)</f>
        <v>0</v>
      </c>
      <c r="BE182" s="19">
        <f t="shared" si="186"/>
        <v>0</v>
      </c>
      <c r="BF182" s="16"/>
      <c r="BG182" s="17">
        <f>VLOOKUP(BF182,'DATABASE F&amp;B'!$C$3:$F$216,2,0)</f>
        <v>0</v>
      </c>
      <c r="BH182" s="18"/>
      <c r="BI182" s="19">
        <f>VLOOKUP(BF182,'DATABASE F&amp;B'!$C$3:$F$216,4,0)</f>
        <v>0</v>
      </c>
      <c r="BJ182" s="19">
        <f t="shared" si="187"/>
        <v>0</v>
      </c>
      <c r="BK182" s="16"/>
      <c r="BL182" s="17">
        <f>VLOOKUP(BK182,'DATABASE F&amp;B'!$C$3:$F$210,2,0)</f>
        <v>0</v>
      </c>
      <c r="BM182" s="18"/>
      <c r="BN182" s="19">
        <f>VLOOKUP(BK182,'DATABASE F&amp;B'!$C$3:$F$210,4,0)</f>
        <v>0</v>
      </c>
      <c r="BO182" s="19">
        <f t="shared" si="188"/>
        <v>0</v>
      </c>
      <c r="BP182" s="16"/>
      <c r="BQ182" s="17">
        <f>VLOOKUP(BP182,'DATABASE F&amp;B'!$C$3:$F$210,2,0)</f>
        <v>0</v>
      </c>
      <c r="BR182" s="18"/>
      <c r="BS182" s="19">
        <f>VLOOKUP(BP182,'DATABASE F&amp;B'!$C$3:$F$210,4,0)</f>
        <v>0</v>
      </c>
      <c r="BT182" s="19">
        <f t="shared" si="189"/>
        <v>0</v>
      </c>
      <c r="BU182" s="16"/>
      <c r="BV182" s="17">
        <f>VLOOKUP(BU182,'DATABASE F&amp;B'!$C$3:$F$210,2,0)</f>
        <v>0</v>
      </c>
      <c r="BW182" s="18"/>
      <c r="BX182" s="19">
        <f>VLOOKUP(BU182,'DATABASE F&amp;B'!$C$3:$F$210,4,0)</f>
        <v>0</v>
      </c>
      <c r="BY182" s="19">
        <f t="shared" si="190"/>
        <v>0</v>
      </c>
      <c r="BZ182" s="16"/>
      <c r="CA182" s="17">
        <f>VLOOKUP(BZ182,'DATABASE F&amp;B'!$C$3:$F$210,2,0)</f>
        <v>0</v>
      </c>
      <c r="CB182" s="18"/>
      <c r="CC182" s="19">
        <f>VLOOKUP(BZ182,'DATABASE F&amp;B'!$C$3:$F$210,4,0)</f>
        <v>0</v>
      </c>
      <c r="CD182" s="19">
        <f t="shared" si="191"/>
        <v>0</v>
      </c>
    </row>
    <row r="183" spans="1:82" ht="13.5" x14ac:dyDescent="0.25">
      <c r="A183" s="32" t="str">
        <f t="shared" si="172"/>
        <v>05-'31-2026</v>
      </c>
      <c r="B183" s="22">
        <f t="shared" ref="B183:C198" si="194">B182+1</f>
        <v>179</v>
      </c>
      <c r="C183" s="22">
        <f t="shared" si="194"/>
        <v>179</v>
      </c>
      <c r="D183" s="34">
        <v>46173</v>
      </c>
      <c r="E183" s="35" t="s">
        <v>203</v>
      </c>
      <c r="F183" s="35" t="s">
        <v>202</v>
      </c>
      <c r="G183" s="52" t="s">
        <v>81</v>
      </c>
      <c r="H183" s="36" t="str">
        <f t="shared" si="170"/>
        <v>RJ-'310526-179</v>
      </c>
      <c r="I183" s="36" t="str">
        <f t="shared" si="173"/>
        <v>'31-05-2026</v>
      </c>
      <c r="J183" s="37" t="str">
        <f>VLOOKUP(D183,Laporan!$C$4:$D$34,2,0)</f>
        <v>Minggu</v>
      </c>
      <c r="K183" s="48"/>
      <c r="L183" s="13" t="s">
        <v>33</v>
      </c>
      <c r="M183" s="19">
        <f>SUMIF('DATABASE Room'!$B$3:$B$7,L183,'DATABASE Room'!$D$3:$D$7)</f>
        <v>0</v>
      </c>
      <c r="N183" s="13">
        <v>1</v>
      </c>
      <c r="O183" s="21">
        <f t="shared" si="174"/>
        <v>0</v>
      </c>
      <c r="P183" s="38"/>
      <c r="Q183" s="19">
        <f t="shared" si="175"/>
        <v>0</v>
      </c>
      <c r="R183" s="21">
        <f t="shared" si="176"/>
        <v>0</v>
      </c>
      <c r="S183" s="19">
        <f t="shared" si="177"/>
        <v>5</v>
      </c>
      <c r="T183" s="19">
        <f t="shared" si="178"/>
        <v>108000</v>
      </c>
      <c r="U183" s="21">
        <f t="shared" si="179"/>
        <v>108000</v>
      </c>
      <c r="V183" s="39"/>
      <c r="W183" s="16">
        <v>79</v>
      </c>
      <c r="X183" s="17" t="str">
        <f>VLOOKUP(W183,'DATABASE F&amp;B'!$C$3:$F$216,2,0)</f>
        <v>ERDINGER HELLES LAGER 330ML</v>
      </c>
      <c r="Y183" s="18">
        <v>1</v>
      </c>
      <c r="Z183" s="19">
        <f>VLOOKUP(W183,'DATABASE F&amp;B'!$C$3:$F$216,4,0)</f>
        <v>80000</v>
      </c>
      <c r="AA183" s="19">
        <f t="shared" si="180"/>
        <v>80000</v>
      </c>
      <c r="AB183" s="16">
        <v>10</v>
      </c>
      <c r="AC183" s="17" t="str">
        <f>VLOOKUP(AB183,'DATABASE F&amp;B'!$C$3:$F$216,2,0)</f>
        <v>KACANG LOFET DK</v>
      </c>
      <c r="AD183" s="18">
        <v>1</v>
      </c>
      <c r="AE183" s="19">
        <f>VLOOKUP(AB183,'DATABASE F&amp;B'!$C$3:$F$216,4,0)</f>
        <v>28000</v>
      </c>
      <c r="AF183" s="19">
        <f t="shared" si="181"/>
        <v>28000</v>
      </c>
      <c r="AG183" s="16"/>
      <c r="AH183" s="17">
        <f>VLOOKUP(AG183,'DATABASE F&amp;B'!$C$3:$F$216,2,0)</f>
        <v>0</v>
      </c>
      <c r="AI183" s="18">
        <v>1</v>
      </c>
      <c r="AJ183" s="19">
        <f>VLOOKUP(AG183,'DATABASE F&amp;B'!$C$3:$F$216,4,0)</f>
        <v>0</v>
      </c>
      <c r="AK183" s="19">
        <f t="shared" si="182"/>
        <v>0</v>
      </c>
      <c r="AL183" s="16"/>
      <c r="AM183" s="17">
        <f>VLOOKUP(AL183,'DATABASE F&amp;B'!$C$3:$F$216,2,0)</f>
        <v>0</v>
      </c>
      <c r="AN183" s="18">
        <v>1</v>
      </c>
      <c r="AO183" s="19">
        <f>VLOOKUP(AL183,'DATABASE F&amp;B'!$C$3:$F$216,4,0)</f>
        <v>0</v>
      </c>
      <c r="AP183" s="19">
        <f t="shared" si="183"/>
        <v>0</v>
      </c>
      <c r="AQ183" s="16"/>
      <c r="AR183" s="17">
        <f>VLOOKUP(AQ183,'DATABASE F&amp;B'!$C$3:$F$216,2,0)</f>
        <v>0</v>
      </c>
      <c r="AS183" s="18">
        <v>1</v>
      </c>
      <c r="AT183" s="19">
        <f>VLOOKUP(AQ183,'DATABASE F&amp;B'!$C$3:$F$216,4,0)</f>
        <v>0</v>
      </c>
      <c r="AU183" s="19">
        <f t="shared" si="184"/>
        <v>0</v>
      </c>
      <c r="AV183" s="16"/>
      <c r="AW183" s="17">
        <f>VLOOKUP(AV183,'DATABASE F&amp;B'!$C$3:$F$216,2,0)</f>
        <v>0</v>
      </c>
      <c r="AX183" s="18"/>
      <c r="AY183" s="19">
        <f>VLOOKUP(AV183,'DATABASE F&amp;B'!$C$3:$F$216,4,0)</f>
        <v>0</v>
      </c>
      <c r="AZ183" s="19">
        <f t="shared" si="185"/>
        <v>0</v>
      </c>
      <c r="BA183" s="16"/>
      <c r="BB183" s="17">
        <f>VLOOKUP(BA183,'DATABASE F&amp;B'!$C$3:$F$216,2,0)</f>
        <v>0</v>
      </c>
      <c r="BC183" s="18"/>
      <c r="BD183" s="19">
        <f>VLOOKUP(BA183,'DATABASE F&amp;B'!$C$3:$F$216,4,0)</f>
        <v>0</v>
      </c>
      <c r="BE183" s="19">
        <f t="shared" si="186"/>
        <v>0</v>
      </c>
      <c r="BF183" s="16"/>
      <c r="BG183" s="17">
        <f>VLOOKUP(BF183,'DATABASE F&amp;B'!$C$3:$F$216,2,0)</f>
        <v>0</v>
      </c>
      <c r="BH183" s="18"/>
      <c r="BI183" s="19">
        <f>VLOOKUP(BF183,'DATABASE F&amp;B'!$C$3:$F$216,4,0)</f>
        <v>0</v>
      </c>
      <c r="BJ183" s="19">
        <f t="shared" si="187"/>
        <v>0</v>
      </c>
      <c r="BK183" s="16"/>
      <c r="BL183" s="17">
        <f>VLOOKUP(BK183,'DATABASE F&amp;B'!$C$3:$F$210,2,0)</f>
        <v>0</v>
      </c>
      <c r="BM183" s="18"/>
      <c r="BN183" s="19">
        <f>VLOOKUP(BK183,'DATABASE F&amp;B'!$C$3:$F$210,4,0)</f>
        <v>0</v>
      </c>
      <c r="BO183" s="19">
        <f t="shared" si="188"/>
        <v>0</v>
      </c>
      <c r="BP183" s="16"/>
      <c r="BQ183" s="17">
        <f>VLOOKUP(BP183,'DATABASE F&amp;B'!$C$3:$F$210,2,0)</f>
        <v>0</v>
      </c>
      <c r="BR183" s="18"/>
      <c r="BS183" s="19">
        <f>VLOOKUP(BP183,'DATABASE F&amp;B'!$C$3:$F$210,4,0)</f>
        <v>0</v>
      </c>
      <c r="BT183" s="19">
        <f t="shared" si="189"/>
        <v>0</v>
      </c>
      <c r="BU183" s="16"/>
      <c r="BV183" s="17">
        <f>VLOOKUP(BU183,'DATABASE F&amp;B'!$C$3:$F$210,2,0)</f>
        <v>0</v>
      </c>
      <c r="BW183" s="18"/>
      <c r="BX183" s="19">
        <f>VLOOKUP(BU183,'DATABASE F&amp;B'!$C$3:$F$210,4,0)</f>
        <v>0</v>
      </c>
      <c r="BY183" s="19">
        <f t="shared" si="190"/>
        <v>0</v>
      </c>
      <c r="BZ183" s="16"/>
      <c r="CA183" s="17">
        <f>VLOOKUP(BZ183,'DATABASE F&amp;B'!$C$3:$F$210,2,0)</f>
        <v>0</v>
      </c>
      <c r="CB183" s="18"/>
      <c r="CC183" s="19">
        <f>VLOOKUP(BZ183,'DATABASE F&amp;B'!$C$3:$F$210,4,0)</f>
        <v>0</v>
      </c>
      <c r="CD183" s="19">
        <f t="shared" si="191"/>
        <v>0</v>
      </c>
    </row>
    <row r="184" spans="1:82" s="63" customFormat="1" ht="13.5" x14ac:dyDescent="0.25">
      <c r="A184" s="62" t="str">
        <f t="shared" si="172"/>
        <v>--20</v>
      </c>
      <c r="B184" s="63">
        <f t="shared" si="194"/>
        <v>180</v>
      </c>
      <c r="C184" s="63">
        <f t="shared" si="194"/>
        <v>180</v>
      </c>
      <c r="D184" s="64"/>
      <c r="E184" s="65"/>
      <c r="F184" s="65"/>
      <c r="G184" s="66"/>
      <c r="H184" s="67" t="str">
        <f t="shared" si="170"/>
        <v>RJ--180</v>
      </c>
      <c r="I184" s="67" t="str">
        <f t="shared" si="173"/>
        <v>--20</v>
      </c>
      <c r="J184" s="68" t="e">
        <f>VLOOKUP(D184,Laporan!$C$4:$D$34,2,0)</f>
        <v>#N/A</v>
      </c>
      <c r="K184" s="69"/>
      <c r="L184" s="70"/>
      <c r="M184" s="71">
        <f>SUMIF('DATABASE Room'!$B$3:$B$7,L184,'DATABASE Room'!$D$3:$D$7)</f>
        <v>0</v>
      </c>
      <c r="N184" s="70"/>
      <c r="O184" s="72">
        <f t="shared" si="174"/>
        <v>0</v>
      </c>
      <c r="P184" s="73"/>
      <c r="Q184" s="71">
        <f t="shared" si="175"/>
        <v>0</v>
      </c>
      <c r="R184" s="72">
        <f t="shared" si="176"/>
        <v>0</v>
      </c>
      <c r="S184" s="71">
        <f t="shared" si="177"/>
        <v>3</v>
      </c>
      <c r="T184" s="71">
        <f t="shared" si="178"/>
        <v>0</v>
      </c>
      <c r="U184" s="72">
        <f t="shared" si="179"/>
        <v>0</v>
      </c>
      <c r="V184" s="74"/>
      <c r="W184" s="75"/>
      <c r="X184" s="76">
        <f>VLOOKUP(W184,'DATABASE F&amp;B'!$C$3:$F$216,2,0)</f>
        <v>0</v>
      </c>
      <c r="Y184" s="77"/>
      <c r="Z184" s="71">
        <f>VLOOKUP(W184,'DATABASE F&amp;B'!$C$3:$F$216,4,0)</f>
        <v>0</v>
      </c>
      <c r="AA184" s="71">
        <f t="shared" si="180"/>
        <v>0</v>
      </c>
      <c r="AB184" s="75"/>
      <c r="AC184" s="76">
        <f>VLOOKUP(AB184,'DATABASE F&amp;B'!$C$3:$F$216,2,0)</f>
        <v>0</v>
      </c>
      <c r="AD184" s="77"/>
      <c r="AE184" s="71">
        <f>VLOOKUP(AB184,'DATABASE F&amp;B'!$C$3:$F$216,4,0)</f>
        <v>0</v>
      </c>
      <c r="AF184" s="71">
        <f t="shared" si="181"/>
        <v>0</v>
      </c>
      <c r="AG184" s="75"/>
      <c r="AH184" s="76">
        <f>VLOOKUP(AG184,'DATABASE F&amp;B'!$C$3:$F$216,2,0)</f>
        <v>0</v>
      </c>
      <c r="AI184" s="77">
        <v>1</v>
      </c>
      <c r="AJ184" s="71">
        <f>VLOOKUP(AG184,'DATABASE F&amp;B'!$C$3:$F$216,4,0)</f>
        <v>0</v>
      </c>
      <c r="AK184" s="71">
        <f t="shared" si="182"/>
        <v>0</v>
      </c>
      <c r="AL184" s="75"/>
      <c r="AM184" s="76">
        <f>VLOOKUP(AL184,'DATABASE F&amp;B'!$C$3:$F$216,2,0)</f>
        <v>0</v>
      </c>
      <c r="AN184" s="77">
        <v>1</v>
      </c>
      <c r="AO184" s="71">
        <f>VLOOKUP(AL184,'DATABASE F&amp;B'!$C$3:$F$216,4,0)</f>
        <v>0</v>
      </c>
      <c r="AP184" s="71">
        <f t="shared" si="183"/>
        <v>0</v>
      </c>
      <c r="AQ184" s="75"/>
      <c r="AR184" s="76">
        <f>VLOOKUP(AQ184,'DATABASE F&amp;B'!$C$3:$F$216,2,0)</f>
        <v>0</v>
      </c>
      <c r="AS184" s="77">
        <v>1</v>
      </c>
      <c r="AT184" s="71">
        <f>VLOOKUP(AQ184,'DATABASE F&amp;B'!$C$3:$F$216,4,0)</f>
        <v>0</v>
      </c>
      <c r="AU184" s="71">
        <f t="shared" si="184"/>
        <v>0</v>
      </c>
      <c r="AV184" s="75"/>
      <c r="AW184" s="76">
        <f>VLOOKUP(AV184,'DATABASE F&amp;B'!$C$3:$F$216,2,0)</f>
        <v>0</v>
      </c>
      <c r="AX184" s="77"/>
      <c r="AY184" s="71">
        <f>VLOOKUP(AV184,'DATABASE F&amp;B'!$C$3:$F$216,4,0)</f>
        <v>0</v>
      </c>
      <c r="AZ184" s="71">
        <f t="shared" si="185"/>
        <v>0</v>
      </c>
      <c r="BA184" s="75"/>
      <c r="BB184" s="76">
        <f>VLOOKUP(BA184,'DATABASE F&amp;B'!$C$3:$F$216,2,0)</f>
        <v>0</v>
      </c>
      <c r="BC184" s="77"/>
      <c r="BD184" s="71">
        <f>VLOOKUP(BA184,'DATABASE F&amp;B'!$C$3:$F$216,4,0)</f>
        <v>0</v>
      </c>
      <c r="BE184" s="71">
        <f t="shared" si="186"/>
        <v>0</v>
      </c>
      <c r="BF184" s="75"/>
      <c r="BG184" s="76">
        <f>VLOOKUP(BF184,'DATABASE F&amp;B'!$C$3:$F$216,2,0)</f>
        <v>0</v>
      </c>
      <c r="BH184" s="77"/>
      <c r="BI184" s="71">
        <f>VLOOKUP(BF184,'DATABASE F&amp;B'!$C$3:$F$216,4,0)</f>
        <v>0</v>
      </c>
      <c r="BJ184" s="71">
        <f t="shared" si="187"/>
        <v>0</v>
      </c>
      <c r="BK184" s="75"/>
      <c r="BL184" s="76">
        <f>VLOOKUP(BK184,'DATABASE F&amp;B'!$C$3:$F$210,2,0)</f>
        <v>0</v>
      </c>
      <c r="BM184" s="77"/>
      <c r="BN184" s="71">
        <f>VLOOKUP(BK184,'DATABASE F&amp;B'!$C$3:$F$210,4,0)</f>
        <v>0</v>
      </c>
      <c r="BO184" s="71">
        <f t="shared" si="188"/>
        <v>0</v>
      </c>
      <c r="BP184" s="75"/>
      <c r="BQ184" s="76">
        <f>VLOOKUP(BP184,'DATABASE F&amp;B'!$C$3:$F$210,2,0)</f>
        <v>0</v>
      </c>
      <c r="BR184" s="77"/>
      <c r="BS184" s="71">
        <f>VLOOKUP(BP184,'DATABASE F&amp;B'!$C$3:$F$210,4,0)</f>
        <v>0</v>
      </c>
      <c r="BT184" s="71">
        <f t="shared" si="189"/>
        <v>0</v>
      </c>
      <c r="BU184" s="75"/>
      <c r="BV184" s="76">
        <f>VLOOKUP(BU184,'DATABASE F&amp;B'!$C$3:$F$210,2,0)</f>
        <v>0</v>
      </c>
      <c r="BW184" s="77"/>
      <c r="BX184" s="71">
        <f>VLOOKUP(BU184,'DATABASE F&amp;B'!$C$3:$F$210,4,0)</f>
        <v>0</v>
      </c>
      <c r="BY184" s="71">
        <f t="shared" si="190"/>
        <v>0</v>
      </c>
      <c r="BZ184" s="75"/>
      <c r="CA184" s="76">
        <f>VLOOKUP(BZ184,'DATABASE F&amp;B'!$C$3:$F$210,2,0)</f>
        <v>0</v>
      </c>
      <c r="CB184" s="77"/>
      <c r="CC184" s="71">
        <f>VLOOKUP(BZ184,'DATABASE F&amp;B'!$C$3:$F$210,4,0)</f>
        <v>0</v>
      </c>
      <c r="CD184" s="71">
        <f t="shared" si="191"/>
        <v>0</v>
      </c>
    </row>
    <row r="185" spans="1:82" ht="13.5" x14ac:dyDescent="0.25">
      <c r="A185" s="32" t="str">
        <f t="shared" si="172"/>
        <v>--20</v>
      </c>
      <c r="B185" s="22">
        <f t="shared" si="194"/>
        <v>181</v>
      </c>
      <c r="C185" s="22">
        <f t="shared" si="194"/>
        <v>181</v>
      </c>
      <c r="D185" s="34"/>
      <c r="E185" s="35"/>
      <c r="F185" s="35"/>
      <c r="G185" s="52"/>
      <c r="H185" s="36" t="str">
        <f t="shared" si="170"/>
        <v>RJ--181</v>
      </c>
      <c r="I185" s="36" t="str">
        <f t="shared" si="173"/>
        <v>--20</v>
      </c>
      <c r="J185" s="37" t="e">
        <f>VLOOKUP(D185,Laporan!$C$4:$D$34,2,0)</f>
        <v>#N/A</v>
      </c>
      <c r="K185" s="48"/>
      <c r="L185" s="13"/>
      <c r="M185" s="19">
        <f>SUMIF('DATABASE Room'!$B$3:$B$7,L185,'DATABASE Room'!$D$3:$D$7)</f>
        <v>0</v>
      </c>
      <c r="N185" s="13"/>
      <c r="O185" s="21">
        <f t="shared" si="174"/>
        <v>0</v>
      </c>
      <c r="P185" s="38"/>
      <c r="Q185" s="19">
        <f t="shared" si="175"/>
        <v>0</v>
      </c>
      <c r="R185" s="21">
        <f t="shared" si="176"/>
        <v>0</v>
      </c>
      <c r="S185" s="19">
        <f t="shared" si="177"/>
        <v>3</v>
      </c>
      <c r="T185" s="19">
        <f t="shared" si="178"/>
        <v>0</v>
      </c>
      <c r="U185" s="21">
        <f t="shared" si="179"/>
        <v>0</v>
      </c>
      <c r="V185" s="39"/>
      <c r="W185" s="16"/>
      <c r="X185" s="17">
        <f>VLOOKUP(W185,'DATABASE F&amp;B'!$C$3:$F$216,2,0)</f>
        <v>0</v>
      </c>
      <c r="Y185" s="18"/>
      <c r="Z185" s="19">
        <f>VLOOKUP(W185,'DATABASE F&amp;B'!$C$3:$F$216,4,0)</f>
        <v>0</v>
      </c>
      <c r="AA185" s="19">
        <f t="shared" si="180"/>
        <v>0</v>
      </c>
      <c r="AB185" s="16"/>
      <c r="AC185" s="17">
        <f>VLOOKUP(AB185,'DATABASE F&amp;B'!$C$3:$F$216,2,0)</f>
        <v>0</v>
      </c>
      <c r="AD185" s="18"/>
      <c r="AE185" s="19">
        <f>VLOOKUP(AB185,'DATABASE F&amp;B'!$C$3:$F$216,4,0)</f>
        <v>0</v>
      </c>
      <c r="AF185" s="19">
        <f t="shared" si="181"/>
        <v>0</v>
      </c>
      <c r="AG185" s="16"/>
      <c r="AH185" s="17">
        <f>VLOOKUP(AG185,'DATABASE F&amp;B'!$C$3:$F$216,2,0)</f>
        <v>0</v>
      </c>
      <c r="AI185" s="18">
        <v>1</v>
      </c>
      <c r="AJ185" s="19">
        <f>VLOOKUP(AG185,'DATABASE F&amp;B'!$C$3:$F$216,4,0)</f>
        <v>0</v>
      </c>
      <c r="AK185" s="19">
        <f t="shared" si="182"/>
        <v>0</v>
      </c>
      <c r="AL185" s="16"/>
      <c r="AM185" s="17">
        <f>VLOOKUP(AL185,'DATABASE F&amp;B'!$C$3:$F$216,2,0)</f>
        <v>0</v>
      </c>
      <c r="AN185" s="18">
        <v>1</v>
      </c>
      <c r="AO185" s="19">
        <f>VLOOKUP(AL185,'DATABASE F&amp;B'!$C$3:$F$216,4,0)</f>
        <v>0</v>
      </c>
      <c r="AP185" s="19">
        <f t="shared" si="183"/>
        <v>0</v>
      </c>
      <c r="AQ185" s="16"/>
      <c r="AR185" s="17">
        <f>VLOOKUP(AQ185,'DATABASE F&amp;B'!$C$3:$F$216,2,0)</f>
        <v>0</v>
      </c>
      <c r="AS185" s="18">
        <v>1</v>
      </c>
      <c r="AT185" s="19">
        <f>VLOOKUP(AQ185,'DATABASE F&amp;B'!$C$3:$F$216,4,0)</f>
        <v>0</v>
      </c>
      <c r="AU185" s="19">
        <f t="shared" si="184"/>
        <v>0</v>
      </c>
      <c r="AV185" s="16"/>
      <c r="AW185" s="17">
        <f>VLOOKUP(AV185,'DATABASE F&amp;B'!$C$3:$F$216,2,0)</f>
        <v>0</v>
      </c>
      <c r="AX185" s="18"/>
      <c r="AY185" s="19">
        <f>VLOOKUP(AV185,'DATABASE F&amp;B'!$C$3:$F$216,4,0)</f>
        <v>0</v>
      </c>
      <c r="AZ185" s="19">
        <f t="shared" si="185"/>
        <v>0</v>
      </c>
      <c r="BA185" s="16"/>
      <c r="BB185" s="17">
        <f>VLOOKUP(BA185,'DATABASE F&amp;B'!$C$3:$F$216,2,0)</f>
        <v>0</v>
      </c>
      <c r="BC185" s="18"/>
      <c r="BD185" s="19">
        <f>VLOOKUP(BA185,'DATABASE F&amp;B'!$C$3:$F$216,4,0)</f>
        <v>0</v>
      </c>
      <c r="BE185" s="19">
        <f t="shared" si="186"/>
        <v>0</v>
      </c>
      <c r="BF185" s="16"/>
      <c r="BG185" s="17">
        <f>VLOOKUP(BF185,'DATABASE F&amp;B'!$C$3:$F$216,2,0)</f>
        <v>0</v>
      </c>
      <c r="BH185" s="18"/>
      <c r="BI185" s="19">
        <f>VLOOKUP(BF185,'DATABASE F&amp;B'!$C$3:$F$216,4,0)</f>
        <v>0</v>
      </c>
      <c r="BJ185" s="19">
        <f t="shared" si="187"/>
        <v>0</v>
      </c>
      <c r="BK185" s="16"/>
      <c r="BL185" s="17">
        <f>VLOOKUP(BK185,'DATABASE F&amp;B'!$C$3:$F$210,2,0)</f>
        <v>0</v>
      </c>
      <c r="BM185" s="18"/>
      <c r="BN185" s="19">
        <f>VLOOKUP(BK185,'DATABASE F&amp;B'!$C$3:$F$210,4,0)</f>
        <v>0</v>
      </c>
      <c r="BO185" s="19">
        <f t="shared" si="188"/>
        <v>0</v>
      </c>
      <c r="BP185" s="16"/>
      <c r="BQ185" s="17">
        <f>VLOOKUP(BP185,'DATABASE F&amp;B'!$C$3:$F$210,2,0)</f>
        <v>0</v>
      </c>
      <c r="BR185" s="18"/>
      <c r="BS185" s="19">
        <f>VLOOKUP(BP185,'DATABASE F&amp;B'!$C$3:$F$210,4,0)</f>
        <v>0</v>
      </c>
      <c r="BT185" s="19">
        <f t="shared" si="189"/>
        <v>0</v>
      </c>
      <c r="BU185" s="16"/>
      <c r="BV185" s="17">
        <f>VLOOKUP(BU185,'DATABASE F&amp;B'!$C$3:$F$210,2,0)</f>
        <v>0</v>
      </c>
      <c r="BW185" s="18"/>
      <c r="BX185" s="19">
        <f>VLOOKUP(BU185,'DATABASE F&amp;B'!$C$3:$F$210,4,0)</f>
        <v>0</v>
      </c>
      <c r="BY185" s="19">
        <f t="shared" si="190"/>
        <v>0</v>
      </c>
      <c r="BZ185" s="16"/>
      <c r="CA185" s="17">
        <f>VLOOKUP(BZ185,'DATABASE F&amp;B'!$C$3:$F$210,2,0)</f>
        <v>0</v>
      </c>
      <c r="CB185" s="18"/>
      <c r="CC185" s="19">
        <f>VLOOKUP(BZ185,'DATABASE F&amp;B'!$C$3:$F$210,4,0)</f>
        <v>0</v>
      </c>
      <c r="CD185" s="19">
        <f t="shared" si="191"/>
        <v>0</v>
      </c>
    </row>
    <row r="186" spans="1:82" ht="13.5" x14ac:dyDescent="0.25">
      <c r="A186" s="32" t="str">
        <f t="shared" si="172"/>
        <v>--20</v>
      </c>
      <c r="B186" s="22">
        <f t="shared" si="194"/>
        <v>182</v>
      </c>
      <c r="C186" s="22">
        <f t="shared" si="194"/>
        <v>182</v>
      </c>
      <c r="D186" s="34"/>
      <c r="E186" s="35"/>
      <c r="F186" s="35"/>
      <c r="G186" s="52"/>
      <c r="H186" s="36" t="str">
        <f t="shared" si="170"/>
        <v>RJ--182</v>
      </c>
      <c r="I186" s="36" t="str">
        <f t="shared" si="173"/>
        <v>--20</v>
      </c>
      <c r="J186" s="37" t="e">
        <f>VLOOKUP(D186,Laporan!$C$4:$D$34,2,0)</f>
        <v>#N/A</v>
      </c>
      <c r="K186" s="48"/>
      <c r="L186" s="13"/>
      <c r="M186" s="19">
        <f>SUMIF('DATABASE Room'!$B$3:$B$7,L186,'DATABASE Room'!$D$3:$D$7)</f>
        <v>0</v>
      </c>
      <c r="N186" s="13"/>
      <c r="O186" s="21">
        <f t="shared" si="174"/>
        <v>0</v>
      </c>
      <c r="P186" s="38"/>
      <c r="Q186" s="19">
        <f t="shared" si="175"/>
        <v>0</v>
      </c>
      <c r="R186" s="21">
        <f t="shared" si="176"/>
        <v>0</v>
      </c>
      <c r="S186" s="19">
        <f t="shared" si="177"/>
        <v>3</v>
      </c>
      <c r="T186" s="19">
        <f t="shared" si="178"/>
        <v>0</v>
      </c>
      <c r="U186" s="21">
        <f t="shared" si="179"/>
        <v>0</v>
      </c>
      <c r="V186" s="39"/>
      <c r="W186" s="16"/>
      <c r="X186" s="17">
        <f>VLOOKUP(W186,'DATABASE F&amp;B'!$C$3:$F$216,2,0)</f>
        <v>0</v>
      </c>
      <c r="Y186" s="18"/>
      <c r="Z186" s="19">
        <f>VLOOKUP(W186,'DATABASE F&amp;B'!$C$3:$F$216,4,0)</f>
        <v>0</v>
      </c>
      <c r="AA186" s="19">
        <f t="shared" si="180"/>
        <v>0</v>
      </c>
      <c r="AB186" s="16"/>
      <c r="AC186" s="17">
        <f>VLOOKUP(AB186,'DATABASE F&amp;B'!$C$3:$F$216,2,0)</f>
        <v>0</v>
      </c>
      <c r="AD186" s="18"/>
      <c r="AE186" s="19">
        <f>VLOOKUP(AB186,'DATABASE F&amp;B'!$C$3:$F$216,4,0)</f>
        <v>0</v>
      </c>
      <c r="AF186" s="19">
        <f t="shared" si="181"/>
        <v>0</v>
      </c>
      <c r="AG186" s="16"/>
      <c r="AH186" s="17">
        <f>VLOOKUP(AG186,'DATABASE F&amp;B'!$C$3:$F$216,2,0)</f>
        <v>0</v>
      </c>
      <c r="AI186" s="18">
        <v>1</v>
      </c>
      <c r="AJ186" s="19">
        <f>VLOOKUP(AG186,'DATABASE F&amp;B'!$C$3:$F$216,4,0)</f>
        <v>0</v>
      </c>
      <c r="AK186" s="19">
        <f t="shared" si="182"/>
        <v>0</v>
      </c>
      <c r="AL186" s="16"/>
      <c r="AM186" s="17">
        <f>VLOOKUP(AL186,'DATABASE F&amp;B'!$C$3:$F$216,2,0)</f>
        <v>0</v>
      </c>
      <c r="AN186" s="18">
        <v>1</v>
      </c>
      <c r="AO186" s="19">
        <f>VLOOKUP(AL186,'DATABASE F&amp;B'!$C$3:$F$216,4,0)</f>
        <v>0</v>
      </c>
      <c r="AP186" s="19">
        <f t="shared" si="183"/>
        <v>0</v>
      </c>
      <c r="AQ186" s="16"/>
      <c r="AR186" s="17">
        <f>VLOOKUP(AQ186,'DATABASE F&amp;B'!$C$3:$F$216,2,0)</f>
        <v>0</v>
      </c>
      <c r="AS186" s="18">
        <v>1</v>
      </c>
      <c r="AT186" s="19">
        <f>VLOOKUP(AQ186,'DATABASE F&amp;B'!$C$3:$F$216,4,0)</f>
        <v>0</v>
      </c>
      <c r="AU186" s="19">
        <f t="shared" si="184"/>
        <v>0</v>
      </c>
      <c r="AV186" s="16"/>
      <c r="AW186" s="17">
        <f>VLOOKUP(AV186,'DATABASE F&amp;B'!$C$3:$F$216,2,0)</f>
        <v>0</v>
      </c>
      <c r="AX186" s="18"/>
      <c r="AY186" s="19">
        <f>VLOOKUP(AV186,'DATABASE F&amp;B'!$C$3:$F$216,4,0)</f>
        <v>0</v>
      </c>
      <c r="AZ186" s="19">
        <f t="shared" si="185"/>
        <v>0</v>
      </c>
      <c r="BA186" s="16"/>
      <c r="BB186" s="17">
        <f>VLOOKUP(BA186,'DATABASE F&amp;B'!$C$3:$F$216,2,0)</f>
        <v>0</v>
      </c>
      <c r="BC186" s="18"/>
      <c r="BD186" s="19">
        <f>VLOOKUP(BA186,'DATABASE F&amp;B'!$C$3:$F$216,4,0)</f>
        <v>0</v>
      </c>
      <c r="BE186" s="19">
        <f t="shared" si="186"/>
        <v>0</v>
      </c>
      <c r="BF186" s="16"/>
      <c r="BG186" s="17">
        <f>VLOOKUP(BF186,'DATABASE F&amp;B'!$C$3:$F$216,2,0)</f>
        <v>0</v>
      </c>
      <c r="BH186" s="18"/>
      <c r="BI186" s="19">
        <f>VLOOKUP(BF186,'DATABASE F&amp;B'!$C$3:$F$216,4,0)</f>
        <v>0</v>
      </c>
      <c r="BJ186" s="19">
        <f t="shared" si="187"/>
        <v>0</v>
      </c>
      <c r="BK186" s="16"/>
      <c r="BL186" s="17">
        <f>VLOOKUP(BK186,'DATABASE F&amp;B'!$C$3:$F$210,2,0)</f>
        <v>0</v>
      </c>
      <c r="BM186" s="18"/>
      <c r="BN186" s="19">
        <f>VLOOKUP(BK186,'DATABASE F&amp;B'!$C$3:$F$210,4,0)</f>
        <v>0</v>
      </c>
      <c r="BO186" s="19">
        <f t="shared" si="188"/>
        <v>0</v>
      </c>
      <c r="BP186" s="16"/>
      <c r="BQ186" s="17">
        <f>VLOOKUP(BP186,'DATABASE F&amp;B'!$C$3:$F$210,2,0)</f>
        <v>0</v>
      </c>
      <c r="BR186" s="18"/>
      <c r="BS186" s="19">
        <f>VLOOKUP(BP186,'DATABASE F&amp;B'!$C$3:$F$210,4,0)</f>
        <v>0</v>
      </c>
      <c r="BT186" s="19">
        <f t="shared" si="189"/>
        <v>0</v>
      </c>
      <c r="BU186" s="16"/>
      <c r="BV186" s="17">
        <f>VLOOKUP(BU186,'DATABASE F&amp;B'!$C$3:$F$210,2,0)</f>
        <v>0</v>
      </c>
      <c r="BW186" s="18"/>
      <c r="BX186" s="19">
        <f>VLOOKUP(BU186,'DATABASE F&amp;B'!$C$3:$F$210,4,0)</f>
        <v>0</v>
      </c>
      <c r="BY186" s="19">
        <f t="shared" si="190"/>
        <v>0</v>
      </c>
      <c r="BZ186" s="16"/>
      <c r="CA186" s="17">
        <f>VLOOKUP(BZ186,'DATABASE F&amp;B'!$C$3:$F$210,2,0)</f>
        <v>0</v>
      </c>
      <c r="CB186" s="18"/>
      <c r="CC186" s="19">
        <f>VLOOKUP(BZ186,'DATABASE F&amp;B'!$C$3:$F$210,4,0)</f>
        <v>0</v>
      </c>
      <c r="CD186" s="19">
        <f t="shared" si="191"/>
        <v>0</v>
      </c>
    </row>
    <row r="187" spans="1:82" ht="13.5" x14ac:dyDescent="0.25">
      <c r="A187" s="32" t="str">
        <f t="shared" si="172"/>
        <v>--20</v>
      </c>
      <c r="B187" s="22">
        <f t="shared" si="194"/>
        <v>183</v>
      </c>
      <c r="C187" s="22">
        <f t="shared" si="194"/>
        <v>183</v>
      </c>
      <c r="D187" s="34"/>
      <c r="E187" s="35"/>
      <c r="F187" s="35"/>
      <c r="G187" s="52"/>
      <c r="H187" s="36" t="str">
        <f t="shared" si="170"/>
        <v>RJ--183</v>
      </c>
      <c r="I187" s="36" t="str">
        <f t="shared" si="173"/>
        <v>--20</v>
      </c>
      <c r="J187" s="37" t="e">
        <f>VLOOKUP(D187,Laporan!$C$4:$D$34,2,0)</f>
        <v>#N/A</v>
      </c>
      <c r="K187" s="48"/>
      <c r="L187" s="13"/>
      <c r="M187" s="19">
        <f>SUMIF('DATABASE Room'!$B$3:$B$7,L187,'DATABASE Room'!$D$3:$D$7)</f>
        <v>0</v>
      </c>
      <c r="N187" s="13"/>
      <c r="O187" s="21">
        <f t="shared" si="174"/>
        <v>0</v>
      </c>
      <c r="P187" s="38"/>
      <c r="Q187" s="19">
        <f t="shared" si="175"/>
        <v>0</v>
      </c>
      <c r="R187" s="21">
        <f t="shared" si="176"/>
        <v>0</v>
      </c>
      <c r="S187" s="19">
        <f t="shared" si="177"/>
        <v>3</v>
      </c>
      <c r="T187" s="19">
        <f t="shared" si="178"/>
        <v>0</v>
      </c>
      <c r="U187" s="21">
        <f t="shared" si="179"/>
        <v>0</v>
      </c>
      <c r="V187" s="39"/>
      <c r="W187" s="16"/>
      <c r="X187" s="17">
        <f>VLOOKUP(W187,'DATABASE F&amp;B'!$C$3:$F$216,2,0)</f>
        <v>0</v>
      </c>
      <c r="Y187" s="18"/>
      <c r="Z187" s="19">
        <f>VLOOKUP(W187,'DATABASE F&amp;B'!$C$3:$F$216,4,0)</f>
        <v>0</v>
      </c>
      <c r="AA187" s="19">
        <f t="shared" si="180"/>
        <v>0</v>
      </c>
      <c r="AB187" s="16"/>
      <c r="AC187" s="17">
        <f>VLOOKUP(AB187,'DATABASE F&amp;B'!$C$3:$F$216,2,0)</f>
        <v>0</v>
      </c>
      <c r="AD187" s="18"/>
      <c r="AE187" s="19">
        <f>VLOOKUP(AB187,'DATABASE F&amp;B'!$C$3:$F$216,4,0)</f>
        <v>0</v>
      </c>
      <c r="AF187" s="19">
        <f t="shared" si="181"/>
        <v>0</v>
      </c>
      <c r="AG187" s="16"/>
      <c r="AH187" s="17">
        <f>VLOOKUP(AG187,'DATABASE F&amp;B'!$C$3:$F$216,2,0)</f>
        <v>0</v>
      </c>
      <c r="AI187" s="18">
        <v>1</v>
      </c>
      <c r="AJ187" s="19">
        <f>VLOOKUP(AG187,'DATABASE F&amp;B'!$C$3:$F$216,4,0)</f>
        <v>0</v>
      </c>
      <c r="AK187" s="19">
        <f t="shared" si="182"/>
        <v>0</v>
      </c>
      <c r="AL187" s="16"/>
      <c r="AM187" s="17">
        <f>VLOOKUP(AL187,'DATABASE F&amp;B'!$C$3:$F$216,2,0)</f>
        <v>0</v>
      </c>
      <c r="AN187" s="18">
        <v>1</v>
      </c>
      <c r="AO187" s="19">
        <f>VLOOKUP(AL187,'DATABASE F&amp;B'!$C$3:$F$216,4,0)</f>
        <v>0</v>
      </c>
      <c r="AP187" s="19">
        <f t="shared" si="183"/>
        <v>0</v>
      </c>
      <c r="AQ187" s="16"/>
      <c r="AR187" s="17">
        <f>VLOOKUP(AQ187,'DATABASE F&amp;B'!$C$3:$F$216,2,0)</f>
        <v>0</v>
      </c>
      <c r="AS187" s="18">
        <v>1</v>
      </c>
      <c r="AT187" s="19">
        <f>VLOOKUP(AQ187,'DATABASE F&amp;B'!$C$3:$F$216,4,0)</f>
        <v>0</v>
      </c>
      <c r="AU187" s="19">
        <f t="shared" si="184"/>
        <v>0</v>
      </c>
      <c r="AV187" s="16"/>
      <c r="AW187" s="17">
        <f>VLOOKUP(AV187,'DATABASE F&amp;B'!$C$3:$F$216,2,0)</f>
        <v>0</v>
      </c>
      <c r="AX187" s="18"/>
      <c r="AY187" s="19">
        <f>VLOOKUP(AV187,'DATABASE F&amp;B'!$C$3:$F$216,4,0)</f>
        <v>0</v>
      </c>
      <c r="AZ187" s="19">
        <f t="shared" si="185"/>
        <v>0</v>
      </c>
      <c r="BA187" s="16"/>
      <c r="BB187" s="17">
        <f>VLOOKUP(BA187,'DATABASE F&amp;B'!$C$3:$F$216,2,0)</f>
        <v>0</v>
      </c>
      <c r="BC187" s="18"/>
      <c r="BD187" s="19">
        <f>VLOOKUP(BA187,'DATABASE F&amp;B'!$C$3:$F$216,4,0)</f>
        <v>0</v>
      </c>
      <c r="BE187" s="19">
        <f t="shared" si="186"/>
        <v>0</v>
      </c>
      <c r="BF187" s="16"/>
      <c r="BG187" s="17">
        <f>VLOOKUP(BF187,'DATABASE F&amp;B'!$C$3:$F$216,2,0)</f>
        <v>0</v>
      </c>
      <c r="BH187" s="18"/>
      <c r="BI187" s="19">
        <f>VLOOKUP(BF187,'DATABASE F&amp;B'!$C$3:$F$216,4,0)</f>
        <v>0</v>
      </c>
      <c r="BJ187" s="19">
        <f t="shared" si="187"/>
        <v>0</v>
      </c>
      <c r="BK187" s="16"/>
      <c r="BL187" s="17">
        <f>VLOOKUP(BK187,'DATABASE F&amp;B'!$C$3:$F$210,2,0)</f>
        <v>0</v>
      </c>
      <c r="BM187" s="18"/>
      <c r="BN187" s="19">
        <f>VLOOKUP(BK187,'DATABASE F&amp;B'!$C$3:$F$210,4,0)</f>
        <v>0</v>
      </c>
      <c r="BO187" s="19">
        <f t="shared" si="188"/>
        <v>0</v>
      </c>
      <c r="BP187" s="16"/>
      <c r="BQ187" s="17">
        <f>VLOOKUP(BP187,'DATABASE F&amp;B'!$C$3:$F$210,2,0)</f>
        <v>0</v>
      </c>
      <c r="BR187" s="18"/>
      <c r="BS187" s="19">
        <f>VLOOKUP(BP187,'DATABASE F&amp;B'!$C$3:$F$210,4,0)</f>
        <v>0</v>
      </c>
      <c r="BT187" s="19">
        <f t="shared" si="189"/>
        <v>0</v>
      </c>
      <c r="BU187" s="16"/>
      <c r="BV187" s="17">
        <f>VLOOKUP(BU187,'DATABASE F&amp;B'!$C$3:$F$210,2,0)</f>
        <v>0</v>
      </c>
      <c r="BW187" s="18"/>
      <c r="BX187" s="19">
        <f>VLOOKUP(BU187,'DATABASE F&amp;B'!$C$3:$F$210,4,0)</f>
        <v>0</v>
      </c>
      <c r="BY187" s="19">
        <f t="shared" si="190"/>
        <v>0</v>
      </c>
      <c r="BZ187" s="16"/>
      <c r="CA187" s="17">
        <f>VLOOKUP(BZ187,'DATABASE F&amp;B'!$C$3:$F$210,2,0)</f>
        <v>0</v>
      </c>
      <c r="CB187" s="18"/>
      <c r="CC187" s="19">
        <f>VLOOKUP(BZ187,'DATABASE F&amp;B'!$C$3:$F$210,4,0)</f>
        <v>0</v>
      </c>
      <c r="CD187" s="19">
        <f t="shared" si="191"/>
        <v>0</v>
      </c>
    </row>
    <row r="188" spans="1:82" ht="13.5" x14ac:dyDescent="0.25">
      <c r="A188" s="32" t="str">
        <f t="shared" si="172"/>
        <v>--20</v>
      </c>
      <c r="B188" s="22">
        <f t="shared" si="194"/>
        <v>184</v>
      </c>
      <c r="C188" s="22">
        <f t="shared" si="194"/>
        <v>184</v>
      </c>
      <c r="D188" s="34"/>
      <c r="E188" s="35"/>
      <c r="F188" s="35"/>
      <c r="G188" s="52"/>
      <c r="H188" s="36" t="str">
        <f t="shared" si="170"/>
        <v>RJ--184</v>
      </c>
      <c r="I188" s="36" t="str">
        <f t="shared" si="173"/>
        <v>--20</v>
      </c>
      <c r="J188" s="37" t="e">
        <f>VLOOKUP(D188,Laporan!$C$4:$D$34,2,0)</f>
        <v>#N/A</v>
      </c>
      <c r="K188" s="48"/>
      <c r="L188" s="13"/>
      <c r="M188" s="19">
        <f>SUMIF('DATABASE Room'!$B$3:$B$7,L188,'DATABASE Room'!$D$3:$D$7)</f>
        <v>0</v>
      </c>
      <c r="N188" s="13"/>
      <c r="O188" s="21">
        <f t="shared" si="174"/>
        <v>0</v>
      </c>
      <c r="P188" s="38"/>
      <c r="Q188" s="19">
        <f t="shared" si="175"/>
        <v>0</v>
      </c>
      <c r="R188" s="21">
        <f t="shared" si="176"/>
        <v>0</v>
      </c>
      <c r="S188" s="19">
        <f t="shared" si="177"/>
        <v>3</v>
      </c>
      <c r="T188" s="19">
        <f t="shared" si="178"/>
        <v>0</v>
      </c>
      <c r="U188" s="21">
        <f t="shared" si="179"/>
        <v>0</v>
      </c>
      <c r="V188" s="39"/>
      <c r="W188" s="16"/>
      <c r="X188" s="17">
        <f>VLOOKUP(W188,'DATABASE F&amp;B'!$C$3:$F$216,2,0)</f>
        <v>0</v>
      </c>
      <c r="Y188" s="18"/>
      <c r="Z188" s="19">
        <f>VLOOKUP(W188,'DATABASE F&amp;B'!$C$3:$F$216,4,0)</f>
        <v>0</v>
      </c>
      <c r="AA188" s="19">
        <f t="shared" si="180"/>
        <v>0</v>
      </c>
      <c r="AB188" s="16"/>
      <c r="AC188" s="17">
        <f>VLOOKUP(AB188,'DATABASE F&amp;B'!$C$3:$F$216,2,0)</f>
        <v>0</v>
      </c>
      <c r="AD188" s="18"/>
      <c r="AE188" s="19">
        <f>VLOOKUP(AB188,'DATABASE F&amp;B'!$C$3:$F$216,4,0)</f>
        <v>0</v>
      </c>
      <c r="AF188" s="19">
        <f t="shared" si="181"/>
        <v>0</v>
      </c>
      <c r="AG188" s="16"/>
      <c r="AH188" s="17">
        <f>VLOOKUP(AG188,'DATABASE F&amp;B'!$C$3:$F$216,2,0)</f>
        <v>0</v>
      </c>
      <c r="AI188" s="18">
        <v>1</v>
      </c>
      <c r="AJ188" s="19">
        <f>VLOOKUP(AG188,'DATABASE F&amp;B'!$C$3:$F$216,4,0)</f>
        <v>0</v>
      </c>
      <c r="AK188" s="19">
        <f t="shared" si="182"/>
        <v>0</v>
      </c>
      <c r="AL188" s="16"/>
      <c r="AM188" s="17">
        <f>VLOOKUP(AL188,'DATABASE F&amp;B'!$C$3:$F$216,2,0)</f>
        <v>0</v>
      </c>
      <c r="AN188" s="18">
        <v>1</v>
      </c>
      <c r="AO188" s="19">
        <f>VLOOKUP(AL188,'DATABASE F&amp;B'!$C$3:$F$216,4,0)</f>
        <v>0</v>
      </c>
      <c r="AP188" s="19">
        <f t="shared" si="183"/>
        <v>0</v>
      </c>
      <c r="AQ188" s="16"/>
      <c r="AR188" s="17">
        <f>VLOOKUP(AQ188,'DATABASE F&amp;B'!$C$3:$F$216,2,0)</f>
        <v>0</v>
      </c>
      <c r="AS188" s="18">
        <v>1</v>
      </c>
      <c r="AT188" s="19">
        <f>VLOOKUP(AQ188,'DATABASE F&amp;B'!$C$3:$F$216,4,0)</f>
        <v>0</v>
      </c>
      <c r="AU188" s="19">
        <f t="shared" si="184"/>
        <v>0</v>
      </c>
      <c r="AV188" s="16"/>
      <c r="AW188" s="17">
        <f>VLOOKUP(AV188,'DATABASE F&amp;B'!$C$3:$F$216,2,0)</f>
        <v>0</v>
      </c>
      <c r="AX188" s="18"/>
      <c r="AY188" s="19">
        <f>VLOOKUP(AV188,'DATABASE F&amp;B'!$C$3:$F$216,4,0)</f>
        <v>0</v>
      </c>
      <c r="AZ188" s="19">
        <f t="shared" si="185"/>
        <v>0</v>
      </c>
      <c r="BA188" s="16"/>
      <c r="BB188" s="17">
        <f>VLOOKUP(BA188,'DATABASE F&amp;B'!$C$3:$F$216,2,0)</f>
        <v>0</v>
      </c>
      <c r="BC188" s="18"/>
      <c r="BD188" s="19">
        <f>VLOOKUP(BA188,'DATABASE F&amp;B'!$C$3:$F$216,4,0)</f>
        <v>0</v>
      </c>
      <c r="BE188" s="19">
        <f t="shared" si="186"/>
        <v>0</v>
      </c>
      <c r="BF188" s="16"/>
      <c r="BG188" s="17">
        <f>VLOOKUP(BF188,'DATABASE F&amp;B'!$C$3:$F$216,2,0)</f>
        <v>0</v>
      </c>
      <c r="BH188" s="18"/>
      <c r="BI188" s="19">
        <f>VLOOKUP(BF188,'DATABASE F&amp;B'!$C$3:$F$216,4,0)</f>
        <v>0</v>
      </c>
      <c r="BJ188" s="19">
        <f t="shared" si="187"/>
        <v>0</v>
      </c>
      <c r="BK188" s="16"/>
      <c r="BL188" s="17">
        <f>VLOOKUP(BK188,'DATABASE F&amp;B'!$C$3:$F$210,2,0)</f>
        <v>0</v>
      </c>
      <c r="BM188" s="18"/>
      <c r="BN188" s="19">
        <f>VLOOKUP(BK188,'DATABASE F&amp;B'!$C$3:$F$210,4,0)</f>
        <v>0</v>
      </c>
      <c r="BO188" s="19">
        <f t="shared" si="188"/>
        <v>0</v>
      </c>
      <c r="BP188" s="16"/>
      <c r="BQ188" s="17">
        <f>VLOOKUP(BP188,'DATABASE F&amp;B'!$C$3:$F$210,2,0)</f>
        <v>0</v>
      </c>
      <c r="BR188" s="18"/>
      <c r="BS188" s="19">
        <f>VLOOKUP(BP188,'DATABASE F&amp;B'!$C$3:$F$210,4,0)</f>
        <v>0</v>
      </c>
      <c r="BT188" s="19">
        <f t="shared" si="189"/>
        <v>0</v>
      </c>
      <c r="BU188" s="16"/>
      <c r="BV188" s="17">
        <f>VLOOKUP(BU188,'DATABASE F&amp;B'!$C$3:$F$210,2,0)</f>
        <v>0</v>
      </c>
      <c r="BW188" s="18"/>
      <c r="BX188" s="19">
        <f>VLOOKUP(BU188,'DATABASE F&amp;B'!$C$3:$F$210,4,0)</f>
        <v>0</v>
      </c>
      <c r="BY188" s="19">
        <f t="shared" si="190"/>
        <v>0</v>
      </c>
      <c r="BZ188" s="16"/>
      <c r="CA188" s="17">
        <f>VLOOKUP(BZ188,'DATABASE F&amp;B'!$C$3:$F$210,2,0)</f>
        <v>0</v>
      </c>
      <c r="CB188" s="18"/>
      <c r="CC188" s="19">
        <f>VLOOKUP(BZ188,'DATABASE F&amp;B'!$C$3:$F$210,4,0)</f>
        <v>0</v>
      </c>
      <c r="CD188" s="19">
        <f t="shared" si="191"/>
        <v>0</v>
      </c>
    </row>
    <row r="189" spans="1:82" ht="13.5" x14ac:dyDescent="0.25">
      <c r="A189" s="32" t="str">
        <f t="shared" si="172"/>
        <v>--20</v>
      </c>
      <c r="B189" s="22">
        <f t="shared" si="194"/>
        <v>185</v>
      </c>
      <c r="C189" s="22">
        <f t="shared" si="194"/>
        <v>185</v>
      </c>
      <c r="D189" s="34"/>
      <c r="E189" s="35"/>
      <c r="F189" s="35"/>
      <c r="G189" s="52"/>
      <c r="H189" s="36" t="str">
        <f t="shared" si="170"/>
        <v>RJ--185</v>
      </c>
      <c r="I189" s="36" t="str">
        <f t="shared" si="173"/>
        <v>--20</v>
      </c>
      <c r="J189" s="37" t="e">
        <f>VLOOKUP(D189,Laporan!$C$4:$D$34,2,0)</f>
        <v>#N/A</v>
      </c>
      <c r="K189" s="48"/>
      <c r="L189" s="13"/>
      <c r="M189" s="19">
        <f>SUMIF('DATABASE Room'!$B$3:$B$7,L189,'DATABASE Room'!$D$3:$D$7)</f>
        <v>0</v>
      </c>
      <c r="N189" s="13"/>
      <c r="O189" s="21">
        <f t="shared" si="174"/>
        <v>0</v>
      </c>
      <c r="P189" s="38"/>
      <c r="Q189" s="19">
        <f t="shared" si="175"/>
        <v>0</v>
      </c>
      <c r="R189" s="21">
        <f t="shared" si="176"/>
        <v>0</v>
      </c>
      <c r="S189" s="19">
        <f t="shared" si="177"/>
        <v>3</v>
      </c>
      <c r="T189" s="19">
        <f t="shared" si="178"/>
        <v>0</v>
      </c>
      <c r="U189" s="21">
        <f t="shared" si="179"/>
        <v>0</v>
      </c>
      <c r="V189" s="39"/>
      <c r="W189" s="16"/>
      <c r="X189" s="17">
        <f>VLOOKUP(W189,'DATABASE F&amp;B'!$C$3:$F$216,2,0)</f>
        <v>0</v>
      </c>
      <c r="Y189" s="18"/>
      <c r="Z189" s="19">
        <f>VLOOKUP(W189,'DATABASE F&amp;B'!$C$3:$F$216,4,0)</f>
        <v>0</v>
      </c>
      <c r="AA189" s="19">
        <f t="shared" si="180"/>
        <v>0</v>
      </c>
      <c r="AB189" s="16"/>
      <c r="AC189" s="17">
        <f>VLOOKUP(AB189,'DATABASE F&amp;B'!$C$3:$F$216,2,0)</f>
        <v>0</v>
      </c>
      <c r="AD189" s="18"/>
      <c r="AE189" s="19">
        <f>VLOOKUP(AB189,'DATABASE F&amp;B'!$C$3:$F$216,4,0)</f>
        <v>0</v>
      </c>
      <c r="AF189" s="19">
        <f t="shared" si="181"/>
        <v>0</v>
      </c>
      <c r="AG189" s="16"/>
      <c r="AH189" s="17">
        <f>VLOOKUP(AG189,'DATABASE F&amp;B'!$C$3:$F$216,2,0)</f>
        <v>0</v>
      </c>
      <c r="AI189" s="18">
        <v>1</v>
      </c>
      <c r="AJ189" s="19">
        <f>VLOOKUP(AG189,'DATABASE F&amp;B'!$C$3:$F$216,4,0)</f>
        <v>0</v>
      </c>
      <c r="AK189" s="19">
        <f t="shared" si="182"/>
        <v>0</v>
      </c>
      <c r="AL189" s="16"/>
      <c r="AM189" s="17">
        <f>VLOOKUP(AL189,'DATABASE F&amp;B'!$C$3:$F$216,2,0)</f>
        <v>0</v>
      </c>
      <c r="AN189" s="18">
        <v>1</v>
      </c>
      <c r="AO189" s="19">
        <f>VLOOKUP(AL189,'DATABASE F&amp;B'!$C$3:$F$216,4,0)</f>
        <v>0</v>
      </c>
      <c r="AP189" s="19">
        <f t="shared" si="183"/>
        <v>0</v>
      </c>
      <c r="AQ189" s="16"/>
      <c r="AR189" s="17">
        <f>VLOOKUP(AQ189,'DATABASE F&amp;B'!$C$3:$F$216,2,0)</f>
        <v>0</v>
      </c>
      <c r="AS189" s="18">
        <v>1</v>
      </c>
      <c r="AT189" s="19">
        <f>VLOOKUP(AQ189,'DATABASE F&amp;B'!$C$3:$F$216,4,0)</f>
        <v>0</v>
      </c>
      <c r="AU189" s="19">
        <f t="shared" si="184"/>
        <v>0</v>
      </c>
      <c r="AV189" s="16"/>
      <c r="AW189" s="17">
        <f>VLOOKUP(AV189,'DATABASE F&amp;B'!$C$3:$F$216,2,0)</f>
        <v>0</v>
      </c>
      <c r="AX189" s="18"/>
      <c r="AY189" s="19">
        <f>VLOOKUP(AV189,'DATABASE F&amp;B'!$C$3:$F$216,4,0)</f>
        <v>0</v>
      </c>
      <c r="AZ189" s="19">
        <f t="shared" si="185"/>
        <v>0</v>
      </c>
      <c r="BA189" s="16"/>
      <c r="BB189" s="17">
        <f>VLOOKUP(BA189,'DATABASE F&amp;B'!$C$3:$F$216,2,0)</f>
        <v>0</v>
      </c>
      <c r="BC189" s="18"/>
      <c r="BD189" s="19">
        <f>VLOOKUP(BA189,'DATABASE F&amp;B'!$C$3:$F$216,4,0)</f>
        <v>0</v>
      </c>
      <c r="BE189" s="19">
        <f t="shared" si="186"/>
        <v>0</v>
      </c>
      <c r="BF189" s="16"/>
      <c r="BG189" s="17">
        <f>VLOOKUP(BF189,'DATABASE F&amp;B'!$C$3:$F$216,2,0)</f>
        <v>0</v>
      </c>
      <c r="BH189" s="18"/>
      <c r="BI189" s="19">
        <f>VLOOKUP(BF189,'DATABASE F&amp;B'!$C$3:$F$216,4,0)</f>
        <v>0</v>
      </c>
      <c r="BJ189" s="19">
        <f t="shared" si="187"/>
        <v>0</v>
      </c>
      <c r="BK189" s="16"/>
      <c r="BL189" s="17">
        <f>VLOOKUP(BK189,'DATABASE F&amp;B'!$C$3:$F$210,2,0)</f>
        <v>0</v>
      </c>
      <c r="BM189" s="18"/>
      <c r="BN189" s="19">
        <f>VLOOKUP(BK189,'DATABASE F&amp;B'!$C$3:$F$210,4,0)</f>
        <v>0</v>
      </c>
      <c r="BO189" s="19">
        <f t="shared" si="188"/>
        <v>0</v>
      </c>
      <c r="BP189" s="16"/>
      <c r="BQ189" s="17">
        <f>VLOOKUP(BP189,'DATABASE F&amp;B'!$C$3:$F$210,2,0)</f>
        <v>0</v>
      </c>
      <c r="BR189" s="18"/>
      <c r="BS189" s="19">
        <f>VLOOKUP(BP189,'DATABASE F&amp;B'!$C$3:$F$210,4,0)</f>
        <v>0</v>
      </c>
      <c r="BT189" s="19">
        <f t="shared" si="189"/>
        <v>0</v>
      </c>
      <c r="BU189" s="16"/>
      <c r="BV189" s="17">
        <f>VLOOKUP(BU189,'DATABASE F&amp;B'!$C$3:$F$210,2,0)</f>
        <v>0</v>
      </c>
      <c r="BW189" s="18"/>
      <c r="BX189" s="19">
        <f>VLOOKUP(BU189,'DATABASE F&amp;B'!$C$3:$F$210,4,0)</f>
        <v>0</v>
      </c>
      <c r="BY189" s="19">
        <f t="shared" si="190"/>
        <v>0</v>
      </c>
      <c r="BZ189" s="16"/>
      <c r="CA189" s="17">
        <f>VLOOKUP(BZ189,'DATABASE F&amp;B'!$C$3:$F$210,2,0)</f>
        <v>0</v>
      </c>
      <c r="CB189" s="18"/>
      <c r="CC189" s="19">
        <f>VLOOKUP(BZ189,'DATABASE F&amp;B'!$C$3:$F$210,4,0)</f>
        <v>0</v>
      </c>
      <c r="CD189" s="19">
        <f t="shared" si="191"/>
        <v>0</v>
      </c>
    </row>
    <row r="190" spans="1:82" ht="13.5" x14ac:dyDescent="0.25">
      <c r="A190" s="32" t="str">
        <f t="shared" si="172"/>
        <v>--20</v>
      </c>
      <c r="B190" s="22">
        <f t="shared" si="194"/>
        <v>186</v>
      </c>
      <c r="C190" s="22">
        <f t="shared" si="194"/>
        <v>186</v>
      </c>
      <c r="D190" s="34"/>
      <c r="E190" s="35"/>
      <c r="F190" s="35"/>
      <c r="G190" s="52"/>
      <c r="H190" s="36" t="str">
        <f t="shared" si="170"/>
        <v>RJ--186</v>
      </c>
      <c r="I190" s="36" t="str">
        <f t="shared" si="173"/>
        <v>--20</v>
      </c>
      <c r="J190" s="37" t="e">
        <f>VLOOKUP(D190,Laporan!$C$4:$D$34,2,0)</f>
        <v>#N/A</v>
      </c>
      <c r="K190" s="48"/>
      <c r="L190" s="13"/>
      <c r="M190" s="19">
        <f>SUMIF('DATABASE Room'!$B$3:$B$7,L190,'DATABASE Room'!$D$3:$D$7)</f>
        <v>0</v>
      </c>
      <c r="N190" s="13"/>
      <c r="O190" s="21">
        <f t="shared" si="174"/>
        <v>0</v>
      </c>
      <c r="P190" s="38"/>
      <c r="Q190" s="19">
        <f t="shared" si="175"/>
        <v>0</v>
      </c>
      <c r="R190" s="21">
        <f t="shared" si="176"/>
        <v>0</v>
      </c>
      <c r="S190" s="19">
        <f t="shared" si="177"/>
        <v>3</v>
      </c>
      <c r="T190" s="19">
        <f t="shared" si="178"/>
        <v>0</v>
      </c>
      <c r="U190" s="21">
        <f t="shared" si="179"/>
        <v>0</v>
      </c>
      <c r="V190" s="39"/>
      <c r="W190" s="16"/>
      <c r="X190" s="17">
        <f>VLOOKUP(W190,'DATABASE F&amp;B'!$C$3:$F$216,2,0)</f>
        <v>0</v>
      </c>
      <c r="Y190" s="18"/>
      <c r="Z190" s="19">
        <f>VLOOKUP(W190,'DATABASE F&amp;B'!$C$3:$F$216,4,0)</f>
        <v>0</v>
      </c>
      <c r="AA190" s="19">
        <f t="shared" si="180"/>
        <v>0</v>
      </c>
      <c r="AB190" s="16"/>
      <c r="AC190" s="17">
        <f>VLOOKUP(AB190,'DATABASE F&amp;B'!$C$3:$F$216,2,0)</f>
        <v>0</v>
      </c>
      <c r="AD190" s="18"/>
      <c r="AE190" s="19">
        <f>VLOOKUP(AB190,'DATABASE F&amp;B'!$C$3:$F$216,4,0)</f>
        <v>0</v>
      </c>
      <c r="AF190" s="19">
        <f t="shared" si="181"/>
        <v>0</v>
      </c>
      <c r="AG190" s="16"/>
      <c r="AH190" s="17">
        <f>VLOOKUP(AG190,'DATABASE F&amp;B'!$C$3:$F$216,2,0)</f>
        <v>0</v>
      </c>
      <c r="AI190" s="18">
        <v>1</v>
      </c>
      <c r="AJ190" s="19">
        <f>VLOOKUP(AG190,'DATABASE F&amp;B'!$C$3:$F$216,4,0)</f>
        <v>0</v>
      </c>
      <c r="AK190" s="19">
        <f t="shared" si="182"/>
        <v>0</v>
      </c>
      <c r="AL190" s="16"/>
      <c r="AM190" s="17">
        <f>VLOOKUP(AL190,'DATABASE F&amp;B'!$C$3:$F$216,2,0)</f>
        <v>0</v>
      </c>
      <c r="AN190" s="18">
        <v>1</v>
      </c>
      <c r="AO190" s="19">
        <f>VLOOKUP(AL190,'DATABASE F&amp;B'!$C$3:$F$216,4,0)</f>
        <v>0</v>
      </c>
      <c r="AP190" s="19">
        <f t="shared" si="183"/>
        <v>0</v>
      </c>
      <c r="AQ190" s="16"/>
      <c r="AR190" s="17">
        <f>VLOOKUP(AQ190,'DATABASE F&amp;B'!$C$3:$F$216,2,0)</f>
        <v>0</v>
      </c>
      <c r="AS190" s="18">
        <v>1</v>
      </c>
      <c r="AT190" s="19">
        <f>VLOOKUP(AQ190,'DATABASE F&amp;B'!$C$3:$F$216,4,0)</f>
        <v>0</v>
      </c>
      <c r="AU190" s="19">
        <f t="shared" si="184"/>
        <v>0</v>
      </c>
      <c r="AV190" s="16"/>
      <c r="AW190" s="17">
        <f>VLOOKUP(AV190,'DATABASE F&amp;B'!$C$3:$F$216,2,0)</f>
        <v>0</v>
      </c>
      <c r="AX190" s="18"/>
      <c r="AY190" s="19">
        <f>VLOOKUP(AV190,'DATABASE F&amp;B'!$C$3:$F$216,4,0)</f>
        <v>0</v>
      </c>
      <c r="AZ190" s="19">
        <f t="shared" si="185"/>
        <v>0</v>
      </c>
      <c r="BA190" s="16"/>
      <c r="BB190" s="17">
        <f>VLOOKUP(BA190,'DATABASE F&amp;B'!$C$3:$F$216,2,0)</f>
        <v>0</v>
      </c>
      <c r="BC190" s="18"/>
      <c r="BD190" s="19">
        <f>VLOOKUP(BA190,'DATABASE F&amp;B'!$C$3:$F$216,4,0)</f>
        <v>0</v>
      </c>
      <c r="BE190" s="19">
        <f t="shared" si="186"/>
        <v>0</v>
      </c>
      <c r="BF190" s="16"/>
      <c r="BG190" s="17">
        <f>VLOOKUP(BF190,'DATABASE F&amp;B'!$C$3:$F$216,2,0)</f>
        <v>0</v>
      </c>
      <c r="BH190" s="18"/>
      <c r="BI190" s="19">
        <f>VLOOKUP(BF190,'DATABASE F&amp;B'!$C$3:$F$216,4,0)</f>
        <v>0</v>
      </c>
      <c r="BJ190" s="19">
        <f t="shared" si="187"/>
        <v>0</v>
      </c>
      <c r="BK190" s="16"/>
      <c r="BL190" s="17">
        <f>VLOOKUP(BK190,'DATABASE F&amp;B'!$C$3:$F$210,2,0)</f>
        <v>0</v>
      </c>
      <c r="BM190" s="18"/>
      <c r="BN190" s="19">
        <f>VLOOKUP(BK190,'DATABASE F&amp;B'!$C$3:$F$210,4,0)</f>
        <v>0</v>
      </c>
      <c r="BO190" s="19">
        <f t="shared" si="188"/>
        <v>0</v>
      </c>
      <c r="BP190" s="16"/>
      <c r="BQ190" s="17">
        <f>VLOOKUP(BP190,'DATABASE F&amp;B'!$C$3:$F$210,2,0)</f>
        <v>0</v>
      </c>
      <c r="BR190" s="18"/>
      <c r="BS190" s="19">
        <f>VLOOKUP(BP190,'DATABASE F&amp;B'!$C$3:$F$210,4,0)</f>
        <v>0</v>
      </c>
      <c r="BT190" s="19">
        <f t="shared" si="189"/>
        <v>0</v>
      </c>
      <c r="BU190" s="16"/>
      <c r="BV190" s="17">
        <f>VLOOKUP(BU190,'DATABASE F&amp;B'!$C$3:$F$210,2,0)</f>
        <v>0</v>
      </c>
      <c r="BW190" s="18"/>
      <c r="BX190" s="19">
        <f>VLOOKUP(BU190,'DATABASE F&amp;B'!$C$3:$F$210,4,0)</f>
        <v>0</v>
      </c>
      <c r="BY190" s="19">
        <f t="shared" si="190"/>
        <v>0</v>
      </c>
      <c r="BZ190" s="16"/>
      <c r="CA190" s="17">
        <f>VLOOKUP(BZ190,'DATABASE F&amp;B'!$C$3:$F$210,2,0)</f>
        <v>0</v>
      </c>
      <c r="CB190" s="18"/>
      <c r="CC190" s="19">
        <f>VLOOKUP(BZ190,'DATABASE F&amp;B'!$C$3:$F$210,4,0)</f>
        <v>0</v>
      </c>
      <c r="CD190" s="19">
        <f t="shared" si="191"/>
        <v>0</v>
      </c>
    </row>
    <row r="191" spans="1:82" ht="13.5" x14ac:dyDescent="0.25">
      <c r="A191" s="32" t="str">
        <f t="shared" si="172"/>
        <v>--20</v>
      </c>
      <c r="B191" s="22">
        <f t="shared" si="194"/>
        <v>187</v>
      </c>
      <c r="C191" s="22">
        <f t="shared" si="194"/>
        <v>187</v>
      </c>
      <c r="D191" s="34"/>
      <c r="E191" s="35"/>
      <c r="F191" s="35"/>
      <c r="G191" s="52"/>
      <c r="H191" s="36" t="str">
        <f t="shared" si="170"/>
        <v>RJ--187</v>
      </c>
      <c r="I191" s="36" t="str">
        <f t="shared" si="173"/>
        <v>--20</v>
      </c>
      <c r="J191" s="37" t="e">
        <f>VLOOKUP(D191,Laporan!$C$4:$D$34,2,0)</f>
        <v>#N/A</v>
      </c>
      <c r="K191" s="48"/>
      <c r="L191" s="13"/>
      <c r="M191" s="19">
        <f>SUMIF('DATABASE Room'!$B$3:$B$7,L191,'DATABASE Room'!$D$3:$D$7)</f>
        <v>0</v>
      </c>
      <c r="N191" s="13"/>
      <c r="O191" s="21">
        <f t="shared" si="174"/>
        <v>0</v>
      </c>
      <c r="P191" s="38"/>
      <c r="Q191" s="19">
        <f t="shared" si="175"/>
        <v>0</v>
      </c>
      <c r="R191" s="21">
        <f t="shared" si="176"/>
        <v>0</v>
      </c>
      <c r="S191" s="19">
        <f t="shared" si="177"/>
        <v>3</v>
      </c>
      <c r="T191" s="19">
        <f t="shared" si="178"/>
        <v>0</v>
      </c>
      <c r="U191" s="21">
        <f t="shared" si="179"/>
        <v>0</v>
      </c>
      <c r="V191" s="39"/>
      <c r="W191" s="16"/>
      <c r="X191" s="17">
        <f>VLOOKUP(W191,'DATABASE F&amp;B'!$C$3:$F$216,2,0)</f>
        <v>0</v>
      </c>
      <c r="Y191" s="18"/>
      <c r="Z191" s="19">
        <f>VLOOKUP(W191,'DATABASE F&amp;B'!$C$3:$F$216,4,0)</f>
        <v>0</v>
      </c>
      <c r="AA191" s="19">
        <f t="shared" si="180"/>
        <v>0</v>
      </c>
      <c r="AB191" s="16"/>
      <c r="AC191" s="17">
        <f>VLOOKUP(AB191,'DATABASE F&amp;B'!$C$3:$F$216,2,0)</f>
        <v>0</v>
      </c>
      <c r="AD191" s="18"/>
      <c r="AE191" s="19">
        <f>VLOOKUP(AB191,'DATABASE F&amp;B'!$C$3:$F$216,4,0)</f>
        <v>0</v>
      </c>
      <c r="AF191" s="19">
        <f t="shared" si="181"/>
        <v>0</v>
      </c>
      <c r="AG191" s="16"/>
      <c r="AH191" s="17">
        <f>VLOOKUP(AG191,'DATABASE F&amp;B'!$C$3:$F$216,2,0)</f>
        <v>0</v>
      </c>
      <c r="AI191" s="18">
        <v>1</v>
      </c>
      <c r="AJ191" s="19">
        <f>VLOOKUP(AG191,'DATABASE F&amp;B'!$C$3:$F$216,4,0)</f>
        <v>0</v>
      </c>
      <c r="AK191" s="19">
        <f t="shared" si="182"/>
        <v>0</v>
      </c>
      <c r="AL191" s="16"/>
      <c r="AM191" s="17">
        <f>VLOOKUP(AL191,'DATABASE F&amp;B'!$C$3:$F$216,2,0)</f>
        <v>0</v>
      </c>
      <c r="AN191" s="18">
        <v>1</v>
      </c>
      <c r="AO191" s="19">
        <f>VLOOKUP(AL191,'DATABASE F&amp;B'!$C$3:$F$216,4,0)</f>
        <v>0</v>
      </c>
      <c r="AP191" s="19">
        <f t="shared" si="183"/>
        <v>0</v>
      </c>
      <c r="AQ191" s="16"/>
      <c r="AR191" s="17">
        <f>VLOOKUP(AQ191,'DATABASE F&amp;B'!$C$3:$F$216,2,0)</f>
        <v>0</v>
      </c>
      <c r="AS191" s="18">
        <v>1</v>
      </c>
      <c r="AT191" s="19">
        <f>VLOOKUP(AQ191,'DATABASE F&amp;B'!$C$3:$F$216,4,0)</f>
        <v>0</v>
      </c>
      <c r="AU191" s="19">
        <f t="shared" si="184"/>
        <v>0</v>
      </c>
      <c r="AV191" s="16"/>
      <c r="AW191" s="17">
        <f>VLOOKUP(AV191,'DATABASE F&amp;B'!$C$3:$F$216,2,0)</f>
        <v>0</v>
      </c>
      <c r="AX191" s="18"/>
      <c r="AY191" s="19">
        <f>VLOOKUP(AV191,'DATABASE F&amp;B'!$C$3:$F$216,4,0)</f>
        <v>0</v>
      </c>
      <c r="AZ191" s="19">
        <f t="shared" si="185"/>
        <v>0</v>
      </c>
      <c r="BA191" s="16"/>
      <c r="BB191" s="17">
        <f>VLOOKUP(BA191,'DATABASE F&amp;B'!$C$3:$F$216,2,0)</f>
        <v>0</v>
      </c>
      <c r="BC191" s="18"/>
      <c r="BD191" s="19">
        <f>VLOOKUP(BA191,'DATABASE F&amp;B'!$C$3:$F$216,4,0)</f>
        <v>0</v>
      </c>
      <c r="BE191" s="19">
        <f t="shared" si="186"/>
        <v>0</v>
      </c>
      <c r="BF191" s="16"/>
      <c r="BG191" s="17">
        <f>VLOOKUP(BF191,'DATABASE F&amp;B'!$C$3:$F$216,2,0)</f>
        <v>0</v>
      </c>
      <c r="BH191" s="18"/>
      <c r="BI191" s="19">
        <f>VLOOKUP(BF191,'DATABASE F&amp;B'!$C$3:$F$216,4,0)</f>
        <v>0</v>
      </c>
      <c r="BJ191" s="19">
        <f t="shared" si="187"/>
        <v>0</v>
      </c>
      <c r="BK191" s="16"/>
      <c r="BL191" s="17">
        <f>VLOOKUP(BK191,'DATABASE F&amp;B'!$C$3:$F$210,2,0)</f>
        <v>0</v>
      </c>
      <c r="BM191" s="18"/>
      <c r="BN191" s="19">
        <f>VLOOKUP(BK191,'DATABASE F&amp;B'!$C$3:$F$210,4,0)</f>
        <v>0</v>
      </c>
      <c r="BO191" s="19">
        <f t="shared" si="188"/>
        <v>0</v>
      </c>
      <c r="BP191" s="16"/>
      <c r="BQ191" s="17">
        <f>VLOOKUP(BP191,'DATABASE F&amp;B'!$C$3:$F$210,2,0)</f>
        <v>0</v>
      </c>
      <c r="BR191" s="18"/>
      <c r="BS191" s="19">
        <f>VLOOKUP(BP191,'DATABASE F&amp;B'!$C$3:$F$210,4,0)</f>
        <v>0</v>
      </c>
      <c r="BT191" s="19">
        <f t="shared" si="189"/>
        <v>0</v>
      </c>
      <c r="BU191" s="16"/>
      <c r="BV191" s="17">
        <f>VLOOKUP(BU191,'DATABASE F&amp;B'!$C$3:$F$210,2,0)</f>
        <v>0</v>
      </c>
      <c r="BW191" s="18"/>
      <c r="BX191" s="19">
        <f>VLOOKUP(BU191,'DATABASE F&amp;B'!$C$3:$F$210,4,0)</f>
        <v>0</v>
      </c>
      <c r="BY191" s="19">
        <f t="shared" si="190"/>
        <v>0</v>
      </c>
      <c r="BZ191" s="16"/>
      <c r="CA191" s="17">
        <f>VLOOKUP(BZ191,'DATABASE F&amp;B'!$C$3:$F$210,2,0)</f>
        <v>0</v>
      </c>
      <c r="CB191" s="18"/>
      <c r="CC191" s="19">
        <f>VLOOKUP(BZ191,'DATABASE F&amp;B'!$C$3:$F$210,4,0)</f>
        <v>0</v>
      </c>
      <c r="CD191" s="19">
        <f t="shared" si="191"/>
        <v>0</v>
      </c>
    </row>
    <row r="192" spans="1:82" ht="13.5" x14ac:dyDescent="0.25">
      <c r="A192" s="32" t="str">
        <f t="shared" si="172"/>
        <v>--20</v>
      </c>
      <c r="B192" s="22">
        <f t="shared" si="194"/>
        <v>188</v>
      </c>
      <c r="C192" s="22">
        <f t="shared" si="194"/>
        <v>188</v>
      </c>
      <c r="D192" s="34"/>
      <c r="E192" s="35"/>
      <c r="F192" s="35"/>
      <c r="G192" s="52"/>
      <c r="H192" s="36" t="str">
        <f t="shared" si="170"/>
        <v>RJ--188</v>
      </c>
      <c r="I192" s="36" t="str">
        <f t="shared" si="173"/>
        <v>--20</v>
      </c>
      <c r="J192" s="37" t="e">
        <f>VLOOKUP(D192,Laporan!$C$4:$D$34,2,0)</f>
        <v>#N/A</v>
      </c>
      <c r="K192" s="48"/>
      <c r="L192" s="13"/>
      <c r="M192" s="19">
        <f>SUMIF('DATABASE Room'!$B$3:$B$7,L192,'DATABASE Room'!$D$3:$D$7)</f>
        <v>0</v>
      </c>
      <c r="N192" s="13"/>
      <c r="O192" s="21">
        <f t="shared" si="174"/>
        <v>0</v>
      </c>
      <c r="P192" s="38"/>
      <c r="Q192" s="19">
        <f t="shared" si="175"/>
        <v>0</v>
      </c>
      <c r="R192" s="21">
        <f t="shared" si="176"/>
        <v>0</v>
      </c>
      <c r="S192" s="19">
        <f t="shared" si="177"/>
        <v>3</v>
      </c>
      <c r="T192" s="19">
        <f t="shared" si="178"/>
        <v>0</v>
      </c>
      <c r="U192" s="21">
        <f t="shared" si="179"/>
        <v>0</v>
      </c>
      <c r="V192" s="39"/>
      <c r="W192" s="16"/>
      <c r="X192" s="17">
        <f>VLOOKUP(W192,'DATABASE F&amp;B'!$C$3:$F$216,2,0)</f>
        <v>0</v>
      </c>
      <c r="Y192" s="18"/>
      <c r="Z192" s="19">
        <f>VLOOKUP(W192,'DATABASE F&amp;B'!$C$3:$F$216,4,0)</f>
        <v>0</v>
      </c>
      <c r="AA192" s="19">
        <f t="shared" si="180"/>
        <v>0</v>
      </c>
      <c r="AB192" s="16"/>
      <c r="AC192" s="17">
        <f>VLOOKUP(AB192,'DATABASE F&amp;B'!$C$3:$F$216,2,0)</f>
        <v>0</v>
      </c>
      <c r="AD192" s="18"/>
      <c r="AE192" s="19">
        <f>VLOOKUP(AB192,'DATABASE F&amp;B'!$C$3:$F$216,4,0)</f>
        <v>0</v>
      </c>
      <c r="AF192" s="19">
        <f t="shared" si="181"/>
        <v>0</v>
      </c>
      <c r="AG192" s="16"/>
      <c r="AH192" s="17">
        <f>VLOOKUP(AG192,'DATABASE F&amp;B'!$C$3:$F$216,2,0)</f>
        <v>0</v>
      </c>
      <c r="AI192" s="18">
        <v>1</v>
      </c>
      <c r="AJ192" s="19">
        <f>VLOOKUP(AG192,'DATABASE F&amp;B'!$C$3:$F$216,4,0)</f>
        <v>0</v>
      </c>
      <c r="AK192" s="19">
        <f t="shared" si="182"/>
        <v>0</v>
      </c>
      <c r="AL192" s="16"/>
      <c r="AM192" s="17">
        <f>VLOOKUP(AL192,'DATABASE F&amp;B'!$C$3:$F$216,2,0)</f>
        <v>0</v>
      </c>
      <c r="AN192" s="18">
        <v>1</v>
      </c>
      <c r="AO192" s="19">
        <f>VLOOKUP(AL192,'DATABASE F&amp;B'!$C$3:$F$216,4,0)</f>
        <v>0</v>
      </c>
      <c r="AP192" s="19">
        <f t="shared" si="183"/>
        <v>0</v>
      </c>
      <c r="AQ192" s="16"/>
      <c r="AR192" s="17">
        <f>VLOOKUP(AQ192,'DATABASE F&amp;B'!$C$3:$F$216,2,0)</f>
        <v>0</v>
      </c>
      <c r="AS192" s="18">
        <v>1</v>
      </c>
      <c r="AT192" s="19">
        <f>VLOOKUP(AQ192,'DATABASE F&amp;B'!$C$3:$F$216,4,0)</f>
        <v>0</v>
      </c>
      <c r="AU192" s="19">
        <f t="shared" si="184"/>
        <v>0</v>
      </c>
      <c r="AV192" s="16"/>
      <c r="AW192" s="17">
        <f>VLOOKUP(AV192,'DATABASE F&amp;B'!$C$3:$F$216,2,0)</f>
        <v>0</v>
      </c>
      <c r="AX192" s="18"/>
      <c r="AY192" s="19">
        <f>VLOOKUP(AV192,'DATABASE F&amp;B'!$C$3:$F$216,4,0)</f>
        <v>0</v>
      </c>
      <c r="AZ192" s="19">
        <f t="shared" si="185"/>
        <v>0</v>
      </c>
      <c r="BA192" s="16"/>
      <c r="BB192" s="17">
        <f>VLOOKUP(BA192,'DATABASE F&amp;B'!$C$3:$F$216,2,0)</f>
        <v>0</v>
      </c>
      <c r="BC192" s="18"/>
      <c r="BD192" s="19">
        <f>VLOOKUP(BA192,'DATABASE F&amp;B'!$C$3:$F$216,4,0)</f>
        <v>0</v>
      </c>
      <c r="BE192" s="19">
        <f t="shared" si="186"/>
        <v>0</v>
      </c>
      <c r="BF192" s="16"/>
      <c r="BG192" s="17">
        <f>VLOOKUP(BF192,'DATABASE F&amp;B'!$C$3:$F$216,2,0)</f>
        <v>0</v>
      </c>
      <c r="BH192" s="18"/>
      <c r="BI192" s="19">
        <f>VLOOKUP(BF192,'DATABASE F&amp;B'!$C$3:$F$216,4,0)</f>
        <v>0</v>
      </c>
      <c r="BJ192" s="19">
        <f t="shared" si="187"/>
        <v>0</v>
      </c>
      <c r="BK192" s="16"/>
      <c r="BL192" s="17">
        <f>VLOOKUP(BK192,'DATABASE F&amp;B'!$C$3:$F$210,2,0)</f>
        <v>0</v>
      </c>
      <c r="BM192" s="18"/>
      <c r="BN192" s="19">
        <f>VLOOKUP(BK192,'DATABASE F&amp;B'!$C$3:$F$210,4,0)</f>
        <v>0</v>
      </c>
      <c r="BO192" s="19">
        <f t="shared" si="188"/>
        <v>0</v>
      </c>
      <c r="BP192" s="16"/>
      <c r="BQ192" s="17">
        <f>VLOOKUP(BP192,'DATABASE F&amp;B'!$C$3:$F$210,2,0)</f>
        <v>0</v>
      </c>
      <c r="BR192" s="18"/>
      <c r="BS192" s="19">
        <f>VLOOKUP(BP192,'DATABASE F&amp;B'!$C$3:$F$210,4,0)</f>
        <v>0</v>
      </c>
      <c r="BT192" s="19">
        <f t="shared" si="189"/>
        <v>0</v>
      </c>
      <c r="BU192" s="16"/>
      <c r="BV192" s="17">
        <f>VLOOKUP(BU192,'DATABASE F&amp;B'!$C$3:$F$210,2,0)</f>
        <v>0</v>
      </c>
      <c r="BW192" s="18"/>
      <c r="BX192" s="19">
        <f>VLOOKUP(BU192,'DATABASE F&amp;B'!$C$3:$F$210,4,0)</f>
        <v>0</v>
      </c>
      <c r="BY192" s="19">
        <f t="shared" si="190"/>
        <v>0</v>
      </c>
      <c r="BZ192" s="16"/>
      <c r="CA192" s="17">
        <f>VLOOKUP(BZ192,'DATABASE F&amp;B'!$C$3:$F$210,2,0)</f>
        <v>0</v>
      </c>
      <c r="CB192" s="18"/>
      <c r="CC192" s="19">
        <f>VLOOKUP(BZ192,'DATABASE F&amp;B'!$C$3:$F$210,4,0)</f>
        <v>0</v>
      </c>
      <c r="CD192" s="19">
        <f t="shared" si="191"/>
        <v>0</v>
      </c>
    </row>
    <row r="193" spans="1:82" ht="13.5" x14ac:dyDescent="0.25">
      <c r="A193" s="32" t="str">
        <f t="shared" si="172"/>
        <v>--20</v>
      </c>
      <c r="B193" s="22">
        <f t="shared" si="194"/>
        <v>189</v>
      </c>
      <c r="C193" s="22">
        <f t="shared" si="194"/>
        <v>189</v>
      </c>
      <c r="D193" s="34"/>
      <c r="E193" s="35"/>
      <c r="F193" s="35"/>
      <c r="G193" s="52"/>
      <c r="H193" s="36" t="str">
        <f t="shared" si="170"/>
        <v>RJ--189</v>
      </c>
      <c r="I193" s="36" t="str">
        <f t="shared" si="173"/>
        <v>--20</v>
      </c>
      <c r="J193" s="37" t="e">
        <f>VLOOKUP(D193,Laporan!$C$4:$D$34,2,0)</f>
        <v>#N/A</v>
      </c>
      <c r="K193" s="48"/>
      <c r="L193" s="13"/>
      <c r="M193" s="19">
        <f>SUMIF('DATABASE Room'!$B$3:$B$7,L193,'DATABASE Room'!$D$3:$D$7)</f>
        <v>0</v>
      </c>
      <c r="N193" s="13"/>
      <c r="O193" s="21">
        <f t="shared" si="174"/>
        <v>0</v>
      </c>
      <c r="P193" s="38"/>
      <c r="Q193" s="19">
        <f t="shared" si="175"/>
        <v>0</v>
      </c>
      <c r="R193" s="21">
        <f t="shared" si="176"/>
        <v>0</v>
      </c>
      <c r="S193" s="19">
        <f t="shared" si="177"/>
        <v>3</v>
      </c>
      <c r="T193" s="19">
        <f t="shared" si="178"/>
        <v>0</v>
      </c>
      <c r="U193" s="21">
        <f t="shared" si="179"/>
        <v>0</v>
      </c>
      <c r="V193" s="39"/>
      <c r="W193" s="16"/>
      <c r="X193" s="17">
        <f>VLOOKUP(W193,'DATABASE F&amp;B'!$C$3:$F$216,2,0)</f>
        <v>0</v>
      </c>
      <c r="Y193" s="18"/>
      <c r="Z193" s="19">
        <f>VLOOKUP(W193,'DATABASE F&amp;B'!$C$3:$F$216,4,0)</f>
        <v>0</v>
      </c>
      <c r="AA193" s="19">
        <f t="shared" si="180"/>
        <v>0</v>
      </c>
      <c r="AB193" s="16"/>
      <c r="AC193" s="17">
        <f>VLOOKUP(AB193,'DATABASE F&amp;B'!$C$3:$F$216,2,0)</f>
        <v>0</v>
      </c>
      <c r="AD193" s="18"/>
      <c r="AE193" s="19">
        <f>VLOOKUP(AB193,'DATABASE F&amp;B'!$C$3:$F$216,4,0)</f>
        <v>0</v>
      </c>
      <c r="AF193" s="19">
        <f t="shared" si="181"/>
        <v>0</v>
      </c>
      <c r="AG193" s="16"/>
      <c r="AH193" s="17">
        <f>VLOOKUP(AG193,'DATABASE F&amp;B'!$C$3:$F$216,2,0)</f>
        <v>0</v>
      </c>
      <c r="AI193" s="18">
        <v>1</v>
      </c>
      <c r="AJ193" s="19">
        <f>VLOOKUP(AG193,'DATABASE F&amp;B'!$C$3:$F$216,4,0)</f>
        <v>0</v>
      </c>
      <c r="AK193" s="19">
        <f t="shared" si="182"/>
        <v>0</v>
      </c>
      <c r="AL193" s="16"/>
      <c r="AM193" s="17">
        <f>VLOOKUP(AL193,'DATABASE F&amp;B'!$C$3:$F$216,2,0)</f>
        <v>0</v>
      </c>
      <c r="AN193" s="18">
        <v>1</v>
      </c>
      <c r="AO193" s="19">
        <f>VLOOKUP(AL193,'DATABASE F&amp;B'!$C$3:$F$216,4,0)</f>
        <v>0</v>
      </c>
      <c r="AP193" s="19">
        <f t="shared" si="183"/>
        <v>0</v>
      </c>
      <c r="AQ193" s="16"/>
      <c r="AR193" s="17">
        <f>VLOOKUP(AQ193,'DATABASE F&amp;B'!$C$3:$F$216,2,0)</f>
        <v>0</v>
      </c>
      <c r="AS193" s="18">
        <v>1</v>
      </c>
      <c r="AT193" s="19">
        <f>VLOOKUP(AQ193,'DATABASE F&amp;B'!$C$3:$F$216,4,0)</f>
        <v>0</v>
      </c>
      <c r="AU193" s="19">
        <f t="shared" si="184"/>
        <v>0</v>
      </c>
      <c r="AV193" s="16"/>
      <c r="AW193" s="17">
        <f>VLOOKUP(AV193,'DATABASE F&amp;B'!$C$3:$F$216,2,0)</f>
        <v>0</v>
      </c>
      <c r="AX193" s="18"/>
      <c r="AY193" s="19">
        <f>VLOOKUP(AV193,'DATABASE F&amp;B'!$C$3:$F$216,4,0)</f>
        <v>0</v>
      </c>
      <c r="AZ193" s="19">
        <f t="shared" si="185"/>
        <v>0</v>
      </c>
      <c r="BA193" s="16"/>
      <c r="BB193" s="17">
        <f>VLOOKUP(BA193,'DATABASE F&amp;B'!$C$3:$F$216,2,0)</f>
        <v>0</v>
      </c>
      <c r="BC193" s="18"/>
      <c r="BD193" s="19">
        <f>VLOOKUP(BA193,'DATABASE F&amp;B'!$C$3:$F$216,4,0)</f>
        <v>0</v>
      </c>
      <c r="BE193" s="19">
        <f t="shared" si="186"/>
        <v>0</v>
      </c>
      <c r="BF193" s="16"/>
      <c r="BG193" s="17">
        <f>VLOOKUP(BF193,'DATABASE F&amp;B'!$C$3:$F$216,2,0)</f>
        <v>0</v>
      </c>
      <c r="BH193" s="18"/>
      <c r="BI193" s="19">
        <f>VLOOKUP(BF193,'DATABASE F&amp;B'!$C$3:$F$216,4,0)</f>
        <v>0</v>
      </c>
      <c r="BJ193" s="19">
        <f t="shared" si="187"/>
        <v>0</v>
      </c>
      <c r="BK193" s="16"/>
      <c r="BL193" s="17">
        <f>VLOOKUP(BK193,'DATABASE F&amp;B'!$C$3:$F$210,2,0)</f>
        <v>0</v>
      </c>
      <c r="BM193" s="18"/>
      <c r="BN193" s="19">
        <f>VLOOKUP(BK193,'DATABASE F&amp;B'!$C$3:$F$210,4,0)</f>
        <v>0</v>
      </c>
      <c r="BO193" s="19">
        <f t="shared" si="188"/>
        <v>0</v>
      </c>
      <c r="BP193" s="16"/>
      <c r="BQ193" s="17">
        <f>VLOOKUP(BP193,'DATABASE F&amp;B'!$C$3:$F$210,2,0)</f>
        <v>0</v>
      </c>
      <c r="BR193" s="18"/>
      <c r="BS193" s="19">
        <f>VLOOKUP(BP193,'DATABASE F&amp;B'!$C$3:$F$210,4,0)</f>
        <v>0</v>
      </c>
      <c r="BT193" s="19">
        <f t="shared" si="189"/>
        <v>0</v>
      </c>
      <c r="BU193" s="16"/>
      <c r="BV193" s="17">
        <f>VLOOKUP(BU193,'DATABASE F&amp;B'!$C$3:$F$210,2,0)</f>
        <v>0</v>
      </c>
      <c r="BW193" s="18"/>
      <c r="BX193" s="19">
        <f>VLOOKUP(BU193,'DATABASE F&amp;B'!$C$3:$F$210,4,0)</f>
        <v>0</v>
      </c>
      <c r="BY193" s="19">
        <f t="shared" si="190"/>
        <v>0</v>
      </c>
      <c r="BZ193" s="16"/>
      <c r="CA193" s="17">
        <f>VLOOKUP(BZ193,'DATABASE F&amp;B'!$C$3:$F$210,2,0)</f>
        <v>0</v>
      </c>
      <c r="CB193" s="18"/>
      <c r="CC193" s="19">
        <f>VLOOKUP(BZ193,'DATABASE F&amp;B'!$C$3:$F$210,4,0)</f>
        <v>0</v>
      </c>
      <c r="CD193" s="19">
        <f t="shared" si="191"/>
        <v>0</v>
      </c>
    </row>
    <row r="194" spans="1:82" ht="13.5" x14ac:dyDescent="0.25">
      <c r="A194" s="32" t="str">
        <f t="shared" si="172"/>
        <v>--20</v>
      </c>
      <c r="B194" s="22">
        <f t="shared" si="194"/>
        <v>190</v>
      </c>
      <c r="C194" s="22">
        <f t="shared" si="194"/>
        <v>190</v>
      </c>
      <c r="D194" s="34"/>
      <c r="E194" s="35"/>
      <c r="F194" s="35"/>
      <c r="G194" s="52"/>
      <c r="H194" s="36" t="str">
        <f t="shared" si="170"/>
        <v>RJ--190</v>
      </c>
      <c r="I194" s="36" t="str">
        <f t="shared" si="173"/>
        <v>--20</v>
      </c>
      <c r="J194" s="37" t="e">
        <f>VLOOKUP(D194,Laporan!$C$4:$D$34,2,0)</f>
        <v>#N/A</v>
      </c>
      <c r="K194" s="48"/>
      <c r="L194" s="13"/>
      <c r="M194" s="19">
        <f>SUMIF('DATABASE Room'!$B$3:$B$7,L194,'DATABASE Room'!$D$3:$D$7)</f>
        <v>0</v>
      </c>
      <c r="N194" s="13"/>
      <c r="O194" s="21">
        <f t="shared" si="174"/>
        <v>0</v>
      </c>
      <c r="P194" s="38"/>
      <c r="Q194" s="19">
        <f t="shared" si="175"/>
        <v>0</v>
      </c>
      <c r="R194" s="21">
        <f t="shared" si="176"/>
        <v>0</v>
      </c>
      <c r="S194" s="19">
        <f t="shared" si="177"/>
        <v>3</v>
      </c>
      <c r="T194" s="19">
        <f t="shared" si="178"/>
        <v>0</v>
      </c>
      <c r="U194" s="21">
        <f t="shared" si="179"/>
        <v>0</v>
      </c>
      <c r="V194" s="39"/>
      <c r="W194" s="16"/>
      <c r="X194" s="17">
        <f>VLOOKUP(W194,'DATABASE F&amp;B'!$C$3:$F$216,2,0)</f>
        <v>0</v>
      </c>
      <c r="Y194" s="18"/>
      <c r="Z194" s="19">
        <f>VLOOKUP(W194,'DATABASE F&amp;B'!$C$3:$F$216,4,0)</f>
        <v>0</v>
      </c>
      <c r="AA194" s="19">
        <f t="shared" si="180"/>
        <v>0</v>
      </c>
      <c r="AB194" s="16"/>
      <c r="AC194" s="17">
        <f>VLOOKUP(AB194,'DATABASE F&amp;B'!$C$3:$F$216,2,0)</f>
        <v>0</v>
      </c>
      <c r="AD194" s="18"/>
      <c r="AE194" s="19">
        <f>VLOOKUP(AB194,'DATABASE F&amp;B'!$C$3:$F$216,4,0)</f>
        <v>0</v>
      </c>
      <c r="AF194" s="19">
        <f t="shared" si="181"/>
        <v>0</v>
      </c>
      <c r="AG194" s="16"/>
      <c r="AH194" s="17">
        <f>VLOOKUP(AG194,'DATABASE F&amp;B'!$C$3:$F$216,2,0)</f>
        <v>0</v>
      </c>
      <c r="AI194" s="18">
        <v>1</v>
      </c>
      <c r="AJ194" s="19">
        <f>VLOOKUP(AG194,'DATABASE F&amp;B'!$C$3:$F$216,4,0)</f>
        <v>0</v>
      </c>
      <c r="AK194" s="19">
        <f t="shared" si="182"/>
        <v>0</v>
      </c>
      <c r="AL194" s="16"/>
      <c r="AM194" s="17">
        <f>VLOOKUP(AL194,'DATABASE F&amp;B'!$C$3:$F$216,2,0)</f>
        <v>0</v>
      </c>
      <c r="AN194" s="18">
        <v>1</v>
      </c>
      <c r="AO194" s="19">
        <f>VLOOKUP(AL194,'DATABASE F&amp;B'!$C$3:$F$216,4,0)</f>
        <v>0</v>
      </c>
      <c r="AP194" s="19">
        <f t="shared" si="183"/>
        <v>0</v>
      </c>
      <c r="AQ194" s="16"/>
      <c r="AR194" s="17">
        <f>VLOOKUP(AQ194,'DATABASE F&amp;B'!$C$3:$F$216,2,0)</f>
        <v>0</v>
      </c>
      <c r="AS194" s="18">
        <v>1</v>
      </c>
      <c r="AT194" s="19">
        <f>VLOOKUP(AQ194,'DATABASE F&amp;B'!$C$3:$F$216,4,0)</f>
        <v>0</v>
      </c>
      <c r="AU194" s="19">
        <f t="shared" si="184"/>
        <v>0</v>
      </c>
      <c r="AV194" s="16"/>
      <c r="AW194" s="17">
        <f>VLOOKUP(AV194,'DATABASE F&amp;B'!$C$3:$F$216,2,0)</f>
        <v>0</v>
      </c>
      <c r="AX194" s="18"/>
      <c r="AY194" s="19">
        <f>VLOOKUP(AV194,'DATABASE F&amp;B'!$C$3:$F$216,4,0)</f>
        <v>0</v>
      </c>
      <c r="AZ194" s="19">
        <f t="shared" si="185"/>
        <v>0</v>
      </c>
      <c r="BA194" s="16"/>
      <c r="BB194" s="17">
        <f>VLOOKUP(BA194,'DATABASE F&amp;B'!$C$3:$F$216,2,0)</f>
        <v>0</v>
      </c>
      <c r="BC194" s="18"/>
      <c r="BD194" s="19">
        <f>VLOOKUP(BA194,'DATABASE F&amp;B'!$C$3:$F$216,4,0)</f>
        <v>0</v>
      </c>
      <c r="BE194" s="19">
        <f t="shared" si="186"/>
        <v>0</v>
      </c>
      <c r="BF194" s="16"/>
      <c r="BG194" s="17">
        <f>VLOOKUP(BF194,'DATABASE F&amp;B'!$C$3:$F$216,2,0)</f>
        <v>0</v>
      </c>
      <c r="BH194" s="18"/>
      <c r="BI194" s="19">
        <f>VLOOKUP(BF194,'DATABASE F&amp;B'!$C$3:$F$216,4,0)</f>
        <v>0</v>
      </c>
      <c r="BJ194" s="19">
        <f t="shared" si="187"/>
        <v>0</v>
      </c>
      <c r="BK194" s="16"/>
      <c r="BL194" s="17">
        <f>VLOOKUP(BK194,'DATABASE F&amp;B'!$C$3:$F$210,2,0)</f>
        <v>0</v>
      </c>
      <c r="BM194" s="18"/>
      <c r="BN194" s="19">
        <f>VLOOKUP(BK194,'DATABASE F&amp;B'!$C$3:$F$210,4,0)</f>
        <v>0</v>
      </c>
      <c r="BO194" s="19">
        <f t="shared" si="188"/>
        <v>0</v>
      </c>
      <c r="BP194" s="16"/>
      <c r="BQ194" s="17">
        <f>VLOOKUP(BP194,'DATABASE F&amp;B'!$C$3:$F$210,2,0)</f>
        <v>0</v>
      </c>
      <c r="BR194" s="18"/>
      <c r="BS194" s="19">
        <f>VLOOKUP(BP194,'DATABASE F&amp;B'!$C$3:$F$210,4,0)</f>
        <v>0</v>
      </c>
      <c r="BT194" s="19">
        <f t="shared" si="189"/>
        <v>0</v>
      </c>
      <c r="BU194" s="16"/>
      <c r="BV194" s="17">
        <f>VLOOKUP(BU194,'DATABASE F&amp;B'!$C$3:$F$210,2,0)</f>
        <v>0</v>
      </c>
      <c r="BW194" s="18"/>
      <c r="BX194" s="19">
        <f>VLOOKUP(BU194,'DATABASE F&amp;B'!$C$3:$F$210,4,0)</f>
        <v>0</v>
      </c>
      <c r="BY194" s="19">
        <f t="shared" si="190"/>
        <v>0</v>
      </c>
      <c r="BZ194" s="16"/>
      <c r="CA194" s="17">
        <f>VLOOKUP(BZ194,'DATABASE F&amp;B'!$C$3:$F$210,2,0)</f>
        <v>0</v>
      </c>
      <c r="CB194" s="18"/>
      <c r="CC194" s="19">
        <f>VLOOKUP(BZ194,'DATABASE F&amp;B'!$C$3:$F$210,4,0)</f>
        <v>0</v>
      </c>
      <c r="CD194" s="19">
        <f t="shared" si="191"/>
        <v>0</v>
      </c>
    </row>
    <row r="195" spans="1:82" ht="13.5" x14ac:dyDescent="0.25">
      <c r="A195" s="32" t="str">
        <f t="shared" si="172"/>
        <v>--20</v>
      </c>
      <c r="B195" s="22">
        <f t="shared" si="194"/>
        <v>191</v>
      </c>
      <c r="C195" s="22">
        <f t="shared" si="194"/>
        <v>191</v>
      </c>
      <c r="D195" s="34"/>
      <c r="E195" s="35"/>
      <c r="F195" s="35"/>
      <c r="G195" s="52"/>
      <c r="H195" s="36" t="str">
        <f t="shared" si="170"/>
        <v>RJ--191</v>
      </c>
      <c r="I195" s="36" t="str">
        <f t="shared" si="173"/>
        <v>--20</v>
      </c>
      <c r="J195" s="37" t="e">
        <f>VLOOKUP(D195,Laporan!$C$4:$D$34,2,0)</f>
        <v>#N/A</v>
      </c>
      <c r="K195" s="48"/>
      <c r="L195" s="13"/>
      <c r="M195" s="19">
        <f>SUMIF('DATABASE Room'!$B$3:$B$7,L195,'DATABASE Room'!$D$3:$D$7)</f>
        <v>0</v>
      </c>
      <c r="N195" s="13"/>
      <c r="O195" s="21">
        <f t="shared" si="174"/>
        <v>0</v>
      </c>
      <c r="P195" s="38"/>
      <c r="Q195" s="19">
        <f t="shared" si="175"/>
        <v>0</v>
      </c>
      <c r="R195" s="21">
        <f t="shared" si="176"/>
        <v>0</v>
      </c>
      <c r="S195" s="19">
        <f t="shared" si="177"/>
        <v>3</v>
      </c>
      <c r="T195" s="19">
        <f t="shared" si="178"/>
        <v>0</v>
      </c>
      <c r="U195" s="21">
        <f t="shared" si="179"/>
        <v>0</v>
      </c>
      <c r="V195" s="39"/>
      <c r="W195" s="16"/>
      <c r="X195" s="17">
        <f>VLOOKUP(W195,'DATABASE F&amp;B'!$C$3:$F$216,2,0)</f>
        <v>0</v>
      </c>
      <c r="Y195" s="18"/>
      <c r="Z195" s="19">
        <f>VLOOKUP(W195,'DATABASE F&amp;B'!$C$3:$F$216,4,0)</f>
        <v>0</v>
      </c>
      <c r="AA195" s="19">
        <f t="shared" si="180"/>
        <v>0</v>
      </c>
      <c r="AB195" s="16"/>
      <c r="AC195" s="17">
        <f>VLOOKUP(AB195,'DATABASE F&amp;B'!$C$3:$F$216,2,0)</f>
        <v>0</v>
      </c>
      <c r="AD195" s="18"/>
      <c r="AE195" s="19">
        <f>VLOOKUP(AB195,'DATABASE F&amp;B'!$C$3:$F$216,4,0)</f>
        <v>0</v>
      </c>
      <c r="AF195" s="19">
        <f t="shared" si="181"/>
        <v>0</v>
      </c>
      <c r="AG195" s="16"/>
      <c r="AH195" s="17">
        <f>VLOOKUP(AG195,'DATABASE F&amp;B'!$C$3:$F$216,2,0)</f>
        <v>0</v>
      </c>
      <c r="AI195" s="18">
        <v>1</v>
      </c>
      <c r="AJ195" s="19">
        <f>VLOOKUP(AG195,'DATABASE F&amp;B'!$C$3:$F$216,4,0)</f>
        <v>0</v>
      </c>
      <c r="AK195" s="19">
        <f t="shared" si="182"/>
        <v>0</v>
      </c>
      <c r="AL195" s="16"/>
      <c r="AM195" s="17">
        <f>VLOOKUP(AL195,'DATABASE F&amp;B'!$C$3:$F$216,2,0)</f>
        <v>0</v>
      </c>
      <c r="AN195" s="18">
        <v>1</v>
      </c>
      <c r="AO195" s="19">
        <f>VLOOKUP(AL195,'DATABASE F&amp;B'!$C$3:$F$216,4,0)</f>
        <v>0</v>
      </c>
      <c r="AP195" s="19">
        <f t="shared" si="183"/>
        <v>0</v>
      </c>
      <c r="AQ195" s="16"/>
      <c r="AR195" s="17">
        <f>VLOOKUP(AQ195,'DATABASE F&amp;B'!$C$3:$F$216,2,0)</f>
        <v>0</v>
      </c>
      <c r="AS195" s="18">
        <v>1</v>
      </c>
      <c r="AT195" s="19">
        <f>VLOOKUP(AQ195,'DATABASE F&amp;B'!$C$3:$F$216,4,0)</f>
        <v>0</v>
      </c>
      <c r="AU195" s="19">
        <f t="shared" si="184"/>
        <v>0</v>
      </c>
      <c r="AV195" s="16"/>
      <c r="AW195" s="17">
        <f>VLOOKUP(AV195,'DATABASE F&amp;B'!$C$3:$F$216,2,0)</f>
        <v>0</v>
      </c>
      <c r="AX195" s="18"/>
      <c r="AY195" s="19">
        <f>VLOOKUP(AV195,'DATABASE F&amp;B'!$C$3:$F$216,4,0)</f>
        <v>0</v>
      </c>
      <c r="AZ195" s="19">
        <f t="shared" si="185"/>
        <v>0</v>
      </c>
      <c r="BA195" s="16"/>
      <c r="BB195" s="17">
        <f>VLOOKUP(BA195,'DATABASE F&amp;B'!$C$3:$F$216,2,0)</f>
        <v>0</v>
      </c>
      <c r="BC195" s="18"/>
      <c r="BD195" s="19">
        <f>VLOOKUP(BA195,'DATABASE F&amp;B'!$C$3:$F$216,4,0)</f>
        <v>0</v>
      </c>
      <c r="BE195" s="19">
        <f t="shared" si="186"/>
        <v>0</v>
      </c>
      <c r="BF195" s="16"/>
      <c r="BG195" s="17">
        <f>VLOOKUP(BF195,'DATABASE F&amp;B'!$C$3:$F$216,2,0)</f>
        <v>0</v>
      </c>
      <c r="BH195" s="18"/>
      <c r="BI195" s="19">
        <f>VLOOKUP(BF195,'DATABASE F&amp;B'!$C$3:$F$216,4,0)</f>
        <v>0</v>
      </c>
      <c r="BJ195" s="19">
        <f t="shared" si="187"/>
        <v>0</v>
      </c>
      <c r="BK195" s="16"/>
      <c r="BL195" s="17">
        <f>VLOOKUP(BK195,'DATABASE F&amp;B'!$C$3:$F$210,2,0)</f>
        <v>0</v>
      </c>
      <c r="BM195" s="18"/>
      <c r="BN195" s="19">
        <f>VLOOKUP(BK195,'DATABASE F&amp;B'!$C$3:$F$210,4,0)</f>
        <v>0</v>
      </c>
      <c r="BO195" s="19">
        <f t="shared" si="188"/>
        <v>0</v>
      </c>
      <c r="BP195" s="16"/>
      <c r="BQ195" s="17">
        <f>VLOOKUP(BP195,'DATABASE F&amp;B'!$C$3:$F$210,2,0)</f>
        <v>0</v>
      </c>
      <c r="BR195" s="18"/>
      <c r="BS195" s="19">
        <f>VLOOKUP(BP195,'DATABASE F&amp;B'!$C$3:$F$210,4,0)</f>
        <v>0</v>
      </c>
      <c r="BT195" s="19">
        <f t="shared" si="189"/>
        <v>0</v>
      </c>
      <c r="BU195" s="16"/>
      <c r="BV195" s="17">
        <f>VLOOKUP(BU195,'DATABASE F&amp;B'!$C$3:$F$210,2,0)</f>
        <v>0</v>
      </c>
      <c r="BW195" s="18"/>
      <c r="BX195" s="19">
        <f>VLOOKUP(BU195,'DATABASE F&amp;B'!$C$3:$F$210,4,0)</f>
        <v>0</v>
      </c>
      <c r="BY195" s="19">
        <f t="shared" si="190"/>
        <v>0</v>
      </c>
      <c r="BZ195" s="16"/>
      <c r="CA195" s="17">
        <f>VLOOKUP(BZ195,'DATABASE F&amp;B'!$C$3:$F$210,2,0)</f>
        <v>0</v>
      </c>
      <c r="CB195" s="18"/>
      <c r="CC195" s="19">
        <f>VLOOKUP(BZ195,'DATABASE F&amp;B'!$C$3:$F$210,4,0)</f>
        <v>0</v>
      </c>
      <c r="CD195" s="19">
        <f t="shared" si="191"/>
        <v>0</v>
      </c>
    </row>
    <row r="196" spans="1:82" ht="13.5" x14ac:dyDescent="0.25">
      <c r="A196" s="32" t="str">
        <f t="shared" si="172"/>
        <v>--20</v>
      </c>
      <c r="B196" s="22">
        <f t="shared" si="194"/>
        <v>192</v>
      </c>
      <c r="C196" s="22">
        <f t="shared" si="194"/>
        <v>192</v>
      </c>
      <c r="D196" s="34"/>
      <c r="E196" s="35"/>
      <c r="F196" s="35"/>
      <c r="G196" s="52"/>
      <c r="H196" s="36" t="str">
        <f t="shared" si="170"/>
        <v>RJ--192</v>
      </c>
      <c r="I196" s="36" t="str">
        <f t="shared" si="173"/>
        <v>--20</v>
      </c>
      <c r="J196" s="37" t="e">
        <f>VLOOKUP(D196,Laporan!$C$4:$D$34,2,0)</f>
        <v>#N/A</v>
      </c>
      <c r="K196" s="48"/>
      <c r="L196" s="13"/>
      <c r="M196" s="19">
        <f>SUMIF('DATABASE Room'!$B$3:$B$7,L196,'DATABASE Room'!$D$3:$D$7)</f>
        <v>0</v>
      </c>
      <c r="N196" s="13"/>
      <c r="O196" s="21">
        <f t="shared" si="174"/>
        <v>0</v>
      </c>
      <c r="P196" s="38"/>
      <c r="Q196" s="19">
        <f t="shared" si="175"/>
        <v>0</v>
      </c>
      <c r="R196" s="21">
        <f t="shared" si="176"/>
        <v>0</v>
      </c>
      <c r="S196" s="19">
        <f t="shared" si="177"/>
        <v>3</v>
      </c>
      <c r="T196" s="19">
        <f t="shared" si="178"/>
        <v>0</v>
      </c>
      <c r="U196" s="21">
        <f t="shared" si="179"/>
        <v>0</v>
      </c>
      <c r="V196" s="39"/>
      <c r="W196" s="16"/>
      <c r="X196" s="17">
        <f>VLOOKUP(W196,'DATABASE F&amp;B'!$C$3:$F$216,2,0)</f>
        <v>0</v>
      </c>
      <c r="Y196" s="18"/>
      <c r="Z196" s="19">
        <f>VLOOKUP(W196,'DATABASE F&amp;B'!$C$3:$F$216,4,0)</f>
        <v>0</v>
      </c>
      <c r="AA196" s="19">
        <f t="shared" si="180"/>
        <v>0</v>
      </c>
      <c r="AB196" s="16"/>
      <c r="AC196" s="17">
        <f>VLOOKUP(AB196,'DATABASE F&amp;B'!$C$3:$F$216,2,0)</f>
        <v>0</v>
      </c>
      <c r="AD196" s="18"/>
      <c r="AE196" s="19">
        <f>VLOOKUP(AB196,'DATABASE F&amp;B'!$C$3:$F$216,4,0)</f>
        <v>0</v>
      </c>
      <c r="AF196" s="19">
        <f t="shared" si="181"/>
        <v>0</v>
      </c>
      <c r="AG196" s="16"/>
      <c r="AH196" s="17">
        <f>VLOOKUP(AG196,'DATABASE F&amp;B'!$C$3:$F$216,2,0)</f>
        <v>0</v>
      </c>
      <c r="AI196" s="18">
        <v>1</v>
      </c>
      <c r="AJ196" s="19">
        <f>VLOOKUP(AG196,'DATABASE F&amp;B'!$C$3:$F$216,4,0)</f>
        <v>0</v>
      </c>
      <c r="AK196" s="19">
        <f t="shared" si="182"/>
        <v>0</v>
      </c>
      <c r="AL196" s="16"/>
      <c r="AM196" s="17">
        <f>VLOOKUP(AL196,'DATABASE F&amp;B'!$C$3:$F$216,2,0)</f>
        <v>0</v>
      </c>
      <c r="AN196" s="18">
        <v>1</v>
      </c>
      <c r="AO196" s="19">
        <f>VLOOKUP(AL196,'DATABASE F&amp;B'!$C$3:$F$216,4,0)</f>
        <v>0</v>
      </c>
      <c r="AP196" s="19">
        <f t="shared" si="183"/>
        <v>0</v>
      </c>
      <c r="AQ196" s="16"/>
      <c r="AR196" s="17">
        <f>VLOOKUP(AQ196,'DATABASE F&amp;B'!$C$3:$F$216,2,0)</f>
        <v>0</v>
      </c>
      <c r="AS196" s="18">
        <v>1</v>
      </c>
      <c r="AT196" s="19">
        <f>VLOOKUP(AQ196,'DATABASE F&amp;B'!$C$3:$F$216,4,0)</f>
        <v>0</v>
      </c>
      <c r="AU196" s="19">
        <f t="shared" si="184"/>
        <v>0</v>
      </c>
      <c r="AV196" s="16"/>
      <c r="AW196" s="17">
        <f>VLOOKUP(AV196,'DATABASE F&amp;B'!$C$3:$F$216,2,0)</f>
        <v>0</v>
      </c>
      <c r="AX196" s="18"/>
      <c r="AY196" s="19">
        <f>VLOOKUP(AV196,'DATABASE F&amp;B'!$C$3:$F$216,4,0)</f>
        <v>0</v>
      </c>
      <c r="AZ196" s="19">
        <f t="shared" si="185"/>
        <v>0</v>
      </c>
      <c r="BA196" s="16"/>
      <c r="BB196" s="17">
        <f>VLOOKUP(BA196,'DATABASE F&amp;B'!$C$3:$F$216,2,0)</f>
        <v>0</v>
      </c>
      <c r="BC196" s="18"/>
      <c r="BD196" s="19">
        <f>VLOOKUP(BA196,'DATABASE F&amp;B'!$C$3:$F$216,4,0)</f>
        <v>0</v>
      </c>
      <c r="BE196" s="19">
        <f t="shared" si="186"/>
        <v>0</v>
      </c>
      <c r="BF196" s="16"/>
      <c r="BG196" s="17">
        <f>VLOOKUP(BF196,'DATABASE F&amp;B'!$C$3:$F$216,2,0)</f>
        <v>0</v>
      </c>
      <c r="BH196" s="18"/>
      <c r="BI196" s="19">
        <f>VLOOKUP(BF196,'DATABASE F&amp;B'!$C$3:$F$216,4,0)</f>
        <v>0</v>
      </c>
      <c r="BJ196" s="19">
        <f t="shared" si="187"/>
        <v>0</v>
      </c>
      <c r="BK196" s="16"/>
      <c r="BL196" s="17">
        <f>VLOOKUP(BK196,'DATABASE F&amp;B'!$C$3:$F$210,2,0)</f>
        <v>0</v>
      </c>
      <c r="BM196" s="18"/>
      <c r="BN196" s="19">
        <f>VLOOKUP(BK196,'DATABASE F&amp;B'!$C$3:$F$210,4,0)</f>
        <v>0</v>
      </c>
      <c r="BO196" s="19">
        <f t="shared" si="188"/>
        <v>0</v>
      </c>
      <c r="BP196" s="16"/>
      <c r="BQ196" s="17">
        <f>VLOOKUP(BP196,'DATABASE F&amp;B'!$C$3:$F$210,2,0)</f>
        <v>0</v>
      </c>
      <c r="BR196" s="18"/>
      <c r="BS196" s="19">
        <f>VLOOKUP(BP196,'DATABASE F&amp;B'!$C$3:$F$210,4,0)</f>
        <v>0</v>
      </c>
      <c r="BT196" s="19">
        <f t="shared" si="189"/>
        <v>0</v>
      </c>
      <c r="BU196" s="16"/>
      <c r="BV196" s="17">
        <f>VLOOKUP(BU196,'DATABASE F&amp;B'!$C$3:$F$210,2,0)</f>
        <v>0</v>
      </c>
      <c r="BW196" s="18"/>
      <c r="BX196" s="19">
        <f>VLOOKUP(BU196,'DATABASE F&amp;B'!$C$3:$F$210,4,0)</f>
        <v>0</v>
      </c>
      <c r="BY196" s="19">
        <f t="shared" si="190"/>
        <v>0</v>
      </c>
      <c r="BZ196" s="16"/>
      <c r="CA196" s="17">
        <f>VLOOKUP(BZ196,'DATABASE F&amp;B'!$C$3:$F$210,2,0)</f>
        <v>0</v>
      </c>
      <c r="CB196" s="18"/>
      <c r="CC196" s="19">
        <f>VLOOKUP(BZ196,'DATABASE F&amp;B'!$C$3:$F$210,4,0)</f>
        <v>0</v>
      </c>
      <c r="CD196" s="19">
        <f t="shared" si="191"/>
        <v>0</v>
      </c>
    </row>
    <row r="197" spans="1:82" ht="13.5" x14ac:dyDescent="0.25">
      <c r="A197" s="32" t="str">
        <f t="shared" si="172"/>
        <v>--20</v>
      </c>
      <c r="B197" s="22">
        <f t="shared" si="194"/>
        <v>193</v>
      </c>
      <c r="C197" s="22">
        <f t="shared" si="194"/>
        <v>193</v>
      </c>
      <c r="D197" s="34"/>
      <c r="E197" s="35"/>
      <c r="F197" s="35"/>
      <c r="G197" s="52"/>
      <c r="H197" s="36" t="str">
        <f t="shared" si="170"/>
        <v>RJ--193</v>
      </c>
      <c r="I197" s="36" t="str">
        <f t="shared" si="173"/>
        <v>--20</v>
      </c>
      <c r="J197" s="37" t="e">
        <f>VLOOKUP(D197,Laporan!$C$4:$D$34,2,0)</f>
        <v>#N/A</v>
      </c>
      <c r="K197" s="48"/>
      <c r="L197" s="13"/>
      <c r="M197" s="19">
        <f>SUMIF('DATABASE Room'!$B$3:$B$7,L197,'DATABASE Room'!$D$3:$D$7)</f>
        <v>0</v>
      </c>
      <c r="N197" s="13"/>
      <c r="O197" s="21">
        <f t="shared" si="174"/>
        <v>0</v>
      </c>
      <c r="P197" s="38"/>
      <c r="Q197" s="19">
        <f t="shared" si="175"/>
        <v>0</v>
      </c>
      <c r="R197" s="21">
        <f t="shared" si="176"/>
        <v>0</v>
      </c>
      <c r="S197" s="19">
        <f t="shared" si="177"/>
        <v>3</v>
      </c>
      <c r="T197" s="19">
        <f t="shared" si="178"/>
        <v>0</v>
      </c>
      <c r="U197" s="21">
        <f t="shared" si="179"/>
        <v>0</v>
      </c>
      <c r="V197" s="39"/>
      <c r="W197" s="16"/>
      <c r="X197" s="17">
        <f>VLOOKUP(W197,'DATABASE F&amp;B'!$C$3:$F$216,2,0)</f>
        <v>0</v>
      </c>
      <c r="Y197" s="18"/>
      <c r="Z197" s="19">
        <f>VLOOKUP(W197,'DATABASE F&amp;B'!$C$3:$F$216,4,0)</f>
        <v>0</v>
      </c>
      <c r="AA197" s="19">
        <f t="shared" si="180"/>
        <v>0</v>
      </c>
      <c r="AB197" s="16"/>
      <c r="AC197" s="17">
        <f>VLOOKUP(AB197,'DATABASE F&amp;B'!$C$3:$F$216,2,0)</f>
        <v>0</v>
      </c>
      <c r="AD197" s="18"/>
      <c r="AE197" s="19">
        <f>VLOOKUP(AB197,'DATABASE F&amp;B'!$C$3:$F$216,4,0)</f>
        <v>0</v>
      </c>
      <c r="AF197" s="19">
        <f t="shared" si="181"/>
        <v>0</v>
      </c>
      <c r="AG197" s="16"/>
      <c r="AH197" s="17">
        <f>VLOOKUP(AG197,'DATABASE F&amp;B'!$C$3:$F$216,2,0)</f>
        <v>0</v>
      </c>
      <c r="AI197" s="18">
        <v>1</v>
      </c>
      <c r="AJ197" s="19">
        <f>VLOOKUP(AG197,'DATABASE F&amp;B'!$C$3:$F$216,4,0)</f>
        <v>0</v>
      </c>
      <c r="AK197" s="19">
        <f t="shared" si="182"/>
        <v>0</v>
      </c>
      <c r="AL197" s="16"/>
      <c r="AM197" s="17">
        <f>VLOOKUP(AL197,'DATABASE F&amp;B'!$C$3:$F$216,2,0)</f>
        <v>0</v>
      </c>
      <c r="AN197" s="18">
        <v>1</v>
      </c>
      <c r="AO197" s="19">
        <f>VLOOKUP(AL197,'DATABASE F&amp;B'!$C$3:$F$216,4,0)</f>
        <v>0</v>
      </c>
      <c r="AP197" s="19">
        <f t="shared" si="183"/>
        <v>0</v>
      </c>
      <c r="AQ197" s="16"/>
      <c r="AR197" s="17">
        <f>VLOOKUP(AQ197,'DATABASE F&amp;B'!$C$3:$F$216,2,0)</f>
        <v>0</v>
      </c>
      <c r="AS197" s="18">
        <v>1</v>
      </c>
      <c r="AT197" s="19">
        <f>VLOOKUP(AQ197,'DATABASE F&amp;B'!$C$3:$F$216,4,0)</f>
        <v>0</v>
      </c>
      <c r="AU197" s="19">
        <f t="shared" si="184"/>
        <v>0</v>
      </c>
      <c r="AV197" s="16"/>
      <c r="AW197" s="17">
        <f>VLOOKUP(AV197,'DATABASE F&amp;B'!$C$3:$F$216,2,0)</f>
        <v>0</v>
      </c>
      <c r="AX197" s="18"/>
      <c r="AY197" s="19">
        <f>VLOOKUP(AV197,'DATABASE F&amp;B'!$C$3:$F$216,4,0)</f>
        <v>0</v>
      </c>
      <c r="AZ197" s="19">
        <f t="shared" si="185"/>
        <v>0</v>
      </c>
      <c r="BA197" s="16"/>
      <c r="BB197" s="17">
        <f>VLOOKUP(BA197,'DATABASE F&amp;B'!$C$3:$F$216,2,0)</f>
        <v>0</v>
      </c>
      <c r="BC197" s="18"/>
      <c r="BD197" s="19">
        <f>VLOOKUP(BA197,'DATABASE F&amp;B'!$C$3:$F$216,4,0)</f>
        <v>0</v>
      </c>
      <c r="BE197" s="19">
        <f t="shared" si="186"/>
        <v>0</v>
      </c>
      <c r="BF197" s="16"/>
      <c r="BG197" s="17">
        <f>VLOOKUP(BF197,'DATABASE F&amp;B'!$C$3:$F$216,2,0)</f>
        <v>0</v>
      </c>
      <c r="BH197" s="18"/>
      <c r="BI197" s="19">
        <f>VLOOKUP(BF197,'DATABASE F&amp;B'!$C$3:$F$216,4,0)</f>
        <v>0</v>
      </c>
      <c r="BJ197" s="19">
        <f t="shared" si="187"/>
        <v>0</v>
      </c>
      <c r="BK197" s="16"/>
      <c r="BL197" s="17">
        <f>VLOOKUP(BK197,'DATABASE F&amp;B'!$C$3:$F$210,2,0)</f>
        <v>0</v>
      </c>
      <c r="BM197" s="18"/>
      <c r="BN197" s="19">
        <f>VLOOKUP(BK197,'DATABASE F&amp;B'!$C$3:$F$210,4,0)</f>
        <v>0</v>
      </c>
      <c r="BO197" s="19">
        <f t="shared" si="188"/>
        <v>0</v>
      </c>
      <c r="BP197" s="16"/>
      <c r="BQ197" s="17">
        <f>VLOOKUP(BP197,'DATABASE F&amp;B'!$C$3:$F$210,2,0)</f>
        <v>0</v>
      </c>
      <c r="BR197" s="18"/>
      <c r="BS197" s="19">
        <f>VLOOKUP(BP197,'DATABASE F&amp;B'!$C$3:$F$210,4,0)</f>
        <v>0</v>
      </c>
      <c r="BT197" s="19">
        <f t="shared" si="189"/>
        <v>0</v>
      </c>
      <c r="BU197" s="16"/>
      <c r="BV197" s="17">
        <f>VLOOKUP(BU197,'DATABASE F&amp;B'!$C$3:$F$210,2,0)</f>
        <v>0</v>
      </c>
      <c r="BW197" s="18"/>
      <c r="BX197" s="19">
        <f>VLOOKUP(BU197,'DATABASE F&amp;B'!$C$3:$F$210,4,0)</f>
        <v>0</v>
      </c>
      <c r="BY197" s="19">
        <f t="shared" si="190"/>
        <v>0</v>
      </c>
      <c r="BZ197" s="16"/>
      <c r="CA197" s="17">
        <f>VLOOKUP(BZ197,'DATABASE F&amp;B'!$C$3:$F$210,2,0)</f>
        <v>0</v>
      </c>
      <c r="CB197" s="18"/>
      <c r="CC197" s="19">
        <f>VLOOKUP(BZ197,'DATABASE F&amp;B'!$C$3:$F$210,4,0)</f>
        <v>0</v>
      </c>
      <c r="CD197" s="19">
        <f t="shared" si="191"/>
        <v>0</v>
      </c>
    </row>
    <row r="198" spans="1:82" ht="13.5" x14ac:dyDescent="0.25">
      <c r="A198" s="32" t="str">
        <f t="shared" si="172"/>
        <v>--20</v>
      </c>
      <c r="B198" s="22">
        <f t="shared" si="194"/>
        <v>194</v>
      </c>
      <c r="C198" s="22">
        <f t="shared" si="194"/>
        <v>194</v>
      </c>
      <c r="D198" s="34"/>
      <c r="E198" s="35"/>
      <c r="F198" s="35"/>
      <c r="G198" s="52"/>
      <c r="H198" s="36" t="str">
        <f t="shared" ref="H198:H261" si="195">CONCATENATE("RJ","-",E198,F198,G198,"-",B198)</f>
        <v>RJ--194</v>
      </c>
      <c r="I198" s="36" t="str">
        <f t="shared" si="173"/>
        <v>--20</v>
      </c>
      <c r="J198" s="37" t="e">
        <f>VLOOKUP(D198,Laporan!$C$4:$D$34,2,0)</f>
        <v>#N/A</v>
      </c>
      <c r="K198" s="48"/>
      <c r="L198" s="13"/>
      <c r="M198" s="19">
        <f>SUMIF('DATABASE Room'!$B$3:$B$7,L198,'DATABASE Room'!$D$3:$D$7)</f>
        <v>0</v>
      </c>
      <c r="N198" s="13"/>
      <c r="O198" s="21">
        <f t="shared" si="174"/>
        <v>0</v>
      </c>
      <c r="P198" s="38"/>
      <c r="Q198" s="19">
        <f t="shared" si="175"/>
        <v>0</v>
      </c>
      <c r="R198" s="21">
        <f t="shared" si="176"/>
        <v>0</v>
      </c>
      <c r="S198" s="19">
        <f t="shared" si="177"/>
        <v>3</v>
      </c>
      <c r="T198" s="19">
        <f t="shared" si="178"/>
        <v>0</v>
      </c>
      <c r="U198" s="21">
        <f t="shared" si="179"/>
        <v>0</v>
      </c>
      <c r="V198" s="39"/>
      <c r="W198" s="16"/>
      <c r="X198" s="17">
        <f>VLOOKUP(W198,'DATABASE F&amp;B'!$C$3:$F$216,2,0)</f>
        <v>0</v>
      </c>
      <c r="Y198" s="18"/>
      <c r="Z198" s="19">
        <f>VLOOKUP(W198,'DATABASE F&amp;B'!$C$3:$F$216,4,0)</f>
        <v>0</v>
      </c>
      <c r="AA198" s="19">
        <f t="shared" si="180"/>
        <v>0</v>
      </c>
      <c r="AB198" s="16"/>
      <c r="AC198" s="17">
        <f>VLOOKUP(AB198,'DATABASE F&amp;B'!$C$3:$F$216,2,0)</f>
        <v>0</v>
      </c>
      <c r="AD198" s="18"/>
      <c r="AE198" s="19">
        <f>VLOOKUP(AB198,'DATABASE F&amp;B'!$C$3:$F$216,4,0)</f>
        <v>0</v>
      </c>
      <c r="AF198" s="19">
        <f t="shared" si="181"/>
        <v>0</v>
      </c>
      <c r="AG198" s="16"/>
      <c r="AH198" s="17">
        <f>VLOOKUP(AG198,'DATABASE F&amp;B'!$C$3:$F$216,2,0)</f>
        <v>0</v>
      </c>
      <c r="AI198" s="18">
        <v>1</v>
      </c>
      <c r="AJ198" s="19">
        <f>VLOOKUP(AG198,'DATABASE F&amp;B'!$C$3:$F$216,4,0)</f>
        <v>0</v>
      </c>
      <c r="AK198" s="19">
        <f t="shared" si="182"/>
        <v>0</v>
      </c>
      <c r="AL198" s="16"/>
      <c r="AM198" s="17">
        <f>VLOOKUP(AL198,'DATABASE F&amp;B'!$C$3:$F$216,2,0)</f>
        <v>0</v>
      </c>
      <c r="AN198" s="18">
        <v>1</v>
      </c>
      <c r="AO198" s="19">
        <f>VLOOKUP(AL198,'DATABASE F&amp;B'!$C$3:$F$216,4,0)</f>
        <v>0</v>
      </c>
      <c r="AP198" s="19">
        <f t="shared" si="183"/>
        <v>0</v>
      </c>
      <c r="AQ198" s="16"/>
      <c r="AR198" s="17">
        <f>VLOOKUP(AQ198,'DATABASE F&amp;B'!$C$3:$F$216,2,0)</f>
        <v>0</v>
      </c>
      <c r="AS198" s="18">
        <v>1</v>
      </c>
      <c r="AT198" s="19">
        <f>VLOOKUP(AQ198,'DATABASE F&amp;B'!$C$3:$F$216,4,0)</f>
        <v>0</v>
      </c>
      <c r="AU198" s="19">
        <f t="shared" si="184"/>
        <v>0</v>
      </c>
      <c r="AV198" s="16"/>
      <c r="AW198" s="17">
        <f>VLOOKUP(AV198,'DATABASE F&amp;B'!$C$3:$F$216,2,0)</f>
        <v>0</v>
      </c>
      <c r="AX198" s="18"/>
      <c r="AY198" s="19">
        <f>VLOOKUP(AV198,'DATABASE F&amp;B'!$C$3:$F$216,4,0)</f>
        <v>0</v>
      </c>
      <c r="AZ198" s="19">
        <f t="shared" si="185"/>
        <v>0</v>
      </c>
      <c r="BA198" s="16"/>
      <c r="BB198" s="17">
        <f>VLOOKUP(BA198,'DATABASE F&amp;B'!$C$3:$F$216,2,0)</f>
        <v>0</v>
      </c>
      <c r="BC198" s="18"/>
      <c r="BD198" s="19">
        <f>VLOOKUP(BA198,'DATABASE F&amp;B'!$C$3:$F$216,4,0)</f>
        <v>0</v>
      </c>
      <c r="BE198" s="19">
        <f t="shared" si="186"/>
        <v>0</v>
      </c>
      <c r="BF198" s="16"/>
      <c r="BG198" s="17">
        <f>VLOOKUP(BF198,'DATABASE F&amp;B'!$C$3:$F$216,2,0)</f>
        <v>0</v>
      </c>
      <c r="BH198" s="18"/>
      <c r="BI198" s="19">
        <f>VLOOKUP(BF198,'DATABASE F&amp;B'!$C$3:$F$216,4,0)</f>
        <v>0</v>
      </c>
      <c r="BJ198" s="19">
        <f t="shared" si="187"/>
        <v>0</v>
      </c>
      <c r="BK198" s="16"/>
      <c r="BL198" s="17">
        <f>VLOOKUP(BK198,'DATABASE F&amp;B'!$C$3:$F$210,2,0)</f>
        <v>0</v>
      </c>
      <c r="BM198" s="18"/>
      <c r="BN198" s="19">
        <f>VLOOKUP(BK198,'DATABASE F&amp;B'!$C$3:$F$210,4,0)</f>
        <v>0</v>
      </c>
      <c r="BO198" s="19">
        <f t="shared" si="188"/>
        <v>0</v>
      </c>
      <c r="BP198" s="16"/>
      <c r="BQ198" s="17">
        <f>VLOOKUP(BP198,'DATABASE F&amp;B'!$C$3:$F$210,2,0)</f>
        <v>0</v>
      </c>
      <c r="BR198" s="18"/>
      <c r="BS198" s="19">
        <f>VLOOKUP(BP198,'DATABASE F&amp;B'!$C$3:$F$210,4,0)</f>
        <v>0</v>
      </c>
      <c r="BT198" s="19">
        <f t="shared" si="189"/>
        <v>0</v>
      </c>
      <c r="BU198" s="16"/>
      <c r="BV198" s="17">
        <f>VLOOKUP(BU198,'DATABASE F&amp;B'!$C$3:$F$210,2,0)</f>
        <v>0</v>
      </c>
      <c r="BW198" s="18"/>
      <c r="BX198" s="19">
        <f>VLOOKUP(BU198,'DATABASE F&amp;B'!$C$3:$F$210,4,0)</f>
        <v>0</v>
      </c>
      <c r="BY198" s="19">
        <f t="shared" si="190"/>
        <v>0</v>
      </c>
      <c r="BZ198" s="16"/>
      <c r="CA198" s="17">
        <f>VLOOKUP(BZ198,'DATABASE F&amp;B'!$C$3:$F$210,2,0)</f>
        <v>0</v>
      </c>
      <c r="CB198" s="18"/>
      <c r="CC198" s="19">
        <f>VLOOKUP(BZ198,'DATABASE F&amp;B'!$C$3:$F$210,4,0)</f>
        <v>0</v>
      </c>
      <c r="CD198" s="19">
        <f t="shared" si="191"/>
        <v>0</v>
      </c>
    </row>
    <row r="199" spans="1:82" ht="13.5" x14ac:dyDescent="0.25">
      <c r="A199" s="32" t="str">
        <f t="shared" si="172"/>
        <v>--20</v>
      </c>
      <c r="B199" s="22">
        <f t="shared" ref="B199:C214" si="196">B198+1</f>
        <v>195</v>
      </c>
      <c r="C199" s="22">
        <f t="shared" si="196"/>
        <v>195</v>
      </c>
      <c r="D199" s="34"/>
      <c r="E199" s="35"/>
      <c r="F199" s="35"/>
      <c r="G199" s="52"/>
      <c r="H199" s="36" t="str">
        <f t="shared" si="195"/>
        <v>RJ--195</v>
      </c>
      <c r="I199" s="36" t="str">
        <f t="shared" si="173"/>
        <v>--20</v>
      </c>
      <c r="J199" s="37" t="e">
        <f>VLOOKUP(D199,Laporan!$C$4:$D$34,2,0)</f>
        <v>#N/A</v>
      </c>
      <c r="K199" s="48"/>
      <c r="L199" s="13"/>
      <c r="M199" s="19">
        <f>SUMIF('DATABASE Room'!$B$3:$B$7,L199,'DATABASE Room'!$D$3:$D$7)</f>
        <v>0</v>
      </c>
      <c r="N199" s="13"/>
      <c r="O199" s="21">
        <f t="shared" si="174"/>
        <v>0</v>
      </c>
      <c r="P199" s="38"/>
      <c r="Q199" s="19">
        <f t="shared" si="175"/>
        <v>0</v>
      </c>
      <c r="R199" s="21">
        <f t="shared" si="176"/>
        <v>0</v>
      </c>
      <c r="S199" s="19">
        <f t="shared" si="177"/>
        <v>3</v>
      </c>
      <c r="T199" s="19">
        <f t="shared" si="178"/>
        <v>0</v>
      </c>
      <c r="U199" s="21">
        <f t="shared" si="179"/>
        <v>0</v>
      </c>
      <c r="V199" s="39"/>
      <c r="W199" s="16"/>
      <c r="X199" s="17">
        <f>VLOOKUP(W199,'DATABASE F&amp;B'!$C$3:$F$216,2,0)</f>
        <v>0</v>
      </c>
      <c r="Y199" s="18"/>
      <c r="Z199" s="19">
        <f>VLOOKUP(W199,'DATABASE F&amp;B'!$C$3:$F$216,4,0)</f>
        <v>0</v>
      </c>
      <c r="AA199" s="19">
        <f t="shared" si="180"/>
        <v>0</v>
      </c>
      <c r="AB199" s="16"/>
      <c r="AC199" s="17">
        <f>VLOOKUP(AB199,'DATABASE F&amp;B'!$C$3:$F$216,2,0)</f>
        <v>0</v>
      </c>
      <c r="AD199" s="18"/>
      <c r="AE199" s="19">
        <f>VLOOKUP(AB199,'DATABASE F&amp;B'!$C$3:$F$216,4,0)</f>
        <v>0</v>
      </c>
      <c r="AF199" s="19">
        <f t="shared" si="181"/>
        <v>0</v>
      </c>
      <c r="AG199" s="16"/>
      <c r="AH199" s="17">
        <f>VLOOKUP(AG199,'DATABASE F&amp;B'!$C$3:$F$216,2,0)</f>
        <v>0</v>
      </c>
      <c r="AI199" s="18">
        <v>1</v>
      </c>
      <c r="AJ199" s="19">
        <f>VLOOKUP(AG199,'DATABASE F&amp;B'!$C$3:$F$216,4,0)</f>
        <v>0</v>
      </c>
      <c r="AK199" s="19">
        <f t="shared" si="182"/>
        <v>0</v>
      </c>
      <c r="AL199" s="16"/>
      <c r="AM199" s="17">
        <f>VLOOKUP(AL199,'DATABASE F&amp;B'!$C$3:$F$216,2,0)</f>
        <v>0</v>
      </c>
      <c r="AN199" s="18">
        <v>1</v>
      </c>
      <c r="AO199" s="19">
        <f>VLOOKUP(AL199,'DATABASE F&amp;B'!$C$3:$F$216,4,0)</f>
        <v>0</v>
      </c>
      <c r="AP199" s="19">
        <f t="shared" si="183"/>
        <v>0</v>
      </c>
      <c r="AQ199" s="16"/>
      <c r="AR199" s="17">
        <f>VLOOKUP(AQ199,'DATABASE F&amp;B'!$C$3:$F$216,2,0)</f>
        <v>0</v>
      </c>
      <c r="AS199" s="18">
        <v>1</v>
      </c>
      <c r="AT199" s="19">
        <f>VLOOKUP(AQ199,'DATABASE F&amp;B'!$C$3:$F$216,4,0)</f>
        <v>0</v>
      </c>
      <c r="AU199" s="19">
        <f t="shared" si="184"/>
        <v>0</v>
      </c>
      <c r="AV199" s="16"/>
      <c r="AW199" s="17">
        <f>VLOOKUP(AV199,'DATABASE F&amp;B'!$C$3:$F$216,2,0)</f>
        <v>0</v>
      </c>
      <c r="AX199" s="18"/>
      <c r="AY199" s="19">
        <f>VLOOKUP(AV199,'DATABASE F&amp;B'!$C$3:$F$216,4,0)</f>
        <v>0</v>
      </c>
      <c r="AZ199" s="19">
        <f t="shared" si="185"/>
        <v>0</v>
      </c>
      <c r="BA199" s="16"/>
      <c r="BB199" s="17">
        <f>VLOOKUP(BA199,'DATABASE F&amp;B'!$C$3:$F$216,2,0)</f>
        <v>0</v>
      </c>
      <c r="BC199" s="18"/>
      <c r="BD199" s="19">
        <f>VLOOKUP(BA199,'DATABASE F&amp;B'!$C$3:$F$216,4,0)</f>
        <v>0</v>
      </c>
      <c r="BE199" s="19">
        <f t="shared" si="186"/>
        <v>0</v>
      </c>
      <c r="BF199" s="16"/>
      <c r="BG199" s="17">
        <f>VLOOKUP(BF199,'DATABASE F&amp;B'!$C$3:$F$216,2,0)</f>
        <v>0</v>
      </c>
      <c r="BH199" s="18"/>
      <c r="BI199" s="19">
        <f>VLOOKUP(BF199,'DATABASE F&amp;B'!$C$3:$F$216,4,0)</f>
        <v>0</v>
      </c>
      <c r="BJ199" s="19">
        <f t="shared" si="187"/>
        <v>0</v>
      </c>
      <c r="BK199" s="16"/>
      <c r="BL199" s="17">
        <f>VLOOKUP(BK199,'DATABASE F&amp;B'!$C$3:$F$210,2,0)</f>
        <v>0</v>
      </c>
      <c r="BM199" s="18"/>
      <c r="BN199" s="19">
        <f>VLOOKUP(BK199,'DATABASE F&amp;B'!$C$3:$F$210,4,0)</f>
        <v>0</v>
      </c>
      <c r="BO199" s="19">
        <f t="shared" si="188"/>
        <v>0</v>
      </c>
      <c r="BP199" s="16"/>
      <c r="BQ199" s="17">
        <f>VLOOKUP(BP199,'DATABASE F&amp;B'!$C$3:$F$210,2,0)</f>
        <v>0</v>
      </c>
      <c r="BR199" s="18"/>
      <c r="BS199" s="19">
        <f>VLOOKUP(BP199,'DATABASE F&amp;B'!$C$3:$F$210,4,0)</f>
        <v>0</v>
      </c>
      <c r="BT199" s="19">
        <f t="shared" si="189"/>
        <v>0</v>
      </c>
      <c r="BU199" s="16"/>
      <c r="BV199" s="17">
        <f>VLOOKUP(BU199,'DATABASE F&amp;B'!$C$3:$F$210,2,0)</f>
        <v>0</v>
      </c>
      <c r="BW199" s="18"/>
      <c r="BX199" s="19">
        <f>VLOOKUP(BU199,'DATABASE F&amp;B'!$C$3:$F$210,4,0)</f>
        <v>0</v>
      </c>
      <c r="BY199" s="19">
        <f t="shared" si="190"/>
        <v>0</v>
      </c>
      <c r="BZ199" s="16"/>
      <c r="CA199" s="17">
        <f>VLOOKUP(BZ199,'DATABASE F&amp;B'!$C$3:$F$210,2,0)</f>
        <v>0</v>
      </c>
      <c r="CB199" s="18"/>
      <c r="CC199" s="19">
        <f>VLOOKUP(BZ199,'DATABASE F&amp;B'!$C$3:$F$210,4,0)</f>
        <v>0</v>
      </c>
      <c r="CD199" s="19">
        <f t="shared" si="191"/>
        <v>0</v>
      </c>
    </row>
    <row r="200" spans="1:82" ht="13.5" x14ac:dyDescent="0.25">
      <c r="A200" s="32" t="str">
        <f t="shared" si="172"/>
        <v>--20</v>
      </c>
      <c r="B200" s="22">
        <f t="shared" si="196"/>
        <v>196</v>
      </c>
      <c r="C200" s="22">
        <f t="shared" si="196"/>
        <v>196</v>
      </c>
      <c r="D200" s="34"/>
      <c r="E200" s="35"/>
      <c r="F200" s="35"/>
      <c r="G200" s="52"/>
      <c r="H200" s="36" t="str">
        <f t="shared" si="195"/>
        <v>RJ--196</v>
      </c>
      <c r="I200" s="36" t="str">
        <f t="shared" si="173"/>
        <v>--20</v>
      </c>
      <c r="J200" s="37" t="e">
        <f>VLOOKUP(D200,Laporan!$C$4:$D$34,2,0)</f>
        <v>#N/A</v>
      </c>
      <c r="K200" s="48"/>
      <c r="L200" s="13"/>
      <c r="M200" s="19">
        <f>SUMIF('DATABASE Room'!$B$3:$B$7,L200,'DATABASE Room'!$D$3:$D$7)</f>
        <v>0</v>
      </c>
      <c r="N200" s="13"/>
      <c r="O200" s="21">
        <f t="shared" si="174"/>
        <v>0</v>
      </c>
      <c r="P200" s="38"/>
      <c r="Q200" s="19">
        <f t="shared" si="175"/>
        <v>0</v>
      </c>
      <c r="R200" s="21">
        <f t="shared" si="176"/>
        <v>0</v>
      </c>
      <c r="S200" s="19">
        <f t="shared" si="177"/>
        <v>3</v>
      </c>
      <c r="T200" s="19">
        <f t="shared" si="178"/>
        <v>0</v>
      </c>
      <c r="U200" s="21">
        <f t="shared" si="179"/>
        <v>0</v>
      </c>
      <c r="V200" s="39"/>
      <c r="W200" s="16"/>
      <c r="X200" s="17">
        <f>VLOOKUP(W200,'DATABASE F&amp;B'!$C$3:$F$216,2,0)</f>
        <v>0</v>
      </c>
      <c r="Y200" s="18"/>
      <c r="Z200" s="19">
        <f>VLOOKUP(W200,'DATABASE F&amp;B'!$C$3:$F$216,4,0)</f>
        <v>0</v>
      </c>
      <c r="AA200" s="19">
        <f t="shared" si="180"/>
        <v>0</v>
      </c>
      <c r="AB200" s="16"/>
      <c r="AC200" s="17">
        <f>VLOOKUP(AB200,'DATABASE F&amp;B'!$C$3:$F$216,2,0)</f>
        <v>0</v>
      </c>
      <c r="AD200" s="18"/>
      <c r="AE200" s="19">
        <f>VLOOKUP(AB200,'DATABASE F&amp;B'!$C$3:$F$216,4,0)</f>
        <v>0</v>
      </c>
      <c r="AF200" s="19">
        <f t="shared" si="181"/>
        <v>0</v>
      </c>
      <c r="AG200" s="16"/>
      <c r="AH200" s="17">
        <f>VLOOKUP(AG200,'DATABASE F&amp;B'!$C$3:$F$216,2,0)</f>
        <v>0</v>
      </c>
      <c r="AI200" s="18">
        <v>1</v>
      </c>
      <c r="AJ200" s="19">
        <f>VLOOKUP(AG200,'DATABASE F&amp;B'!$C$3:$F$216,4,0)</f>
        <v>0</v>
      </c>
      <c r="AK200" s="19">
        <f t="shared" si="182"/>
        <v>0</v>
      </c>
      <c r="AL200" s="16"/>
      <c r="AM200" s="17">
        <f>VLOOKUP(AL200,'DATABASE F&amp;B'!$C$3:$F$216,2,0)</f>
        <v>0</v>
      </c>
      <c r="AN200" s="18">
        <v>1</v>
      </c>
      <c r="AO200" s="19">
        <f>VLOOKUP(AL200,'DATABASE F&amp;B'!$C$3:$F$216,4,0)</f>
        <v>0</v>
      </c>
      <c r="AP200" s="19">
        <f t="shared" si="183"/>
        <v>0</v>
      </c>
      <c r="AQ200" s="16"/>
      <c r="AR200" s="17">
        <f>VLOOKUP(AQ200,'DATABASE F&amp;B'!$C$3:$F$216,2,0)</f>
        <v>0</v>
      </c>
      <c r="AS200" s="18">
        <v>1</v>
      </c>
      <c r="AT200" s="19">
        <f>VLOOKUP(AQ200,'DATABASE F&amp;B'!$C$3:$F$216,4,0)</f>
        <v>0</v>
      </c>
      <c r="AU200" s="19">
        <f t="shared" si="184"/>
        <v>0</v>
      </c>
      <c r="AV200" s="16"/>
      <c r="AW200" s="17">
        <f>VLOOKUP(AV200,'DATABASE F&amp;B'!$C$3:$F$216,2,0)</f>
        <v>0</v>
      </c>
      <c r="AX200" s="18"/>
      <c r="AY200" s="19">
        <f>VLOOKUP(AV200,'DATABASE F&amp;B'!$C$3:$F$216,4,0)</f>
        <v>0</v>
      </c>
      <c r="AZ200" s="19">
        <f t="shared" si="185"/>
        <v>0</v>
      </c>
      <c r="BA200" s="16"/>
      <c r="BB200" s="17">
        <f>VLOOKUP(BA200,'DATABASE F&amp;B'!$C$3:$F$216,2,0)</f>
        <v>0</v>
      </c>
      <c r="BC200" s="18"/>
      <c r="BD200" s="19">
        <f>VLOOKUP(BA200,'DATABASE F&amp;B'!$C$3:$F$216,4,0)</f>
        <v>0</v>
      </c>
      <c r="BE200" s="19">
        <f t="shared" si="186"/>
        <v>0</v>
      </c>
      <c r="BF200" s="16"/>
      <c r="BG200" s="17">
        <f>VLOOKUP(BF200,'DATABASE F&amp;B'!$C$3:$F$216,2,0)</f>
        <v>0</v>
      </c>
      <c r="BH200" s="18"/>
      <c r="BI200" s="19">
        <f>VLOOKUP(BF200,'DATABASE F&amp;B'!$C$3:$F$216,4,0)</f>
        <v>0</v>
      </c>
      <c r="BJ200" s="19">
        <f t="shared" si="187"/>
        <v>0</v>
      </c>
      <c r="BK200" s="16"/>
      <c r="BL200" s="17">
        <f>VLOOKUP(BK200,'DATABASE F&amp;B'!$C$3:$F$210,2,0)</f>
        <v>0</v>
      </c>
      <c r="BM200" s="18"/>
      <c r="BN200" s="19">
        <f>VLOOKUP(BK200,'DATABASE F&amp;B'!$C$3:$F$210,4,0)</f>
        <v>0</v>
      </c>
      <c r="BO200" s="19">
        <f t="shared" si="188"/>
        <v>0</v>
      </c>
      <c r="BP200" s="16"/>
      <c r="BQ200" s="17">
        <f>VLOOKUP(BP200,'DATABASE F&amp;B'!$C$3:$F$210,2,0)</f>
        <v>0</v>
      </c>
      <c r="BR200" s="18"/>
      <c r="BS200" s="19">
        <f>VLOOKUP(BP200,'DATABASE F&amp;B'!$C$3:$F$210,4,0)</f>
        <v>0</v>
      </c>
      <c r="BT200" s="19">
        <f t="shared" si="189"/>
        <v>0</v>
      </c>
      <c r="BU200" s="16"/>
      <c r="BV200" s="17">
        <f>VLOOKUP(BU200,'DATABASE F&amp;B'!$C$3:$F$210,2,0)</f>
        <v>0</v>
      </c>
      <c r="BW200" s="18"/>
      <c r="BX200" s="19">
        <f>VLOOKUP(BU200,'DATABASE F&amp;B'!$C$3:$F$210,4,0)</f>
        <v>0</v>
      </c>
      <c r="BY200" s="19">
        <f t="shared" si="190"/>
        <v>0</v>
      </c>
      <c r="BZ200" s="16"/>
      <c r="CA200" s="17">
        <f>VLOOKUP(BZ200,'DATABASE F&amp;B'!$C$3:$F$210,2,0)</f>
        <v>0</v>
      </c>
      <c r="CB200" s="18"/>
      <c r="CC200" s="19">
        <f>VLOOKUP(BZ200,'DATABASE F&amp;B'!$C$3:$F$210,4,0)</f>
        <v>0</v>
      </c>
      <c r="CD200" s="19">
        <f t="shared" si="191"/>
        <v>0</v>
      </c>
    </row>
    <row r="201" spans="1:82" ht="13.5" x14ac:dyDescent="0.25">
      <c r="A201" s="32" t="str">
        <f t="shared" si="172"/>
        <v>--20</v>
      </c>
      <c r="B201" s="22">
        <f t="shared" si="196"/>
        <v>197</v>
      </c>
      <c r="C201" s="22">
        <f t="shared" si="196"/>
        <v>197</v>
      </c>
      <c r="D201" s="34"/>
      <c r="E201" s="35"/>
      <c r="F201" s="35"/>
      <c r="G201" s="52"/>
      <c r="H201" s="36" t="str">
        <f t="shared" si="195"/>
        <v>RJ--197</v>
      </c>
      <c r="I201" s="36" t="str">
        <f t="shared" si="173"/>
        <v>--20</v>
      </c>
      <c r="J201" s="37" t="e">
        <f>VLOOKUP(D201,Laporan!$C$4:$D$34,2,0)</f>
        <v>#N/A</v>
      </c>
      <c r="K201" s="48"/>
      <c r="L201" s="13"/>
      <c r="M201" s="19">
        <f>SUMIF('DATABASE Room'!$B$3:$B$7,L201,'DATABASE Room'!$D$3:$D$7)</f>
        <v>0</v>
      </c>
      <c r="N201" s="13"/>
      <c r="O201" s="21">
        <f t="shared" si="174"/>
        <v>0</v>
      </c>
      <c r="P201" s="38"/>
      <c r="Q201" s="19">
        <f t="shared" si="175"/>
        <v>0</v>
      </c>
      <c r="R201" s="21">
        <f t="shared" si="176"/>
        <v>0</v>
      </c>
      <c r="S201" s="19">
        <f t="shared" si="177"/>
        <v>3</v>
      </c>
      <c r="T201" s="19">
        <f t="shared" si="178"/>
        <v>0</v>
      </c>
      <c r="U201" s="21">
        <f t="shared" si="179"/>
        <v>0</v>
      </c>
      <c r="V201" s="39"/>
      <c r="W201" s="16"/>
      <c r="X201" s="17">
        <f>VLOOKUP(W201,'DATABASE F&amp;B'!$C$3:$F$216,2,0)</f>
        <v>0</v>
      </c>
      <c r="Y201" s="18"/>
      <c r="Z201" s="19">
        <f>VLOOKUP(W201,'DATABASE F&amp;B'!$C$3:$F$216,4,0)</f>
        <v>0</v>
      </c>
      <c r="AA201" s="19">
        <f t="shared" si="180"/>
        <v>0</v>
      </c>
      <c r="AB201" s="16"/>
      <c r="AC201" s="17">
        <f>VLOOKUP(AB201,'DATABASE F&amp;B'!$C$3:$F$216,2,0)</f>
        <v>0</v>
      </c>
      <c r="AD201" s="18"/>
      <c r="AE201" s="19">
        <f>VLOOKUP(AB201,'DATABASE F&amp;B'!$C$3:$F$216,4,0)</f>
        <v>0</v>
      </c>
      <c r="AF201" s="19">
        <f t="shared" si="181"/>
        <v>0</v>
      </c>
      <c r="AG201" s="16"/>
      <c r="AH201" s="17">
        <f>VLOOKUP(AG201,'DATABASE F&amp;B'!$C$3:$F$216,2,0)</f>
        <v>0</v>
      </c>
      <c r="AI201" s="18">
        <v>1</v>
      </c>
      <c r="AJ201" s="19">
        <f>VLOOKUP(AG201,'DATABASE F&amp;B'!$C$3:$F$216,4,0)</f>
        <v>0</v>
      </c>
      <c r="AK201" s="19">
        <f t="shared" si="182"/>
        <v>0</v>
      </c>
      <c r="AL201" s="16"/>
      <c r="AM201" s="17">
        <f>VLOOKUP(AL201,'DATABASE F&amp;B'!$C$3:$F$216,2,0)</f>
        <v>0</v>
      </c>
      <c r="AN201" s="18">
        <v>1</v>
      </c>
      <c r="AO201" s="19">
        <f>VLOOKUP(AL201,'DATABASE F&amp;B'!$C$3:$F$216,4,0)</f>
        <v>0</v>
      </c>
      <c r="AP201" s="19">
        <f t="shared" si="183"/>
        <v>0</v>
      </c>
      <c r="AQ201" s="16"/>
      <c r="AR201" s="17">
        <f>VLOOKUP(AQ201,'DATABASE F&amp;B'!$C$3:$F$216,2,0)</f>
        <v>0</v>
      </c>
      <c r="AS201" s="18">
        <v>1</v>
      </c>
      <c r="AT201" s="19">
        <f>VLOOKUP(AQ201,'DATABASE F&amp;B'!$C$3:$F$216,4,0)</f>
        <v>0</v>
      </c>
      <c r="AU201" s="19">
        <f t="shared" si="184"/>
        <v>0</v>
      </c>
      <c r="AV201" s="16"/>
      <c r="AW201" s="17">
        <f>VLOOKUP(AV201,'DATABASE F&amp;B'!$C$3:$F$216,2,0)</f>
        <v>0</v>
      </c>
      <c r="AX201" s="18"/>
      <c r="AY201" s="19">
        <f>VLOOKUP(AV201,'DATABASE F&amp;B'!$C$3:$F$216,4,0)</f>
        <v>0</v>
      </c>
      <c r="AZ201" s="19">
        <f t="shared" si="185"/>
        <v>0</v>
      </c>
      <c r="BA201" s="16"/>
      <c r="BB201" s="17">
        <f>VLOOKUP(BA201,'DATABASE F&amp;B'!$C$3:$F$216,2,0)</f>
        <v>0</v>
      </c>
      <c r="BC201" s="18"/>
      <c r="BD201" s="19">
        <f>VLOOKUP(BA201,'DATABASE F&amp;B'!$C$3:$F$216,4,0)</f>
        <v>0</v>
      </c>
      <c r="BE201" s="19">
        <f t="shared" si="186"/>
        <v>0</v>
      </c>
      <c r="BF201" s="16"/>
      <c r="BG201" s="17">
        <f>VLOOKUP(BF201,'DATABASE F&amp;B'!$C$3:$F$216,2,0)</f>
        <v>0</v>
      </c>
      <c r="BH201" s="18"/>
      <c r="BI201" s="19">
        <f>VLOOKUP(BF201,'DATABASE F&amp;B'!$C$3:$F$216,4,0)</f>
        <v>0</v>
      </c>
      <c r="BJ201" s="19">
        <f t="shared" si="187"/>
        <v>0</v>
      </c>
      <c r="BK201" s="16"/>
      <c r="BL201" s="17">
        <f>VLOOKUP(BK201,'DATABASE F&amp;B'!$C$3:$F$210,2,0)</f>
        <v>0</v>
      </c>
      <c r="BM201" s="18"/>
      <c r="BN201" s="19">
        <f>VLOOKUP(BK201,'DATABASE F&amp;B'!$C$3:$F$210,4,0)</f>
        <v>0</v>
      </c>
      <c r="BO201" s="19">
        <f t="shared" si="188"/>
        <v>0</v>
      </c>
      <c r="BP201" s="16"/>
      <c r="BQ201" s="17">
        <f>VLOOKUP(BP201,'DATABASE F&amp;B'!$C$3:$F$210,2,0)</f>
        <v>0</v>
      </c>
      <c r="BR201" s="18"/>
      <c r="BS201" s="19">
        <f>VLOOKUP(BP201,'DATABASE F&amp;B'!$C$3:$F$210,4,0)</f>
        <v>0</v>
      </c>
      <c r="BT201" s="19">
        <f t="shared" si="189"/>
        <v>0</v>
      </c>
      <c r="BU201" s="16"/>
      <c r="BV201" s="17">
        <f>VLOOKUP(BU201,'DATABASE F&amp;B'!$C$3:$F$210,2,0)</f>
        <v>0</v>
      </c>
      <c r="BW201" s="18"/>
      <c r="BX201" s="19">
        <f>VLOOKUP(BU201,'DATABASE F&amp;B'!$C$3:$F$210,4,0)</f>
        <v>0</v>
      </c>
      <c r="BY201" s="19">
        <f t="shared" si="190"/>
        <v>0</v>
      </c>
      <c r="BZ201" s="16"/>
      <c r="CA201" s="17">
        <f>VLOOKUP(BZ201,'DATABASE F&amp;B'!$C$3:$F$210,2,0)</f>
        <v>0</v>
      </c>
      <c r="CB201" s="18"/>
      <c r="CC201" s="19">
        <f>VLOOKUP(BZ201,'DATABASE F&amp;B'!$C$3:$F$210,4,0)</f>
        <v>0</v>
      </c>
      <c r="CD201" s="19">
        <f t="shared" si="191"/>
        <v>0</v>
      </c>
    </row>
    <row r="202" spans="1:82" ht="13.5" x14ac:dyDescent="0.25">
      <c r="A202" s="32" t="str">
        <f t="shared" si="172"/>
        <v>--20</v>
      </c>
      <c r="B202" s="22">
        <f t="shared" si="196"/>
        <v>198</v>
      </c>
      <c r="C202" s="22">
        <f t="shared" si="196"/>
        <v>198</v>
      </c>
      <c r="D202" s="34"/>
      <c r="E202" s="35"/>
      <c r="F202" s="35"/>
      <c r="G202" s="52"/>
      <c r="H202" s="36" t="str">
        <f t="shared" si="195"/>
        <v>RJ--198</v>
      </c>
      <c r="I202" s="36" t="str">
        <f t="shared" si="173"/>
        <v>--20</v>
      </c>
      <c r="J202" s="37" t="e">
        <f>VLOOKUP(D202,Laporan!$C$4:$D$34,2,0)</f>
        <v>#N/A</v>
      </c>
      <c r="K202" s="48"/>
      <c r="L202" s="13"/>
      <c r="M202" s="19">
        <f>SUMIF('DATABASE Room'!$B$3:$B$7,L202,'DATABASE Room'!$D$3:$D$7)</f>
        <v>0</v>
      </c>
      <c r="N202" s="13"/>
      <c r="O202" s="21">
        <f t="shared" si="174"/>
        <v>0</v>
      </c>
      <c r="P202" s="38"/>
      <c r="Q202" s="19">
        <f t="shared" si="175"/>
        <v>0</v>
      </c>
      <c r="R202" s="21">
        <f t="shared" si="176"/>
        <v>0</v>
      </c>
      <c r="S202" s="19">
        <f t="shared" si="177"/>
        <v>3</v>
      </c>
      <c r="T202" s="19">
        <f t="shared" si="178"/>
        <v>0</v>
      </c>
      <c r="U202" s="21">
        <f t="shared" si="179"/>
        <v>0</v>
      </c>
      <c r="V202" s="39"/>
      <c r="W202" s="16"/>
      <c r="X202" s="17">
        <f>VLOOKUP(W202,'DATABASE F&amp;B'!$C$3:$F$216,2,0)</f>
        <v>0</v>
      </c>
      <c r="Y202" s="18"/>
      <c r="Z202" s="19">
        <f>VLOOKUP(W202,'DATABASE F&amp;B'!$C$3:$F$216,4,0)</f>
        <v>0</v>
      </c>
      <c r="AA202" s="19">
        <f t="shared" si="180"/>
        <v>0</v>
      </c>
      <c r="AB202" s="16"/>
      <c r="AC202" s="17">
        <f>VLOOKUP(AB202,'DATABASE F&amp;B'!$C$3:$F$216,2,0)</f>
        <v>0</v>
      </c>
      <c r="AD202" s="18"/>
      <c r="AE202" s="19">
        <f>VLOOKUP(AB202,'DATABASE F&amp;B'!$C$3:$F$216,4,0)</f>
        <v>0</v>
      </c>
      <c r="AF202" s="19">
        <f t="shared" si="181"/>
        <v>0</v>
      </c>
      <c r="AG202" s="16"/>
      <c r="AH202" s="17">
        <f>VLOOKUP(AG202,'DATABASE F&amp;B'!$C$3:$F$216,2,0)</f>
        <v>0</v>
      </c>
      <c r="AI202" s="18">
        <v>1</v>
      </c>
      <c r="AJ202" s="19">
        <f>VLOOKUP(AG202,'DATABASE F&amp;B'!$C$3:$F$216,4,0)</f>
        <v>0</v>
      </c>
      <c r="AK202" s="19">
        <f t="shared" si="182"/>
        <v>0</v>
      </c>
      <c r="AL202" s="16"/>
      <c r="AM202" s="17">
        <f>VLOOKUP(AL202,'DATABASE F&amp;B'!$C$3:$F$216,2,0)</f>
        <v>0</v>
      </c>
      <c r="AN202" s="18">
        <v>1</v>
      </c>
      <c r="AO202" s="19">
        <f>VLOOKUP(AL202,'DATABASE F&amp;B'!$C$3:$F$216,4,0)</f>
        <v>0</v>
      </c>
      <c r="AP202" s="19">
        <f t="shared" si="183"/>
        <v>0</v>
      </c>
      <c r="AQ202" s="16"/>
      <c r="AR202" s="17">
        <f>VLOOKUP(AQ202,'DATABASE F&amp;B'!$C$3:$F$216,2,0)</f>
        <v>0</v>
      </c>
      <c r="AS202" s="18">
        <v>1</v>
      </c>
      <c r="AT202" s="19">
        <f>VLOOKUP(AQ202,'DATABASE F&amp;B'!$C$3:$F$216,4,0)</f>
        <v>0</v>
      </c>
      <c r="AU202" s="19">
        <f t="shared" si="184"/>
        <v>0</v>
      </c>
      <c r="AV202" s="16"/>
      <c r="AW202" s="17">
        <f>VLOOKUP(AV202,'DATABASE F&amp;B'!$C$3:$F$216,2,0)</f>
        <v>0</v>
      </c>
      <c r="AX202" s="18"/>
      <c r="AY202" s="19">
        <f>VLOOKUP(AV202,'DATABASE F&amp;B'!$C$3:$F$216,4,0)</f>
        <v>0</v>
      </c>
      <c r="AZ202" s="19">
        <f t="shared" si="185"/>
        <v>0</v>
      </c>
      <c r="BA202" s="16"/>
      <c r="BB202" s="17">
        <f>VLOOKUP(BA202,'DATABASE F&amp;B'!$C$3:$F$216,2,0)</f>
        <v>0</v>
      </c>
      <c r="BC202" s="18"/>
      <c r="BD202" s="19">
        <f>VLOOKUP(BA202,'DATABASE F&amp;B'!$C$3:$F$216,4,0)</f>
        <v>0</v>
      </c>
      <c r="BE202" s="19">
        <f t="shared" si="186"/>
        <v>0</v>
      </c>
      <c r="BF202" s="16"/>
      <c r="BG202" s="17">
        <f>VLOOKUP(BF202,'DATABASE F&amp;B'!$C$3:$F$216,2,0)</f>
        <v>0</v>
      </c>
      <c r="BH202" s="18"/>
      <c r="BI202" s="19">
        <f>VLOOKUP(BF202,'DATABASE F&amp;B'!$C$3:$F$216,4,0)</f>
        <v>0</v>
      </c>
      <c r="BJ202" s="19">
        <f t="shared" si="187"/>
        <v>0</v>
      </c>
      <c r="BK202" s="16"/>
      <c r="BL202" s="17">
        <f>VLOOKUP(BK202,'DATABASE F&amp;B'!$C$3:$F$210,2,0)</f>
        <v>0</v>
      </c>
      <c r="BM202" s="18"/>
      <c r="BN202" s="19">
        <f>VLOOKUP(BK202,'DATABASE F&amp;B'!$C$3:$F$210,4,0)</f>
        <v>0</v>
      </c>
      <c r="BO202" s="19">
        <f t="shared" si="188"/>
        <v>0</v>
      </c>
      <c r="BP202" s="16"/>
      <c r="BQ202" s="17">
        <f>VLOOKUP(BP202,'DATABASE F&amp;B'!$C$3:$F$210,2,0)</f>
        <v>0</v>
      </c>
      <c r="BR202" s="18"/>
      <c r="BS202" s="19">
        <f>VLOOKUP(BP202,'DATABASE F&amp;B'!$C$3:$F$210,4,0)</f>
        <v>0</v>
      </c>
      <c r="BT202" s="19">
        <f t="shared" si="189"/>
        <v>0</v>
      </c>
      <c r="BU202" s="16"/>
      <c r="BV202" s="17">
        <f>VLOOKUP(BU202,'DATABASE F&amp;B'!$C$3:$F$210,2,0)</f>
        <v>0</v>
      </c>
      <c r="BW202" s="18"/>
      <c r="BX202" s="19">
        <f>VLOOKUP(BU202,'DATABASE F&amp;B'!$C$3:$F$210,4,0)</f>
        <v>0</v>
      </c>
      <c r="BY202" s="19">
        <f t="shared" si="190"/>
        <v>0</v>
      </c>
      <c r="BZ202" s="16"/>
      <c r="CA202" s="17">
        <f>VLOOKUP(BZ202,'DATABASE F&amp;B'!$C$3:$F$210,2,0)</f>
        <v>0</v>
      </c>
      <c r="CB202" s="18"/>
      <c r="CC202" s="19">
        <f>VLOOKUP(BZ202,'DATABASE F&amp;B'!$C$3:$F$210,4,0)</f>
        <v>0</v>
      </c>
      <c r="CD202" s="19">
        <f t="shared" si="191"/>
        <v>0</v>
      </c>
    </row>
    <row r="203" spans="1:82" ht="13.5" x14ac:dyDescent="0.25">
      <c r="A203" s="32" t="str">
        <f t="shared" si="172"/>
        <v>--20</v>
      </c>
      <c r="B203" s="22">
        <f t="shared" si="196"/>
        <v>199</v>
      </c>
      <c r="C203" s="22">
        <f t="shared" si="196"/>
        <v>199</v>
      </c>
      <c r="D203" s="34"/>
      <c r="E203" s="35"/>
      <c r="F203" s="35"/>
      <c r="G203" s="52"/>
      <c r="H203" s="36" t="str">
        <f t="shared" si="195"/>
        <v>RJ--199</v>
      </c>
      <c r="I203" s="36" t="str">
        <f t="shared" si="173"/>
        <v>--20</v>
      </c>
      <c r="J203" s="37" t="e">
        <f>VLOOKUP(D203,Laporan!$C$4:$D$34,2,0)</f>
        <v>#N/A</v>
      </c>
      <c r="K203" s="48"/>
      <c r="L203" s="13"/>
      <c r="M203" s="19">
        <f>SUMIF('DATABASE Room'!$B$3:$B$7,L203,'DATABASE Room'!$D$3:$D$7)</f>
        <v>0</v>
      </c>
      <c r="N203" s="13"/>
      <c r="O203" s="21">
        <f t="shared" si="174"/>
        <v>0</v>
      </c>
      <c r="P203" s="38"/>
      <c r="Q203" s="19">
        <f t="shared" si="175"/>
        <v>0</v>
      </c>
      <c r="R203" s="21">
        <f t="shared" si="176"/>
        <v>0</v>
      </c>
      <c r="S203" s="19">
        <f t="shared" si="177"/>
        <v>3</v>
      </c>
      <c r="T203" s="19">
        <f t="shared" si="178"/>
        <v>0</v>
      </c>
      <c r="U203" s="21">
        <f t="shared" si="179"/>
        <v>0</v>
      </c>
      <c r="V203" s="39"/>
      <c r="W203" s="16"/>
      <c r="X203" s="17">
        <f>VLOOKUP(W203,'DATABASE F&amp;B'!$C$3:$F$216,2,0)</f>
        <v>0</v>
      </c>
      <c r="Y203" s="18"/>
      <c r="Z203" s="19">
        <f>VLOOKUP(W203,'DATABASE F&amp;B'!$C$3:$F$216,4,0)</f>
        <v>0</v>
      </c>
      <c r="AA203" s="19">
        <f t="shared" si="180"/>
        <v>0</v>
      </c>
      <c r="AB203" s="16"/>
      <c r="AC203" s="17">
        <f>VLOOKUP(AB203,'DATABASE F&amp;B'!$C$3:$F$216,2,0)</f>
        <v>0</v>
      </c>
      <c r="AD203" s="18"/>
      <c r="AE203" s="19">
        <f>VLOOKUP(AB203,'DATABASE F&amp;B'!$C$3:$F$216,4,0)</f>
        <v>0</v>
      </c>
      <c r="AF203" s="19">
        <f t="shared" si="181"/>
        <v>0</v>
      </c>
      <c r="AG203" s="16"/>
      <c r="AH203" s="17">
        <f>VLOOKUP(AG203,'DATABASE F&amp;B'!$C$3:$F$216,2,0)</f>
        <v>0</v>
      </c>
      <c r="AI203" s="18">
        <v>1</v>
      </c>
      <c r="AJ203" s="19">
        <f>VLOOKUP(AG203,'DATABASE F&amp;B'!$C$3:$F$216,4,0)</f>
        <v>0</v>
      </c>
      <c r="AK203" s="19">
        <f t="shared" si="182"/>
        <v>0</v>
      </c>
      <c r="AL203" s="16"/>
      <c r="AM203" s="17">
        <f>VLOOKUP(AL203,'DATABASE F&amp;B'!$C$3:$F$216,2,0)</f>
        <v>0</v>
      </c>
      <c r="AN203" s="18">
        <v>1</v>
      </c>
      <c r="AO203" s="19">
        <f>VLOOKUP(AL203,'DATABASE F&amp;B'!$C$3:$F$216,4,0)</f>
        <v>0</v>
      </c>
      <c r="AP203" s="19">
        <f t="shared" si="183"/>
        <v>0</v>
      </c>
      <c r="AQ203" s="16"/>
      <c r="AR203" s="17">
        <f>VLOOKUP(AQ203,'DATABASE F&amp;B'!$C$3:$F$216,2,0)</f>
        <v>0</v>
      </c>
      <c r="AS203" s="18">
        <v>1</v>
      </c>
      <c r="AT203" s="19">
        <f>VLOOKUP(AQ203,'DATABASE F&amp;B'!$C$3:$F$216,4,0)</f>
        <v>0</v>
      </c>
      <c r="AU203" s="19">
        <f t="shared" si="184"/>
        <v>0</v>
      </c>
      <c r="AV203" s="16"/>
      <c r="AW203" s="17">
        <f>VLOOKUP(AV203,'DATABASE F&amp;B'!$C$3:$F$216,2,0)</f>
        <v>0</v>
      </c>
      <c r="AX203" s="18"/>
      <c r="AY203" s="19">
        <f>VLOOKUP(AV203,'DATABASE F&amp;B'!$C$3:$F$216,4,0)</f>
        <v>0</v>
      </c>
      <c r="AZ203" s="19">
        <f t="shared" si="185"/>
        <v>0</v>
      </c>
      <c r="BA203" s="16"/>
      <c r="BB203" s="17">
        <f>VLOOKUP(BA203,'DATABASE F&amp;B'!$C$3:$F$216,2,0)</f>
        <v>0</v>
      </c>
      <c r="BC203" s="18"/>
      <c r="BD203" s="19">
        <f>VLOOKUP(BA203,'DATABASE F&amp;B'!$C$3:$F$216,4,0)</f>
        <v>0</v>
      </c>
      <c r="BE203" s="19">
        <f t="shared" si="186"/>
        <v>0</v>
      </c>
      <c r="BF203" s="16"/>
      <c r="BG203" s="17">
        <f>VLOOKUP(BF203,'DATABASE F&amp;B'!$C$3:$F$216,2,0)</f>
        <v>0</v>
      </c>
      <c r="BH203" s="18"/>
      <c r="BI203" s="19">
        <f>VLOOKUP(BF203,'DATABASE F&amp;B'!$C$3:$F$216,4,0)</f>
        <v>0</v>
      </c>
      <c r="BJ203" s="19">
        <f t="shared" si="187"/>
        <v>0</v>
      </c>
      <c r="BK203" s="16"/>
      <c r="BL203" s="17">
        <f>VLOOKUP(BK203,'DATABASE F&amp;B'!$C$3:$F$210,2,0)</f>
        <v>0</v>
      </c>
      <c r="BM203" s="18"/>
      <c r="BN203" s="19">
        <f>VLOOKUP(BK203,'DATABASE F&amp;B'!$C$3:$F$210,4,0)</f>
        <v>0</v>
      </c>
      <c r="BO203" s="19">
        <f t="shared" si="188"/>
        <v>0</v>
      </c>
      <c r="BP203" s="16"/>
      <c r="BQ203" s="17">
        <f>VLOOKUP(BP203,'DATABASE F&amp;B'!$C$3:$F$210,2,0)</f>
        <v>0</v>
      </c>
      <c r="BR203" s="18"/>
      <c r="BS203" s="19">
        <f>VLOOKUP(BP203,'DATABASE F&amp;B'!$C$3:$F$210,4,0)</f>
        <v>0</v>
      </c>
      <c r="BT203" s="19">
        <f t="shared" si="189"/>
        <v>0</v>
      </c>
      <c r="BU203" s="16"/>
      <c r="BV203" s="17">
        <f>VLOOKUP(BU203,'DATABASE F&amp;B'!$C$3:$F$210,2,0)</f>
        <v>0</v>
      </c>
      <c r="BW203" s="18"/>
      <c r="BX203" s="19">
        <f>VLOOKUP(BU203,'DATABASE F&amp;B'!$C$3:$F$210,4,0)</f>
        <v>0</v>
      </c>
      <c r="BY203" s="19">
        <f t="shared" si="190"/>
        <v>0</v>
      </c>
      <c r="BZ203" s="16"/>
      <c r="CA203" s="17">
        <f>VLOOKUP(BZ203,'DATABASE F&amp;B'!$C$3:$F$210,2,0)</f>
        <v>0</v>
      </c>
      <c r="CB203" s="18"/>
      <c r="CC203" s="19">
        <f>VLOOKUP(BZ203,'DATABASE F&amp;B'!$C$3:$F$210,4,0)</f>
        <v>0</v>
      </c>
      <c r="CD203" s="19">
        <f t="shared" si="191"/>
        <v>0</v>
      </c>
    </row>
    <row r="204" spans="1:82" ht="13.5" x14ac:dyDescent="0.25">
      <c r="A204" s="32" t="str">
        <f t="shared" si="172"/>
        <v>--20</v>
      </c>
      <c r="B204" s="22">
        <f t="shared" si="196"/>
        <v>200</v>
      </c>
      <c r="C204" s="22">
        <f t="shared" si="196"/>
        <v>200</v>
      </c>
      <c r="D204" s="34"/>
      <c r="E204" s="35"/>
      <c r="F204" s="35"/>
      <c r="G204" s="52"/>
      <c r="H204" s="36" t="str">
        <f t="shared" si="195"/>
        <v>RJ--200</v>
      </c>
      <c r="I204" s="36" t="str">
        <f t="shared" si="173"/>
        <v>--20</v>
      </c>
      <c r="J204" s="37" t="e">
        <f>VLOOKUP(D204,Laporan!$C$4:$D$34,2,0)</f>
        <v>#N/A</v>
      </c>
      <c r="K204" s="48"/>
      <c r="L204" s="13"/>
      <c r="M204" s="19">
        <f>SUMIF('DATABASE Room'!$B$3:$B$7,L204,'DATABASE Room'!$D$3:$D$7)</f>
        <v>0</v>
      </c>
      <c r="N204" s="13"/>
      <c r="O204" s="21">
        <f t="shared" si="174"/>
        <v>0</v>
      </c>
      <c r="P204" s="38"/>
      <c r="Q204" s="19">
        <f t="shared" si="175"/>
        <v>0</v>
      </c>
      <c r="R204" s="21">
        <f t="shared" si="176"/>
        <v>0</v>
      </c>
      <c r="S204" s="19">
        <f t="shared" si="177"/>
        <v>3</v>
      </c>
      <c r="T204" s="19">
        <f t="shared" si="178"/>
        <v>0</v>
      </c>
      <c r="U204" s="21">
        <f t="shared" si="179"/>
        <v>0</v>
      </c>
      <c r="V204" s="39"/>
      <c r="W204" s="16"/>
      <c r="X204" s="17">
        <f>VLOOKUP(W204,'DATABASE F&amp;B'!$C$3:$F$216,2,0)</f>
        <v>0</v>
      </c>
      <c r="Y204" s="18"/>
      <c r="Z204" s="19">
        <f>VLOOKUP(W204,'DATABASE F&amp;B'!$C$3:$F$216,4,0)</f>
        <v>0</v>
      </c>
      <c r="AA204" s="19">
        <f t="shared" si="180"/>
        <v>0</v>
      </c>
      <c r="AB204" s="16"/>
      <c r="AC204" s="17">
        <f>VLOOKUP(AB204,'DATABASE F&amp;B'!$C$3:$F$216,2,0)</f>
        <v>0</v>
      </c>
      <c r="AD204" s="18"/>
      <c r="AE204" s="19">
        <f>VLOOKUP(AB204,'DATABASE F&amp;B'!$C$3:$F$216,4,0)</f>
        <v>0</v>
      </c>
      <c r="AF204" s="19">
        <f t="shared" si="181"/>
        <v>0</v>
      </c>
      <c r="AG204" s="16"/>
      <c r="AH204" s="17">
        <f>VLOOKUP(AG204,'DATABASE F&amp;B'!$C$3:$F$216,2,0)</f>
        <v>0</v>
      </c>
      <c r="AI204" s="18">
        <v>1</v>
      </c>
      <c r="AJ204" s="19">
        <f>VLOOKUP(AG204,'DATABASE F&amp;B'!$C$3:$F$216,4,0)</f>
        <v>0</v>
      </c>
      <c r="AK204" s="19">
        <f t="shared" si="182"/>
        <v>0</v>
      </c>
      <c r="AL204" s="16"/>
      <c r="AM204" s="17">
        <f>VLOOKUP(AL204,'DATABASE F&amp;B'!$C$3:$F$216,2,0)</f>
        <v>0</v>
      </c>
      <c r="AN204" s="18">
        <v>1</v>
      </c>
      <c r="AO204" s="19">
        <f>VLOOKUP(AL204,'DATABASE F&amp;B'!$C$3:$F$216,4,0)</f>
        <v>0</v>
      </c>
      <c r="AP204" s="19">
        <f t="shared" si="183"/>
        <v>0</v>
      </c>
      <c r="AQ204" s="16"/>
      <c r="AR204" s="17">
        <f>VLOOKUP(AQ204,'DATABASE F&amp;B'!$C$3:$F$216,2,0)</f>
        <v>0</v>
      </c>
      <c r="AS204" s="18">
        <v>1</v>
      </c>
      <c r="AT204" s="19">
        <f>VLOOKUP(AQ204,'DATABASE F&amp;B'!$C$3:$F$216,4,0)</f>
        <v>0</v>
      </c>
      <c r="AU204" s="19">
        <f t="shared" si="184"/>
        <v>0</v>
      </c>
      <c r="AV204" s="16"/>
      <c r="AW204" s="17">
        <f>VLOOKUP(AV204,'DATABASE F&amp;B'!$C$3:$F$216,2,0)</f>
        <v>0</v>
      </c>
      <c r="AX204" s="18"/>
      <c r="AY204" s="19">
        <f>VLOOKUP(AV204,'DATABASE F&amp;B'!$C$3:$F$216,4,0)</f>
        <v>0</v>
      </c>
      <c r="AZ204" s="19">
        <f t="shared" si="185"/>
        <v>0</v>
      </c>
      <c r="BA204" s="16"/>
      <c r="BB204" s="17">
        <f>VLOOKUP(BA204,'DATABASE F&amp;B'!$C$3:$F$216,2,0)</f>
        <v>0</v>
      </c>
      <c r="BC204" s="18"/>
      <c r="BD204" s="19">
        <f>VLOOKUP(BA204,'DATABASE F&amp;B'!$C$3:$F$216,4,0)</f>
        <v>0</v>
      </c>
      <c r="BE204" s="19">
        <f t="shared" si="186"/>
        <v>0</v>
      </c>
      <c r="BF204" s="16"/>
      <c r="BG204" s="17">
        <f>VLOOKUP(BF204,'DATABASE F&amp;B'!$C$3:$F$216,2,0)</f>
        <v>0</v>
      </c>
      <c r="BH204" s="18"/>
      <c r="BI204" s="19">
        <f>VLOOKUP(BF204,'DATABASE F&amp;B'!$C$3:$F$216,4,0)</f>
        <v>0</v>
      </c>
      <c r="BJ204" s="19">
        <f t="shared" si="187"/>
        <v>0</v>
      </c>
      <c r="BK204" s="16"/>
      <c r="BL204" s="17">
        <f>VLOOKUP(BK204,'DATABASE F&amp;B'!$C$3:$F$210,2,0)</f>
        <v>0</v>
      </c>
      <c r="BM204" s="18"/>
      <c r="BN204" s="19">
        <f>VLOOKUP(BK204,'DATABASE F&amp;B'!$C$3:$F$210,4,0)</f>
        <v>0</v>
      </c>
      <c r="BO204" s="19">
        <f t="shared" si="188"/>
        <v>0</v>
      </c>
      <c r="BP204" s="16"/>
      <c r="BQ204" s="17">
        <f>VLOOKUP(BP204,'DATABASE F&amp;B'!$C$3:$F$210,2,0)</f>
        <v>0</v>
      </c>
      <c r="BR204" s="18"/>
      <c r="BS204" s="19">
        <f>VLOOKUP(BP204,'DATABASE F&amp;B'!$C$3:$F$210,4,0)</f>
        <v>0</v>
      </c>
      <c r="BT204" s="19">
        <f t="shared" si="189"/>
        <v>0</v>
      </c>
      <c r="BU204" s="16"/>
      <c r="BV204" s="17">
        <f>VLOOKUP(BU204,'DATABASE F&amp;B'!$C$3:$F$210,2,0)</f>
        <v>0</v>
      </c>
      <c r="BW204" s="18"/>
      <c r="BX204" s="19">
        <f>VLOOKUP(BU204,'DATABASE F&amp;B'!$C$3:$F$210,4,0)</f>
        <v>0</v>
      </c>
      <c r="BY204" s="19">
        <f t="shared" si="190"/>
        <v>0</v>
      </c>
      <c r="BZ204" s="16"/>
      <c r="CA204" s="17">
        <f>VLOOKUP(BZ204,'DATABASE F&amp;B'!$C$3:$F$210,2,0)</f>
        <v>0</v>
      </c>
      <c r="CB204" s="18"/>
      <c r="CC204" s="19">
        <f>VLOOKUP(BZ204,'DATABASE F&amp;B'!$C$3:$F$210,4,0)</f>
        <v>0</v>
      </c>
      <c r="CD204" s="19">
        <f t="shared" si="191"/>
        <v>0</v>
      </c>
    </row>
    <row r="205" spans="1:82" ht="13.5" x14ac:dyDescent="0.25">
      <c r="A205" s="32" t="str">
        <f t="shared" si="172"/>
        <v>--20</v>
      </c>
      <c r="B205" s="22">
        <f t="shared" si="196"/>
        <v>201</v>
      </c>
      <c r="C205" s="22">
        <f t="shared" si="196"/>
        <v>201</v>
      </c>
      <c r="D205" s="34"/>
      <c r="E205" s="35"/>
      <c r="F205" s="35"/>
      <c r="G205" s="52"/>
      <c r="H205" s="36" t="str">
        <f t="shared" si="195"/>
        <v>RJ--201</v>
      </c>
      <c r="I205" s="36" t="str">
        <f t="shared" si="173"/>
        <v>--20</v>
      </c>
      <c r="J205" s="37" t="e">
        <f>VLOOKUP(D205,Laporan!$C$4:$D$34,2,0)</f>
        <v>#N/A</v>
      </c>
      <c r="K205" s="48"/>
      <c r="L205" s="13"/>
      <c r="M205" s="19">
        <f>SUMIF('DATABASE Room'!$B$3:$B$7,L205,'DATABASE Room'!$D$3:$D$7)</f>
        <v>0</v>
      </c>
      <c r="N205" s="13"/>
      <c r="O205" s="21">
        <f t="shared" si="174"/>
        <v>0</v>
      </c>
      <c r="P205" s="38"/>
      <c r="Q205" s="19">
        <f t="shared" si="175"/>
        <v>0</v>
      </c>
      <c r="R205" s="21">
        <f t="shared" si="176"/>
        <v>0</v>
      </c>
      <c r="S205" s="19">
        <f t="shared" si="177"/>
        <v>3</v>
      </c>
      <c r="T205" s="19">
        <f t="shared" si="178"/>
        <v>0</v>
      </c>
      <c r="U205" s="21">
        <f t="shared" si="179"/>
        <v>0</v>
      </c>
      <c r="V205" s="39"/>
      <c r="W205" s="16"/>
      <c r="X205" s="17">
        <f>VLOOKUP(W205,'DATABASE F&amp;B'!$C$3:$F$216,2,0)</f>
        <v>0</v>
      </c>
      <c r="Y205" s="18"/>
      <c r="Z205" s="19">
        <f>VLOOKUP(W205,'DATABASE F&amp;B'!$C$3:$F$216,4,0)</f>
        <v>0</v>
      </c>
      <c r="AA205" s="19">
        <f t="shared" si="180"/>
        <v>0</v>
      </c>
      <c r="AB205" s="16"/>
      <c r="AC205" s="17">
        <f>VLOOKUP(AB205,'DATABASE F&amp;B'!$C$3:$F$216,2,0)</f>
        <v>0</v>
      </c>
      <c r="AD205" s="18"/>
      <c r="AE205" s="19">
        <f>VLOOKUP(AB205,'DATABASE F&amp;B'!$C$3:$F$216,4,0)</f>
        <v>0</v>
      </c>
      <c r="AF205" s="19">
        <f t="shared" si="181"/>
        <v>0</v>
      </c>
      <c r="AG205" s="16"/>
      <c r="AH205" s="17">
        <f>VLOOKUP(AG205,'DATABASE F&amp;B'!$C$3:$F$216,2,0)</f>
        <v>0</v>
      </c>
      <c r="AI205" s="18">
        <v>1</v>
      </c>
      <c r="AJ205" s="19">
        <f>VLOOKUP(AG205,'DATABASE F&amp;B'!$C$3:$F$216,4,0)</f>
        <v>0</v>
      </c>
      <c r="AK205" s="19">
        <f t="shared" si="182"/>
        <v>0</v>
      </c>
      <c r="AL205" s="16"/>
      <c r="AM205" s="17">
        <f>VLOOKUP(AL205,'DATABASE F&amp;B'!$C$3:$F$216,2,0)</f>
        <v>0</v>
      </c>
      <c r="AN205" s="18">
        <v>1</v>
      </c>
      <c r="AO205" s="19">
        <f>VLOOKUP(AL205,'DATABASE F&amp;B'!$C$3:$F$216,4,0)</f>
        <v>0</v>
      </c>
      <c r="AP205" s="19">
        <f t="shared" si="183"/>
        <v>0</v>
      </c>
      <c r="AQ205" s="16"/>
      <c r="AR205" s="17">
        <f>VLOOKUP(AQ205,'DATABASE F&amp;B'!$C$3:$F$216,2,0)</f>
        <v>0</v>
      </c>
      <c r="AS205" s="18">
        <v>1</v>
      </c>
      <c r="AT205" s="19">
        <f>VLOOKUP(AQ205,'DATABASE F&amp;B'!$C$3:$F$216,4,0)</f>
        <v>0</v>
      </c>
      <c r="AU205" s="19">
        <f t="shared" si="184"/>
        <v>0</v>
      </c>
      <c r="AV205" s="16"/>
      <c r="AW205" s="17">
        <f>VLOOKUP(AV205,'DATABASE F&amp;B'!$C$3:$F$216,2,0)</f>
        <v>0</v>
      </c>
      <c r="AX205" s="18"/>
      <c r="AY205" s="19">
        <f>VLOOKUP(AV205,'DATABASE F&amp;B'!$C$3:$F$216,4,0)</f>
        <v>0</v>
      </c>
      <c r="AZ205" s="19">
        <f t="shared" si="185"/>
        <v>0</v>
      </c>
      <c r="BA205" s="16"/>
      <c r="BB205" s="17">
        <f>VLOOKUP(BA205,'DATABASE F&amp;B'!$C$3:$F$216,2,0)</f>
        <v>0</v>
      </c>
      <c r="BC205" s="18"/>
      <c r="BD205" s="19">
        <f>VLOOKUP(BA205,'DATABASE F&amp;B'!$C$3:$F$216,4,0)</f>
        <v>0</v>
      </c>
      <c r="BE205" s="19">
        <f t="shared" si="186"/>
        <v>0</v>
      </c>
      <c r="BF205" s="16"/>
      <c r="BG205" s="17">
        <f>VLOOKUP(BF205,'DATABASE F&amp;B'!$C$3:$F$216,2,0)</f>
        <v>0</v>
      </c>
      <c r="BH205" s="18"/>
      <c r="BI205" s="19">
        <f>VLOOKUP(BF205,'DATABASE F&amp;B'!$C$3:$F$216,4,0)</f>
        <v>0</v>
      </c>
      <c r="BJ205" s="19">
        <f t="shared" si="187"/>
        <v>0</v>
      </c>
      <c r="BK205" s="16"/>
      <c r="BL205" s="17">
        <f>VLOOKUP(BK205,'DATABASE F&amp;B'!$C$3:$F$210,2,0)</f>
        <v>0</v>
      </c>
      <c r="BM205" s="18"/>
      <c r="BN205" s="19">
        <f>VLOOKUP(BK205,'DATABASE F&amp;B'!$C$3:$F$210,4,0)</f>
        <v>0</v>
      </c>
      <c r="BO205" s="19">
        <f t="shared" si="188"/>
        <v>0</v>
      </c>
      <c r="BP205" s="16"/>
      <c r="BQ205" s="17">
        <f>VLOOKUP(BP205,'DATABASE F&amp;B'!$C$3:$F$210,2,0)</f>
        <v>0</v>
      </c>
      <c r="BR205" s="18"/>
      <c r="BS205" s="19">
        <f>VLOOKUP(BP205,'DATABASE F&amp;B'!$C$3:$F$210,4,0)</f>
        <v>0</v>
      </c>
      <c r="BT205" s="19">
        <f t="shared" si="189"/>
        <v>0</v>
      </c>
      <c r="BU205" s="16"/>
      <c r="BV205" s="17">
        <f>VLOOKUP(BU205,'DATABASE F&amp;B'!$C$3:$F$210,2,0)</f>
        <v>0</v>
      </c>
      <c r="BW205" s="18"/>
      <c r="BX205" s="19">
        <f>VLOOKUP(BU205,'DATABASE F&amp;B'!$C$3:$F$210,4,0)</f>
        <v>0</v>
      </c>
      <c r="BY205" s="19">
        <f t="shared" si="190"/>
        <v>0</v>
      </c>
      <c r="BZ205" s="16"/>
      <c r="CA205" s="17">
        <f>VLOOKUP(BZ205,'DATABASE F&amp;B'!$C$3:$F$210,2,0)</f>
        <v>0</v>
      </c>
      <c r="CB205" s="18"/>
      <c r="CC205" s="19">
        <f>VLOOKUP(BZ205,'DATABASE F&amp;B'!$C$3:$F$210,4,0)</f>
        <v>0</v>
      </c>
      <c r="CD205" s="19">
        <f t="shared" si="191"/>
        <v>0</v>
      </c>
    </row>
    <row r="206" spans="1:82" ht="13.5" x14ac:dyDescent="0.25">
      <c r="A206" s="32" t="str">
        <f t="shared" si="172"/>
        <v>--20</v>
      </c>
      <c r="B206" s="22">
        <f t="shared" si="196"/>
        <v>202</v>
      </c>
      <c r="C206" s="22">
        <f t="shared" si="196"/>
        <v>202</v>
      </c>
      <c r="D206" s="34"/>
      <c r="E206" s="35"/>
      <c r="F206" s="35"/>
      <c r="G206" s="52"/>
      <c r="H206" s="36" t="str">
        <f t="shared" si="195"/>
        <v>RJ--202</v>
      </c>
      <c r="I206" s="36" t="str">
        <f t="shared" si="173"/>
        <v>--20</v>
      </c>
      <c r="J206" s="37" t="e">
        <f>VLOOKUP(D206,Laporan!$C$4:$D$34,2,0)</f>
        <v>#N/A</v>
      </c>
      <c r="K206" s="48"/>
      <c r="L206" s="13"/>
      <c r="M206" s="19">
        <f>SUMIF('DATABASE Room'!$B$3:$B$7,L206,'DATABASE Room'!$D$3:$D$7)</f>
        <v>0</v>
      </c>
      <c r="N206" s="13"/>
      <c r="O206" s="21">
        <f t="shared" si="174"/>
        <v>0</v>
      </c>
      <c r="P206" s="38"/>
      <c r="Q206" s="19">
        <f t="shared" si="175"/>
        <v>0</v>
      </c>
      <c r="R206" s="21">
        <f t="shared" si="176"/>
        <v>0</v>
      </c>
      <c r="S206" s="19">
        <f t="shared" si="177"/>
        <v>3</v>
      </c>
      <c r="T206" s="19">
        <f t="shared" si="178"/>
        <v>0</v>
      </c>
      <c r="U206" s="21">
        <f t="shared" si="179"/>
        <v>0</v>
      </c>
      <c r="V206" s="39"/>
      <c r="W206" s="16"/>
      <c r="X206" s="17">
        <f>VLOOKUP(W206,'DATABASE F&amp;B'!$C$3:$F$216,2,0)</f>
        <v>0</v>
      </c>
      <c r="Y206" s="18"/>
      <c r="Z206" s="19">
        <f>VLOOKUP(W206,'DATABASE F&amp;B'!$C$3:$F$216,4,0)</f>
        <v>0</v>
      </c>
      <c r="AA206" s="19">
        <f t="shared" si="180"/>
        <v>0</v>
      </c>
      <c r="AB206" s="16"/>
      <c r="AC206" s="17">
        <f>VLOOKUP(AB206,'DATABASE F&amp;B'!$C$3:$F$216,2,0)</f>
        <v>0</v>
      </c>
      <c r="AD206" s="18"/>
      <c r="AE206" s="19">
        <f>VLOOKUP(AB206,'DATABASE F&amp;B'!$C$3:$F$216,4,0)</f>
        <v>0</v>
      </c>
      <c r="AF206" s="19">
        <f t="shared" si="181"/>
        <v>0</v>
      </c>
      <c r="AG206" s="16"/>
      <c r="AH206" s="17">
        <f>VLOOKUP(AG206,'DATABASE F&amp;B'!$C$3:$F$216,2,0)</f>
        <v>0</v>
      </c>
      <c r="AI206" s="18">
        <v>1</v>
      </c>
      <c r="AJ206" s="19">
        <f>VLOOKUP(AG206,'DATABASE F&amp;B'!$C$3:$F$216,4,0)</f>
        <v>0</v>
      </c>
      <c r="AK206" s="19">
        <f t="shared" si="182"/>
        <v>0</v>
      </c>
      <c r="AL206" s="16"/>
      <c r="AM206" s="17">
        <f>VLOOKUP(AL206,'DATABASE F&amp;B'!$C$3:$F$216,2,0)</f>
        <v>0</v>
      </c>
      <c r="AN206" s="18">
        <v>1</v>
      </c>
      <c r="AO206" s="19">
        <f>VLOOKUP(AL206,'DATABASE F&amp;B'!$C$3:$F$216,4,0)</f>
        <v>0</v>
      </c>
      <c r="AP206" s="19">
        <f t="shared" si="183"/>
        <v>0</v>
      </c>
      <c r="AQ206" s="16"/>
      <c r="AR206" s="17">
        <f>VLOOKUP(AQ206,'DATABASE F&amp;B'!$C$3:$F$216,2,0)</f>
        <v>0</v>
      </c>
      <c r="AS206" s="18">
        <v>1</v>
      </c>
      <c r="AT206" s="19">
        <f>VLOOKUP(AQ206,'DATABASE F&amp;B'!$C$3:$F$216,4,0)</f>
        <v>0</v>
      </c>
      <c r="AU206" s="19">
        <f t="shared" si="184"/>
        <v>0</v>
      </c>
      <c r="AV206" s="16"/>
      <c r="AW206" s="17">
        <f>VLOOKUP(AV206,'DATABASE F&amp;B'!$C$3:$F$216,2,0)</f>
        <v>0</v>
      </c>
      <c r="AX206" s="18"/>
      <c r="AY206" s="19">
        <f>VLOOKUP(AV206,'DATABASE F&amp;B'!$C$3:$F$216,4,0)</f>
        <v>0</v>
      </c>
      <c r="AZ206" s="19">
        <f t="shared" si="185"/>
        <v>0</v>
      </c>
      <c r="BA206" s="16"/>
      <c r="BB206" s="17">
        <f>VLOOKUP(BA206,'DATABASE F&amp;B'!$C$3:$F$216,2,0)</f>
        <v>0</v>
      </c>
      <c r="BC206" s="18"/>
      <c r="BD206" s="19">
        <f>VLOOKUP(BA206,'DATABASE F&amp;B'!$C$3:$F$216,4,0)</f>
        <v>0</v>
      </c>
      <c r="BE206" s="19">
        <f t="shared" si="186"/>
        <v>0</v>
      </c>
      <c r="BF206" s="16"/>
      <c r="BG206" s="17">
        <f>VLOOKUP(BF206,'DATABASE F&amp;B'!$C$3:$F$216,2,0)</f>
        <v>0</v>
      </c>
      <c r="BH206" s="18"/>
      <c r="BI206" s="19">
        <f>VLOOKUP(BF206,'DATABASE F&amp;B'!$C$3:$F$216,4,0)</f>
        <v>0</v>
      </c>
      <c r="BJ206" s="19">
        <f t="shared" si="187"/>
        <v>0</v>
      </c>
      <c r="BK206" s="16"/>
      <c r="BL206" s="17">
        <f>VLOOKUP(BK206,'DATABASE F&amp;B'!$C$3:$F$210,2,0)</f>
        <v>0</v>
      </c>
      <c r="BM206" s="18"/>
      <c r="BN206" s="19">
        <f>VLOOKUP(BK206,'DATABASE F&amp;B'!$C$3:$F$210,4,0)</f>
        <v>0</v>
      </c>
      <c r="BO206" s="19">
        <f t="shared" si="188"/>
        <v>0</v>
      </c>
      <c r="BP206" s="16"/>
      <c r="BQ206" s="17">
        <f>VLOOKUP(BP206,'DATABASE F&amp;B'!$C$3:$F$210,2,0)</f>
        <v>0</v>
      </c>
      <c r="BR206" s="18"/>
      <c r="BS206" s="19">
        <f>VLOOKUP(BP206,'DATABASE F&amp;B'!$C$3:$F$210,4,0)</f>
        <v>0</v>
      </c>
      <c r="BT206" s="19">
        <f t="shared" si="189"/>
        <v>0</v>
      </c>
      <c r="BU206" s="16"/>
      <c r="BV206" s="17">
        <f>VLOOKUP(BU206,'DATABASE F&amp;B'!$C$3:$F$210,2,0)</f>
        <v>0</v>
      </c>
      <c r="BW206" s="18"/>
      <c r="BX206" s="19">
        <f>VLOOKUP(BU206,'DATABASE F&amp;B'!$C$3:$F$210,4,0)</f>
        <v>0</v>
      </c>
      <c r="BY206" s="19">
        <f t="shared" si="190"/>
        <v>0</v>
      </c>
      <c r="BZ206" s="16"/>
      <c r="CA206" s="17">
        <f>VLOOKUP(BZ206,'DATABASE F&amp;B'!$C$3:$F$210,2,0)</f>
        <v>0</v>
      </c>
      <c r="CB206" s="18"/>
      <c r="CC206" s="19">
        <f>VLOOKUP(BZ206,'DATABASE F&amp;B'!$C$3:$F$210,4,0)</f>
        <v>0</v>
      </c>
      <c r="CD206" s="19">
        <f t="shared" si="191"/>
        <v>0</v>
      </c>
    </row>
    <row r="207" spans="1:82" ht="13.5" x14ac:dyDescent="0.25">
      <c r="A207" s="32" t="str">
        <f t="shared" si="172"/>
        <v>--20</v>
      </c>
      <c r="B207" s="22">
        <f t="shared" si="196"/>
        <v>203</v>
      </c>
      <c r="C207" s="22">
        <f t="shared" si="196"/>
        <v>203</v>
      </c>
      <c r="D207" s="34"/>
      <c r="E207" s="35"/>
      <c r="F207" s="35"/>
      <c r="G207" s="52"/>
      <c r="H207" s="36" t="str">
        <f t="shared" si="195"/>
        <v>RJ--203</v>
      </c>
      <c r="I207" s="36" t="str">
        <f t="shared" si="173"/>
        <v>--20</v>
      </c>
      <c r="J207" s="37" t="e">
        <f>VLOOKUP(D207,Laporan!$C$4:$D$34,2,0)</f>
        <v>#N/A</v>
      </c>
      <c r="K207" s="48"/>
      <c r="L207" s="13"/>
      <c r="M207" s="19">
        <f>SUMIF('DATABASE Room'!$B$3:$B$7,L207,'DATABASE Room'!$D$3:$D$7)</f>
        <v>0</v>
      </c>
      <c r="N207" s="13"/>
      <c r="O207" s="21">
        <f t="shared" si="174"/>
        <v>0</v>
      </c>
      <c r="P207" s="38"/>
      <c r="Q207" s="19">
        <f t="shared" si="175"/>
        <v>0</v>
      </c>
      <c r="R207" s="21">
        <f t="shared" si="176"/>
        <v>0</v>
      </c>
      <c r="S207" s="19">
        <f t="shared" si="177"/>
        <v>3</v>
      </c>
      <c r="T207" s="19">
        <f t="shared" si="178"/>
        <v>0</v>
      </c>
      <c r="U207" s="21">
        <f t="shared" si="179"/>
        <v>0</v>
      </c>
      <c r="V207" s="39"/>
      <c r="W207" s="16"/>
      <c r="X207" s="17">
        <f>VLOOKUP(W207,'DATABASE F&amp;B'!$C$3:$F$216,2,0)</f>
        <v>0</v>
      </c>
      <c r="Y207" s="18"/>
      <c r="Z207" s="19">
        <f>VLOOKUP(W207,'DATABASE F&amp;B'!$C$3:$F$216,4,0)</f>
        <v>0</v>
      </c>
      <c r="AA207" s="19">
        <f t="shared" si="180"/>
        <v>0</v>
      </c>
      <c r="AB207" s="16"/>
      <c r="AC207" s="17">
        <f>VLOOKUP(AB207,'DATABASE F&amp;B'!$C$3:$F$216,2,0)</f>
        <v>0</v>
      </c>
      <c r="AD207" s="18"/>
      <c r="AE207" s="19">
        <f>VLOOKUP(AB207,'DATABASE F&amp;B'!$C$3:$F$216,4,0)</f>
        <v>0</v>
      </c>
      <c r="AF207" s="19">
        <f t="shared" si="181"/>
        <v>0</v>
      </c>
      <c r="AG207" s="16"/>
      <c r="AH207" s="17">
        <f>VLOOKUP(AG207,'DATABASE F&amp;B'!$C$3:$F$216,2,0)</f>
        <v>0</v>
      </c>
      <c r="AI207" s="18">
        <v>1</v>
      </c>
      <c r="AJ207" s="19">
        <f>VLOOKUP(AG207,'DATABASE F&amp;B'!$C$3:$F$216,4,0)</f>
        <v>0</v>
      </c>
      <c r="AK207" s="19">
        <f t="shared" si="182"/>
        <v>0</v>
      </c>
      <c r="AL207" s="16"/>
      <c r="AM207" s="17">
        <f>VLOOKUP(AL207,'DATABASE F&amp;B'!$C$3:$F$216,2,0)</f>
        <v>0</v>
      </c>
      <c r="AN207" s="18">
        <v>1</v>
      </c>
      <c r="AO207" s="19">
        <f>VLOOKUP(AL207,'DATABASE F&amp;B'!$C$3:$F$216,4,0)</f>
        <v>0</v>
      </c>
      <c r="AP207" s="19">
        <f t="shared" si="183"/>
        <v>0</v>
      </c>
      <c r="AQ207" s="16"/>
      <c r="AR207" s="17">
        <f>VLOOKUP(AQ207,'DATABASE F&amp;B'!$C$3:$F$216,2,0)</f>
        <v>0</v>
      </c>
      <c r="AS207" s="18">
        <v>1</v>
      </c>
      <c r="AT207" s="19">
        <f>VLOOKUP(AQ207,'DATABASE F&amp;B'!$C$3:$F$216,4,0)</f>
        <v>0</v>
      </c>
      <c r="AU207" s="19">
        <f t="shared" si="184"/>
        <v>0</v>
      </c>
      <c r="AV207" s="16"/>
      <c r="AW207" s="17">
        <f>VLOOKUP(AV207,'DATABASE F&amp;B'!$C$3:$F$216,2,0)</f>
        <v>0</v>
      </c>
      <c r="AX207" s="18"/>
      <c r="AY207" s="19">
        <f>VLOOKUP(AV207,'DATABASE F&amp;B'!$C$3:$F$216,4,0)</f>
        <v>0</v>
      </c>
      <c r="AZ207" s="19">
        <f t="shared" si="185"/>
        <v>0</v>
      </c>
      <c r="BA207" s="16"/>
      <c r="BB207" s="17">
        <f>VLOOKUP(BA207,'DATABASE F&amp;B'!$C$3:$F$216,2,0)</f>
        <v>0</v>
      </c>
      <c r="BC207" s="18"/>
      <c r="BD207" s="19">
        <f>VLOOKUP(BA207,'DATABASE F&amp;B'!$C$3:$F$216,4,0)</f>
        <v>0</v>
      </c>
      <c r="BE207" s="19">
        <f t="shared" si="186"/>
        <v>0</v>
      </c>
      <c r="BF207" s="16"/>
      <c r="BG207" s="17">
        <f>VLOOKUP(BF207,'DATABASE F&amp;B'!$C$3:$F$216,2,0)</f>
        <v>0</v>
      </c>
      <c r="BH207" s="18"/>
      <c r="BI207" s="19">
        <f>VLOOKUP(BF207,'DATABASE F&amp;B'!$C$3:$F$216,4,0)</f>
        <v>0</v>
      </c>
      <c r="BJ207" s="19">
        <f t="shared" si="187"/>
        <v>0</v>
      </c>
      <c r="BK207" s="16"/>
      <c r="BL207" s="17">
        <f>VLOOKUP(BK207,'DATABASE F&amp;B'!$C$3:$F$210,2,0)</f>
        <v>0</v>
      </c>
      <c r="BM207" s="18"/>
      <c r="BN207" s="19">
        <f>VLOOKUP(BK207,'DATABASE F&amp;B'!$C$3:$F$210,4,0)</f>
        <v>0</v>
      </c>
      <c r="BO207" s="19">
        <f t="shared" si="188"/>
        <v>0</v>
      </c>
      <c r="BP207" s="16"/>
      <c r="BQ207" s="17">
        <f>VLOOKUP(BP207,'DATABASE F&amp;B'!$C$3:$F$210,2,0)</f>
        <v>0</v>
      </c>
      <c r="BR207" s="18"/>
      <c r="BS207" s="19">
        <f>VLOOKUP(BP207,'DATABASE F&amp;B'!$C$3:$F$210,4,0)</f>
        <v>0</v>
      </c>
      <c r="BT207" s="19">
        <f t="shared" si="189"/>
        <v>0</v>
      </c>
      <c r="BU207" s="16"/>
      <c r="BV207" s="17">
        <f>VLOOKUP(BU207,'DATABASE F&amp;B'!$C$3:$F$210,2,0)</f>
        <v>0</v>
      </c>
      <c r="BW207" s="18"/>
      <c r="BX207" s="19">
        <f>VLOOKUP(BU207,'DATABASE F&amp;B'!$C$3:$F$210,4,0)</f>
        <v>0</v>
      </c>
      <c r="BY207" s="19">
        <f t="shared" si="190"/>
        <v>0</v>
      </c>
      <c r="BZ207" s="16"/>
      <c r="CA207" s="17">
        <f>VLOOKUP(BZ207,'DATABASE F&amp;B'!$C$3:$F$210,2,0)</f>
        <v>0</v>
      </c>
      <c r="CB207" s="18"/>
      <c r="CC207" s="19">
        <f>VLOOKUP(BZ207,'DATABASE F&amp;B'!$C$3:$F$210,4,0)</f>
        <v>0</v>
      </c>
      <c r="CD207" s="19">
        <f t="shared" si="191"/>
        <v>0</v>
      </c>
    </row>
    <row r="208" spans="1:82" ht="13.5" x14ac:dyDescent="0.25">
      <c r="A208" s="32" t="str">
        <f t="shared" si="172"/>
        <v>--20</v>
      </c>
      <c r="B208" s="22">
        <f t="shared" si="196"/>
        <v>204</v>
      </c>
      <c r="C208" s="22">
        <f t="shared" si="196"/>
        <v>204</v>
      </c>
      <c r="D208" s="34"/>
      <c r="E208" s="35"/>
      <c r="F208" s="35"/>
      <c r="G208" s="52"/>
      <c r="H208" s="36" t="str">
        <f t="shared" si="195"/>
        <v>RJ--204</v>
      </c>
      <c r="I208" s="36" t="str">
        <f t="shared" si="173"/>
        <v>--20</v>
      </c>
      <c r="J208" s="37" t="e">
        <f>VLOOKUP(D208,Laporan!$C$4:$D$34,2,0)</f>
        <v>#N/A</v>
      </c>
      <c r="K208" s="48"/>
      <c r="L208" s="13"/>
      <c r="M208" s="19">
        <f>SUMIF('DATABASE Room'!$B$3:$B$7,L208,'DATABASE Room'!$D$3:$D$7)</f>
        <v>0</v>
      </c>
      <c r="N208" s="13"/>
      <c r="O208" s="21">
        <f t="shared" si="174"/>
        <v>0</v>
      </c>
      <c r="P208" s="38"/>
      <c r="Q208" s="19">
        <f t="shared" si="175"/>
        <v>0</v>
      </c>
      <c r="R208" s="21">
        <f t="shared" si="176"/>
        <v>0</v>
      </c>
      <c r="S208" s="19">
        <f t="shared" si="177"/>
        <v>3</v>
      </c>
      <c r="T208" s="19">
        <f t="shared" si="178"/>
        <v>0</v>
      </c>
      <c r="U208" s="21">
        <f t="shared" si="179"/>
        <v>0</v>
      </c>
      <c r="V208" s="39"/>
      <c r="W208" s="16"/>
      <c r="X208" s="17">
        <f>VLOOKUP(W208,'DATABASE F&amp;B'!$C$3:$F$216,2,0)</f>
        <v>0</v>
      </c>
      <c r="Y208" s="18"/>
      <c r="Z208" s="19">
        <f>VLOOKUP(W208,'DATABASE F&amp;B'!$C$3:$F$216,4,0)</f>
        <v>0</v>
      </c>
      <c r="AA208" s="19">
        <f t="shared" si="180"/>
        <v>0</v>
      </c>
      <c r="AB208" s="16"/>
      <c r="AC208" s="17">
        <f>VLOOKUP(AB208,'DATABASE F&amp;B'!$C$3:$F$216,2,0)</f>
        <v>0</v>
      </c>
      <c r="AD208" s="18"/>
      <c r="AE208" s="19">
        <f>VLOOKUP(AB208,'DATABASE F&amp;B'!$C$3:$F$216,4,0)</f>
        <v>0</v>
      </c>
      <c r="AF208" s="19">
        <f t="shared" si="181"/>
        <v>0</v>
      </c>
      <c r="AG208" s="16"/>
      <c r="AH208" s="17">
        <f>VLOOKUP(AG208,'DATABASE F&amp;B'!$C$3:$F$216,2,0)</f>
        <v>0</v>
      </c>
      <c r="AI208" s="18">
        <v>1</v>
      </c>
      <c r="AJ208" s="19">
        <f>VLOOKUP(AG208,'DATABASE F&amp;B'!$C$3:$F$216,4,0)</f>
        <v>0</v>
      </c>
      <c r="AK208" s="19">
        <f t="shared" si="182"/>
        <v>0</v>
      </c>
      <c r="AL208" s="16"/>
      <c r="AM208" s="17">
        <f>VLOOKUP(AL208,'DATABASE F&amp;B'!$C$3:$F$216,2,0)</f>
        <v>0</v>
      </c>
      <c r="AN208" s="18">
        <v>1</v>
      </c>
      <c r="AO208" s="19">
        <f>VLOOKUP(AL208,'DATABASE F&amp;B'!$C$3:$F$216,4,0)</f>
        <v>0</v>
      </c>
      <c r="AP208" s="19">
        <f t="shared" si="183"/>
        <v>0</v>
      </c>
      <c r="AQ208" s="16"/>
      <c r="AR208" s="17">
        <f>VLOOKUP(AQ208,'DATABASE F&amp;B'!$C$3:$F$216,2,0)</f>
        <v>0</v>
      </c>
      <c r="AS208" s="18">
        <v>1</v>
      </c>
      <c r="AT208" s="19">
        <f>VLOOKUP(AQ208,'DATABASE F&amp;B'!$C$3:$F$216,4,0)</f>
        <v>0</v>
      </c>
      <c r="AU208" s="19">
        <f t="shared" si="184"/>
        <v>0</v>
      </c>
      <c r="AV208" s="16"/>
      <c r="AW208" s="17">
        <f>VLOOKUP(AV208,'DATABASE F&amp;B'!$C$3:$F$216,2,0)</f>
        <v>0</v>
      </c>
      <c r="AX208" s="18"/>
      <c r="AY208" s="19">
        <f>VLOOKUP(AV208,'DATABASE F&amp;B'!$C$3:$F$216,4,0)</f>
        <v>0</v>
      </c>
      <c r="AZ208" s="19">
        <f t="shared" si="185"/>
        <v>0</v>
      </c>
      <c r="BA208" s="16"/>
      <c r="BB208" s="17">
        <f>VLOOKUP(BA208,'DATABASE F&amp;B'!$C$3:$F$216,2,0)</f>
        <v>0</v>
      </c>
      <c r="BC208" s="18"/>
      <c r="BD208" s="19">
        <f>VLOOKUP(BA208,'DATABASE F&amp;B'!$C$3:$F$216,4,0)</f>
        <v>0</v>
      </c>
      <c r="BE208" s="19">
        <f t="shared" si="186"/>
        <v>0</v>
      </c>
      <c r="BF208" s="16"/>
      <c r="BG208" s="17">
        <f>VLOOKUP(BF208,'DATABASE F&amp;B'!$C$3:$F$216,2,0)</f>
        <v>0</v>
      </c>
      <c r="BH208" s="18"/>
      <c r="BI208" s="19">
        <f>VLOOKUP(BF208,'DATABASE F&amp;B'!$C$3:$F$216,4,0)</f>
        <v>0</v>
      </c>
      <c r="BJ208" s="19">
        <f t="shared" si="187"/>
        <v>0</v>
      </c>
      <c r="BK208" s="16"/>
      <c r="BL208" s="17">
        <f>VLOOKUP(BK208,'DATABASE F&amp;B'!$C$3:$F$210,2,0)</f>
        <v>0</v>
      </c>
      <c r="BM208" s="18"/>
      <c r="BN208" s="19">
        <f>VLOOKUP(BK208,'DATABASE F&amp;B'!$C$3:$F$210,4,0)</f>
        <v>0</v>
      </c>
      <c r="BO208" s="19">
        <f t="shared" si="188"/>
        <v>0</v>
      </c>
      <c r="BP208" s="16"/>
      <c r="BQ208" s="17">
        <f>VLOOKUP(BP208,'DATABASE F&amp;B'!$C$3:$F$210,2,0)</f>
        <v>0</v>
      </c>
      <c r="BR208" s="18"/>
      <c r="BS208" s="19">
        <f>VLOOKUP(BP208,'DATABASE F&amp;B'!$C$3:$F$210,4,0)</f>
        <v>0</v>
      </c>
      <c r="BT208" s="19">
        <f t="shared" si="189"/>
        <v>0</v>
      </c>
      <c r="BU208" s="16"/>
      <c r="BV208" s="17">
        <f>VLOOKUP(BU208,'DATABASE F&amp;B'!$C$3:$F$210,2,0)</f>
        <v>0</v>
      </c>
      <c r="BW208" s="18"/>
      <c r="BX208" s="19">
        <f>VLOOKUP(BU208,'DATABASE F&amp;B'!$C$3:$F$210,4,0)</f>
        <v>0</v>
      </c>
      <c r="BY208" s="19">
        <f t="shared" si="190"/>
        <v>0</v>
      </c>
      <c r="BZ208" s="16"/>
      <c r="CA208" s="17">
        <f>VLOOKUP(BZ208,'DATABASE F&amp;B'!$C$3:$F$210,2,0)</f>
        <v>0</v>
      </c>
      <c r="CB208" s="18"/>
      <c r="CC208" s="19">
        <f>VLOOKUP(BZ208,'DATABASE F&amp;B'!$C$3:$F$210,4,0)</f>
        <v>0</v>
      </c>
      <c r="CD208" s="19">
        <f t="shared" si="191"/>
        <v>0</v>
      </c>
    </row>
    <row r="209" spans="1:82" ht="13.5" x14ac:dyDescent="0.25">
      <c r="A209" s="32" t="str">
        <f t="shared" ref="A209:A227" si="197">CONCATENATE(F209,"-",E209,"-20",G209)</f>
        <v>--20</v>
      </c>
      <c r="B209" s="22">
        <f t="shared" si="196"/>
        <v>205</v>
      </c>
      <c r="C209" s="22">
        <f t="shared" si="196"/>
        <v>205</v>
      </c>
      <c r="D209" s="34"/>
      <c r="E209" s="35"/>
      <c r="F209" s="35"/>
      <c r="G209" s="52"/>
      <c r="H209" s="36" t="str">
        <f t="shared" si="195"/>
        <v>RJ--205</v>
      </c>
      <c r="I209" s="36" t="str">
        <f t="shared" ref="I209:I227" si="198">CONCATENATE(E209,"-",F209,"-20",G209)</f>
        <v>--20</v>
      </c>
      <c r="J209" s="37" t="e">
        <f>VLOOKUP(D209,Laporan!$C$4:$D$34,2,0)</f>
        <v>#N/A</v>
      </c>
      <c r="K209" s="48"/>
      <c r="L209" s="13"/>
      <c r="M209" s="19">
        <f>SUMIF('DATABASE Room'!$B$3:$B$7,L209,'DATABASE Room'!$D$3:$D$7)</f>
        <v>0</v>
      </c>
      <c r="N209" s="13"/>
      <c r="O209" s="21">
        <f t="shared" ref="O209:O227" si="199">N209*M209</f>
        <v>0</v>
      </c>
      <c r="P209" s="38"/>
      <c r="Q209" s="19">
        <f t="shared" ref="Q209:Q227" si="200">P209*M209</f>
        <v>0</v>
      </c>
      <c r="R209" s="21">
        <f t="shared" ref="R209:R227" si="201">O209+Q209</f>
        <v>0</v>
      </c>
      <c r="S209" s="19">
        <f t="shared" ref="S209:S227" si="202">SUMIF($W$4:$CD$4,$S$4,W209:CD209)</f>
        <v>3</v>
      </c>
      <c r="T209" s="19">
        <f t="shared" ref="T209:T227" si="203">SUMIF($W$4:$CD$4,$T$4,W209:CD209)</f>
        <v>0</v>
      </c>
      <c r="U209" s="21">
        <f t="shared" ref="U209:U227" si="204">R209+T209</f>
        <v>0</v>
      </c>
      <c r="V209" s="39"/>
      <c r="W209" s="16"/>
      <c r="X209" s="17">
        <f>VLOOKUP(W209,'DATABASE F&amp;B'!$C$3:$F$216,2,0)</f>
        <v>0</v>
      </c>
      <c r="Y209" s="18"/>
      <c r="Z209" s="19">
        <f>VLOOKUP(W209,'DATABASE F&amp;B'!$C$3:$F$216,4,0)</f>
        <v>0</v>
      </c>
      <c r="AA209" s="19">
        <f t="shared" ref="AA209:AA227" si="205">Y209*Z209</f>
        <v>0</v>
      </c>
      <c r="AB209" s="16"/>
      <c r="AC209" s="17">
        <f>VLOOKUP(AB209,'DATABASE F&amp;B'!$C$3:$F$216,2,0)</f>
        <v>0</v>
      </c>
      <c r="AD209" s="18"/>
      <c r="AE209" s="19">
        <f>VLOOKUP(AB209,'DATABASE F&amp;B'!$C$3:$F$216,4,0)</f>
        <v>0</v>
      </c>
      <c r="AF209" s="19">
        <f t="shared" ref="AF209:AF227" si="206">AD209*AE209</f>
        <v>0</v>
      </c>
      <c r="AG209" s="16"/>
      <c r="AH209" s="17">
        <f>VLOOKUP(AG209,'DATABASE F&amp;B'!$C$3:$F$216,2,0)</f>
        <v>0</v>
      </c>
      <c r="AI209" s="18">
        <v>1</v>
      </c>
      <c r="AJ209" s="19">
        <f>VLOOKUP(AG209,'DATABASE F&amp;B'!$C$3:$F$216,4,0)</f>
        <v>0</v>
      </c>
      <c r="AK209" s="19">
        <f t="shared" ref="AK209:AK227" si="207">AI209*AJ209</f>
        <v>0</v>
      </c>
      <c r="AL209" s="16"/>
      <c r="AM209" s="17">
        <f>VLOOKUP(AL209,'DATABASE F&amp;B'!$C$3:$F$216,2,0)</f>
        <v>0</v>
      </c>
      <c r="AN209" s="18">
        <v>1</v>
      </c>
      <c r="AO209" s="19">
        <f>VLOOKUP(AL209,'DATABASE F&amp;B'!$C$3:$F$216,4,0)</f>
        <v>0</v>
      </c>
      <c r="AP209" s="19">
        <f t="shared" ref="AP209:AP227" si="208">AN209*AO209</f>
        <v>0</v>
      </c>
      <c r="AQ209" s="16"/>
      <c r="AR209" s="17">
        <f>VLOOKUP(AQ209,'DATABASE F&amp;B'!$C$3:$F$216,2,0)</f>
        <v>0</v>
      </c>
      <c r="AS209" s="18">
        <v>1</v>
      </c>
      <c r="AT209" s="19">
        <f>VLOOKUP(AQ209,'DATABASE F&amp;B'!$C$3:$F$216,4,0)</f>
        <v>0</v>
      </c>
      <c r="AU209" s="19">
        <f t="shared" ref="AU209:AU227" si="209">AS209*AT209</f>
        <v>0</v>
      </c>
      <c r="AV209" s="16"/>
      <c r="AW209" s="17">
        <f>VLOOKUP(AV209,'DATABASE F&amp;B'!$C$3:$F$216,2,0)</f>
        <v>0</v>
      </c>
      <c r="AX209" s="18"/>
      <c r="AY209" s="19">
        <f>VLOOKUP(AV209,'DATABASE F&amp;B'!$C$3:$F$216,4,0)</f>
        <v>0</v>
      </c>
      <c r="AZ209" s="19">
        <f t="shared" ref="AZ209:AZ227" si="210">AX209*AY209</f>
        <v>0</v>
      </c>
      <c r="BA209" s="16"/>
      <c r="BB209" s="17">
        <f>VLOOKUP(BA209,'DATABASE F&amp;B'!$C$3:$F$216,2,0)</f>
        <v>0</v>
      </c>
      <c r="BC209" s="18"/>
      <c r="BD209" s="19">
        <f>VLOOKUP(BA209,'DATABASE F&amp;B'!$C$3:$F$216,4,0)</f>
        <v>0</v>
      </c>
      <c r="BE209" s="19">
        <f t="shared" ref="BE209:BE227" si="211">BC209*BD209</f>
        <v>0</v>
      </c>
      <c r="BF209" s="16"/>
      <c r="BG209" s="17">
        <f>VLOOKUP(BF209,'DATABASE F&amp;B'!$C$3:$F$216,2,0)</f>
        <v>0</v>
      </c>
      <c r="BH209" s="18"/>
      <c r="BI209" s="19">
        <f>VLOOKUP(BF209,'DATABASE F&amp;B'!$C$3:$F$216,4,0)</f>
        <v>0</v>
      </c>
      <c r="BJ209" s="19">
        <f t="shared" ref="BJ209:BJ227" si="212">BH209*BI209</f>
        <v>0</v>
      </c>
      <c r="BK209" s="16"/>
      <c r="BL209" s="17">
        <f>VLOOKUP(BK209,'DATABASE F&amp;B'!$C$3:$F$210,2,0)</f>
        <v>0</v>
      </c>
      <c r="BM209" s="18"/>
      <c r="BN209" s="19">
        <f>VLOOKUP(BK209,'DATABASE F&amp;B'!$C$3:$F$210,4,0)</f>
        <v>0</v>
      </c>
      <c r="BO209" s="19">
        <f t="shared" ref="BO209:BO227" si="213">BM209*BN209</f>
        <v>0</v>
      </c>
      <c r="BP209" s="16"/>
      <c r="BQ209" s="17">
        <f>VLOOKUP(BP209,'DATABASE F&amp;B'!$C$3:$F$210,2,0)</f>
        <v>0</v>
      </c>
      <c r="BR209" s="18"/>
      <c r="BS209" s="19">
        <f>VLOOKUP(BP209,'DATABASE F&amp;B'!$C$3:$F$210,4,0)</f>
        <v>0</v>
      </c>
      <c r="BT209" s="19">
        <f t="shared" ref="BT209:BT227" si="214">BR209*BS209</f>
        <v>0</v>
      </c>
      <c r="BU209" s="16"/>
      <c r="BV209" s="17">
        <f>VLOOKUP(BU209,'DATABASE F&amp;B'!$C$3:$F$210,2,0)</f>
        <v>0</v>
      </c>
      <c r="BW209" s="18"/>
      <c r="BX209" s="19">
        <f>VLOOKUP(BU209,'DATABASE F&amp;B'!$C$3:$F$210,4,0)</f>
        <v>0</v>
      </c>
      <c r="BY209" s="19">
        <f t="shared" ref="BY209:BY227" si="215">BW209*BX209</f>
        <v>0</v>
      </c>
      <c r="BZ209" s="16"/>
      <c r="CA209" s="17">
        <f>VLOOKUP(BZ209,'DATABASE F&amp;B'!$C$3:$F$210,2,0)</f>
        <v>0</v>
      </c>
      <c r="CB209" s="18"/>
      <c r="CC209" s="19">
        <f>VLOOKUP(BZ209,'DATABASE F&amp;B'!$C$3:$F$210,4,0)</f>
        <v>0</v>
      </c>
      <c r="CD209" s="19">
        <f t="shared" ref="CD209:CD227" si="216">CB209*CC209</f>
        <v>0</v>
      </c>
    </row>
    <row r="210" spans="1:82" ht="13.5" x14ac:dyDescent="0.25">
      <c r="A210" s="32" t="str">
        <f t="shared" si="197"/>
        <v>--20</v>
      </c>
      <c r="B210" s="22">
        <f t="shared" si="196"/>
        <v>206</v>
      </c>
      <c r="C210" s="22">
        <f t="shared" si="196"/>
        <v>206</v>
      </c>
      <c r="D210" s="34"/>
      <c r="E210" s="35"/>
      <c r="F210" s="35"/>
      <c r="G210" s="52"/>
      <c r="H210" s="36" t="str">
        <f t="shared" si="195"/>
        <v>RJ--206</v>
      </c>
      <c r="I210" s="36" t="str">
        <f t="shared" si="198"/>
        <v>--20</v>
      </c>
      <c r="J210" s="37" t="e">
        <f>VLOOKUP(D210,Laporan!$C$4:$D$34,2,0)</f>
        <v>#N/A</v>
      </c>
      <c r="K210" s="48"/>
      <c r="L210" s="13"/>
      <c r="M210" s="19">
        <f>SUMIF('DATABASE Room'!$B$3:$B$7,L210,'DATABASE Room'!$D$3:$D$7)</f>
        <v>0</v>
      </c>
      <c r="N210" s="13"/>
      <c r="O210" s="21">
        <f t="shared" si="199"/>
        <v>0</v>
      </c>
      <c r="P210" s="38"/>
      <c r="Q210" s="19">
        <f t="shared" si="200"/>
        <v>0</v>
      </c>
      <c r="R210" s="21">
        <f t="shared" si="201"/>
        <v>0</v>
      </c>
      <c r="S210" s="19">
        <f t="shared" si="202"/>
        <v>3</v>
      </c>
      <c r="T210" s="19">
        <f t="shared" si="203"/>
        <v>0</v>
      </c>
      <c r="U210" s="21">
        <f t="shared" si="204"/>
        <v>0</v>
      </c>
      <c r="V210" s="39"/>
      <c r="W210" s="16"/>
      <c r="X210" s="17">
        <f>VLOOKUP(W210,'DATABASE F&amp;B'!$C$3:$F$216,2,0)</f>
        <v>0</v>
      </c>
      <c r="Y210" s="18"/>
      <c r="Z210" s="19">
        <f>VLOOKUP(W210,'DATABASE F&amp;B'!$C$3:$F$216,4,0)</f>
        <v>0</v>
      </c>
      <c r="AA210" s="19">
        <f t="shared" si="205"/>
        <v>0</v>
      </c>
      <c r="AB210" s="16"/>
      <c r="AC210" s="17">
        <f>VLOOKUP(AB210,'DATABASE F&amp;B'!$C$3:$F$216,2,0)</f>
        <v>0</v>
      </c>
      <c r="AD210" s="18"/>
      <c r="AE210" s="19">
        <f>VLOOKUP(AB210,'DATABASE F&amp;B'!$C$3:$F$216,4,0)</f>
        <v>0</v>
      </c>
      <c r="AF210" s="19">
        <f t="shared" si="206"/>
        <v>0</v>
      </c>
      <c r="AG210" s="16"/>
      <c r="AH210" s="17">
        <f>VLOOKUP(AG210,'DATABASE F&amp;B'!$C$3:$F$216,2,0)</f>
        <v>0</v>
      </c>
      <c r="AI210" s="18">
        <v>1</v>
      </c>
      <c r="AJ210" s="19">
        <f>VLOOKUP(AG210,'DATABASE F&amp;B'!$C$3:$F$216,4,0)</f>
        <v>0</v>
      </c>
      <c r="AK210" s="19">
        <f t="shared" si="207"/>
        <v>0</v>
      </c>
      <c r="AL210" s="16"/>
      <c r="AM210" s="17">
        <f>VLOOKUP(AL210,'DATABASE F&amp;B'!$C$3:$F$216,2,0)</f>
        <v>0</v>
      </c>
      <c r="AN210" s="18">
        <v>1</v>
      </c>
      <c r="AO210" s="19">
        <f>VLOOKUP(AL210,'DATABASE F&amp;B'!$C$3:$F$216,4,0)</f>
        <v>0</v>
      </c>
      <c r="AP210" s="19">
        <f t="shared" si="208"/>
        <v>0</v>
      </c>
      <c r="AQ210" s="16"/>
      <c r="AR210" s="17">
        <f>VLOOKUP(AQ210,'DATABASE F&amp;B'!$C$3:$F$216,2,0)</f>
        <v>0</v>
      </c>
      <c r="AS210" s="18">
        <v>1</v>
      </c>
      <c r="AT210" s="19">
        <f>VLOOKUP(AQ210,'DATABASE F&amp;B'!$C$3:$F$216,4,0)</f>
        <v>0</v>
      </c>
      <c r="AU210" s="19">
        <f t="shared" si="209"/>
        <v>0</v>
      </c>
      <c r="AV210" s="16"/>
      <c r="AW210" s="17">
        <f>VLOOKUP(AV210,'DATABASE F&amp;B'!$C$3:$F$216,2,0)</f>
        <v>0</v>
      </c>
      <c r="AX210" s="18"/>
      <c r="AY210" s="19">
        <f>VLOOKUP(AV210,'DATABASE F&amp;B'!$C$3:$F$216,4,0)</f>
        <v>0</v>
      </c>
      <c r="AZ210" s="19">
        <f t="shared" si="210"/>
        <v>0</v>
      </c>
      <c r="BA210" s="16"/>
      <c r="BB210" s="17">
        <f>VLOOKUP(BA210,'DATABASE F&amp;B'!$C$3:$F$216,2,0)</f>
        <v>0</v>
      </c>
      <c r="BC210" s="18"/>
      <c r="BD210" s="19">
        <f>VLOOKUP(BA210,'DATABASE F&amp;B'!$C$3:$F$216,4,0)</f>
        <v>0</v>
      </c>
      <c r="BE210" s="19">
        <f t="shared" si="211"/>
        <v>0</v>
      </c>
      <c r="BF210" s="16"/>
      <c r="BG210" s="17">
        <f>VLOOKUP(BF210,'DATABASE F&amp;B'!$C$3:$F$216,2,0)</f>
        <v>0</v>
      </c>
      <c r="BH210" s="18"/>
      <c r="BI210" s="19">
        <f>VLOOKUP(BF210,'DATABASE F&amp;B'!$C$3:$F$216,4,0)</f>
        <v>0</v>
      </c>
      <c r="BJ210" s="19">
        <f t="shared" si="212"/>
        <v>0</v>
      </c>
      <c r="BK210" s="16"/>
      <c r="BL210" s="17">
        <f>VLOOKUP(BK210,'DATABASE F&amp;B'!$C$3:$F$210,2,0)</f>
        <v>0</v>
      </c>
      <c r="BM210" s="18"/>
      <c r="BN210" s="19">
        <f>VLOOKUP(BK210,'DATABASE F&amp;B'!$C$3:$F$210,4,0)</f>
        <v>0</v>
      </c>
      <c r="BO210" s="19">
        <f t="shared" si="213"/>
        <v>0</v>
      </c>
      <c r="BP210" s="16"/>
      <c r="BQ210" s="17">
        <f>VLOOKUP(BP210,'DATABASE F&amp;B'!$C$3:$F$210,2,0)</f>
        <v>0</v>
      </c>
      <c r="BR210" s="18"/>
      <c r="BS210" s="19">
        <f>VLOOKUP(BP210,'DATABASE F&amp;B'!$C$3:$F$210,4,0)</f>
        <v>0</v>
      </c>
      <c r="BT210" s="19">
        <f t="shared" si="214"/>
        <v>0</v>
      </c>
      <c r="BU210" s="16"/>
      <c r="BV210" s="17">
        <f>VLOOKUP(BU210,'DATABASE F&amp;B'!$C$3:$F$210,2,0)</f>
        <v>0</v>
      </c>
      <c r="BW210" s="18"/>
      <c r="BX210" s="19">
        <f>VLOOKUP(BU210,'DATABASE F&amp;B'!$C$3:$F$210,4,0)</f>
        <v>0</v>
      </c>
      <c r="BY210" s="19">
        <f t="shared" si="215"/>
        <v>0</v>
      </c>
      <c r="BZ210" s="16"/>
      <c r="CA210" s="17">
        <f>VLOOKUP(BZ210,'DATABASE F&amp;B'!$C$3:$F$210,2,0)</f>
        <v>0</v>
      </c>
      <c r="CB210" s="18"/>
      <c r="CC210" s="19">
        <f>VLOOKUP(BZ210,'DATABASE F&amp;B'!$C$3:$F$210,4,0)</f>
        <v>0</v>
      </c>
      <c r="CD210" s="19">
        <f t="shared" si="216"/>
        <v>0</v>
      </c>
    </row>
    <row r="211" spans="1:82" ht="13.5" x14ac:dyDescent="0.25">
      <c r="A211" s="32" t="str">
        <f t="shared" si="197"/>
        <v>--20</v>
      </c>
      <c r="B211" s="22">
        <f t="shared" si="196"/>
        <v>207</v>
      </c>
      <c r="C211" s="22">
        <f t="shared" si="196"/>
        <v>207</v>
      </c>
      <c r="D211" s="34"/>
      <c r="E211" s="35"/>
      <c r="F211" s="35"/>
      <c r="G211" s="52"/>
      <c r="H211" s="36" t="str">
        <f t="shared" si="195"/>
        <v>RJ--207</v>
      </c>
      <c r="I211" s="36" t="str">
        <f t="shared" si="198"/>
        <v>--20</v>
      </c>
      <c r="J211" s="37" t="e">
        <f>VLOOKUP(D211,Laporan!$C$4:$D$34,2,0)</f>
        <v>#N/A</v>
      </c>
      <c r="K211" s="48"/>
      <c r="L211" s="13"/>
      <c r="M211" s="19">
        <f>SUMIF('DATABASE Room'!$B$3:$B$7,L211,'DATABASE Room'!$D$3:$D$7)</f>
        <v>0</v>
      </c>
      <c r="N211" s="13"/>
      <c r="O211" s="21">
        <f t="shared" si="199"/>
        <v>0</v>
      </c>
      <c r="P211" s="38"/>
      <c r="Q211" s="19">
        <f t="shared" si="200"/>
        <v>0</v>
      </c>
      <c r="R211" s="21">
        <f t="shared" si="201"/>
        <v>0</v>
      </c>
      <c r="S211" s="19">
        <f t="shared" si="202"/>
        <v>3</v>
      </c>
      <c r="T211" s="19">
        <f t="shared" si="203"/>
        <v>0</v>
      </c>
      <c r="U211" s="21">
        <f t="shared" si="204"/>
        <v>0</v>
      </c>
      <c r="V211" s="39"/>
      <c r="W211" s="16"/>
      <c r="X211" s="17">
        <f>VLOOKUP(W211,'DATABASE F&amp;B'!$C$3:$F$216,2,0)</f>
        <v>0</v>
      </c>
      <c r="Y211" s="18"/>
      <c r="Z211" s="19">
        <f>VLOOKUP(W211,'DATABASE F&amp;B'!$C$3:$F$216,4,0)</f>
        <v>0</v>
      </c>
      <c r="AA211" s="19">
        <f t="shared" si="205"/>
        <v>0</v>
      </c>
      <c r="AB211" s="16"/>
      <c r="AC211" s="17">
        <f>VLOOKUP(AB211,'DATABASE F&amp;B'!$C$3:$F$216,2,0)</f>
        <v>0</v>
      </c>
      <c r="AD211" s="18"/>
      <c r="AE211" s="19">
        <f>VLOOKUP(AB211,'DATABASE F&amp;B'!$C$3:$F$216,4,0)</f>
        <v>0</v>
      </c>
      <c r="AF211" s="19">
        <f t="shared" si="206"/>
        <v>0</v>
      </c>
      <c r="AG211" s="16"/>
      <c r="AH211" s="17">
        <f>VLOOKUP(AG211,'DATABASE F&amp;B'!$C$3:$F$216,2,0)</f>
        <v>0</v>
      </c>
      <c r="AI211" s="18">
        <v>1</v>
      </c>
      <c r="AJ211" s="19">
        <f>VLOOKUP(AG211,'DATABASE F&amp;B'!$C$3:$F$216,4,0)</f>
        <v>0</v>
      </c>
      <c r="AK211" s="19">
        <f t="shared" si="207"/>
        <v>0</v>
      </c>
      <c r="AL211" s="16"/>
      <c r="AM211" s="17">
        <f>VLOOKUP(AL211,'DATABASE F&amp;B'!$C$3:$F$216,2,0)</f>
        <v>0</v>
      </c>
      <c r="AN211" s="18">
        <v>1</v>
      </c>
      <c r="AO211" s="19">
        <f>VLOOKUP(AL211,'DATABASE F&amp;B'!$C$3:$F$216,4,0)</f>
        <v>0</v>
      </c>
      <c r="AP211" s="19">
        <f t="shared" si="208"/>
        <v>0</v>
      </c>
      <c r="AQ211" s="16"/>
      <c r="AR211" s="17">
        <f>VLOOKUP(AQ211,'DATABASE F&amp;B'!$C$3:$F$216,2,0)</f>
        <v>0</v>
      </c>
      <c r="AS211" s="18">
        <v>1</v>
      </c>
      <c r="AT211" s="19">
        <f>VLOOKUP(AQ211,'DATABASE F&amp;B'!$C$3:$F$216,4,0)</f>
        <v>0</v>
      </c>
      <c r="AU211" s="19">
        <f t="shared" si="209"/>
        <v>0</v>
      </c>
      <c r="AV211" s="16"/>
      <c r="AW211" s="17">
        <f>VLOOKUP(AV211,'DATABASE F&amp;B'!$C$3:$F$216,2,0)</f>
        <v>0</v>
      </c>
      <c r="AX211" s="18"/>
      <c r="AY211" s="19">
        <f>VLOOKUP(AV211,'DATABASE F&amp;B'!$C$3:$F$216,4,0)</f>
        <v>0</v>
      </c>
      <c r="AZ211" s="19">
        <f t="shared" si="210"/>
        <v>0</v>
      </c>
      <c r="BA211" s="16"/>
      <c r="BB211" s="17">
        <f>VLOOKUP(BA211,'DATABASE F&amp;B'!$C$3:$F$216,2,0)</f>
        <v>0</v>
      </c>
      <c r="BC211" s="18"/>
      <c r="BD211" s="19">
        <f>VLOOKUP(BA211,'DATABASE F&amp;B'!$C$3:$F$216,4,0)</f>
        <v>0</v>
      </c>
      <c r="BE211" s="19">
        <f t="shared" si="211"/>
        <v>0</v>
      </c>
      <c r="BF211" s="16"/>
      <c r="BG211" s="17">
        <f>VLOOKUP(BF211,'DATABASE F&amp;B'!$C$3:$F$216,2,0)</f>
        <v>0</v>
      </c>
      <c r="BH211" s="18"/>
      <c r="BI211" s="19">
        <f>VLOOKUP(BF211,'DATABASE F&amp;B'!$C$3:$F$216,4,0)</f>
        <v>0</v>
      </c>
      <c r="BJ211" s="19">
        <f t="shared" si="212"/>
        <v>0</v>
      </c>
      <c r="BK211" s="16"/>
      <c r="BL211" s="17">
        <f>VLOOKUP(BK211,'DATABASE F&amp;B'!$C$3:$F$210,2,0)</f>
        <v>0</v>
      </c>
      <c r="BM211" s="18"/>
      <c r="BN211" s="19">
        <f>VLOOKUP(BK211,'DATABASE F&amp;B'!$C$3:$F$210,4,0)</f>
        <v>0</v>
      </c>
      <c r="BO211" s="19">
        <f t="shared" si="213"/>
        <v>0</v>
      </c>
      <c r="BP211" s="16"/>
      <c r="BQ211" s="17">
        <f>VLOOKUP(BP211,'DATABASE F&amp;B'!$C$3:$F$210,2,0)</f>
        <v>0</v>
      </c>
      <c r="BR211" s="18"/>
      <c r="BS211" s="19">
        <f>VLOOKUP(BP211,'DATABASE F&amp;B'!$C$3:$F$210,4,0)</f>
        <v>0</v>
      </c>
      <c r="BT211" s="19">
        <f t="shared" si="214"/>
        <v>0</v>
      </c>
      <c r="BU211" s="16"/>
      <c r="BV211" s="17">
        <f>VLOOKUP(BU211,'DATABASE F&amp;B'!$C$3:$F$210,2,0)</f>
        <v>0</v>
      </c>
      <c r="BW211" s="18"/>
      <c r="BX211" s="19">
        <f>VLOOKUP(BU211,'DATABASE F&amp;B'!$C$3:$F$210,4,0)</f>
        <v>0</v>
      </c>
      <c r="BY211" s="19">
        <f t="shared" si="215"/>
        <v>0</v>
      </c>
      <c r="BZ211" s="16"/>
      <c r="CA211" s="17">
        <f>VLOOKUP(BZ211,'DATABASE F&amp;B'!$C$3:$F$210,2,0)</f>
        <v>0</v>
      </c>
      <c r="CB211" s="18"/>
      <c r="CC211" s="19">
        <f>VLOOKUP(BZ211,'DATABASE F&amp;B'!$C$3:$F$210,4,0)</f>
        <v>0</v>
      </c>
      <c r="CD211" s="19">
        <f t="shared" si="216"/>
        <v>0</v>
      </c>
    </row>
    <row r="212" spans="1:82" ht="13.5" x14ac:dyDescent="0.25">
      <c r="A212" s="32" t="str">
        <f t="shared" si="197"/>
        <v>--20</v>
      </c>
      <c r="B212" s="22">
        <f t="shared" si="196"/>
        <v>208</v>
      </c>
      <c r="C212" s="22">
        <f t="shared" si="196"/>
        <v>208</v>
      </c>
      <c r="D212" s="34"/>
      <c r="E212" s="35"/>
      <c r="F212" s="35"/>
      <c r="G212" s="52"/>
      <c r="H212" s="36" t="str">
        <f t="shared" si="195"/>
        <v>RJ--208</v>
      </c>
      <c r="I212" s="36" t="str">
        <f t="shared" si="198"/>
        <v>--20</v>
      </c>
      <c r="J212" s="37" t="e">
        <f>VLOOKUP(D212,Laporan!$C$4:$D$34,2,0)</f>
        <v>#N/A</v>
      </c>
      <c r="K212" s="48"/>
      <c r="L212" s="13"/>
      <c r="M212" s="19">
        <f>SUMIF('DATABASE Room'!$B$3:$B$7,L212,'DATABASE Room'!$D$3:$D$7)</f>
        <v>0</v>
      </c>
      <c r="N212" s="13"/>
      <c r="O212" s="21">
        <f t="shared" si="199"/>
        <v>0</v>
      </c>
      <c r="P212" s="38"/>
      <c r="Q212" s="19">
        <f t="shared" si="200"/>
        <v>0</v>
      </c>
      <c r="R212" s="21">
        <f t="shared" si="201"/>
        <v>0</v>
      </c>
      <c r="S212" s="19">
        <f t="shared" si="202"/>
        <v>3</v>
      </c>
      <c r="T212" s="19">
        <f t="shared" si="203"/>
        <v>0</v>
      </c>
      <c r="U212" s="21">
        <f t="shared" si="204"/>
        <v>0</v>
      </c>
      <c r="V212" s="39"/>
      <c r="W212" s="16"/>
      <c r="X212" s="17">
        <f>VLOOKUP(W212,'DATABASE F&amp;B'!$C$3:$F$216,2,0)</f>
        <v>0</v>
      </c>
      <c r="Y212" s="18"/>
      <c r="Z212" s="19">
        <f>VLOOKUP(W212,'DATABASE F&amp;B'!$C$3:$F$216,4,0)</f>
        <v>0</v>
      </c>
      <c r="AA212" s="19">
        <f t="shared" si="205"/>
        <v>0</v>
      </c>
      <c r="AB212" s="16"/>
      <c r="AC212" s="17">
        <f>VLOOKUP(AB212,'DATABASE F&amp;B'!$C$3:$F$216,2,0)</f>
        <v>0</v>
      </c>
      <c r="AD212" s="18"/>
      <c r="AE212" s="19">
        <f>VLOOKUP(AB212,'DATABASE F&amp;B'!$C$3:$F$216,4,0)</f>
        <v>0</v>
      </c>
      <c r="AF212" s="19">
        <f t="shared" si="206"/>
        <v>0</v>
      </c>
      <c r="AG212" s="16"/>
      <c r="AH212" s="17">
        <f>VLOOKUP(AG212,'DATABASE F&amp;B'!$C$3:$F$216,2,0)</f>
        <v>0</v>
      </c>
      <c r="AI212" s="18">
        <v>1</v>
      </c>
      <c r="AJ212" s="19">
        <f>VLOOKUP(AG212,'DATABASE F&amp;B'!$C$3:$F$216,4,0)</f>
        <v>0</v>
      </c>
      <c r="AK212" s="19">
        <f t="shared" si="207"/>
        <v>0</v>
      </c>
      <c r="AL212" s="16"/>
      <c r="AM212" s="17">
        <f>VLOOKUP(AL212,'DATABASE F&amp;B'!$C$3:$F$216,2,0)</f>
        <v>0</v>
      </c>
      <c r="AN212" s="18">
        <v>1</v>
      </c>
      <c r="AO212" s="19">
        <f>VLOOKUP(AL212,'DATABASE F&amp;B'!$C$3:$F$216,4,0)</f>
        <v>0</v>
      </c>
      <c r="AP212" s="19">
        <f t="shared" si="208"/>
        <v>0</v>
      </c>
      <c r="AQ212" s="16"/>
      <c r="AR212" s="17">
        <f>VLOOKUP(AQ212,'DATABASE F&amp;B'!$C$3:$F$216,2,0)</f>
        <v>0</v>
      </c>
      <c r="AS212" s="18">
        <v>1</v>
      </c>
      <c r="AT212" s="19">
        <f>VLOOKUP(AQ212,'DATABASE F&amp;B'!$C$3:$F$216,4,0)</f>
        <v>0</v>
      </c>
      <c r="AU212" s="19">
        <f t="shared" si="209"/>
        <v>0</v>
      </c>
      <c r="AV212" s="16"/>
      <c r="AW212" s="17">
        <f>VLOOKUP(AV212,'DATABASE F&amp;B'!$C$3:$F$216,2,0)</f>
        <v>0</v>
      </c>
      <c r="AX212" s="18"/>
      <c r="AY212" s="19">
        <f>VLOOKUP(AV212,'DATABASE F&amp;B'!$C$3:$F$216,4,0)</f>
        <v>0</v>
      </c>
      <c r="AZ212" s="19">
        <f t="shared" si="210"/>
        <v>0</v>
      </c>
      <c r="BA212" s="16"/>
      <c r="BB212" s="17">
        <f>VLOOKUP(BA212,'DATABASE F&amp;B'!$C$3:$F$216,2,0)</f>
        <v>0</v>
      </c>
      <c r="BC212" s="18"/>
      <c r="BD212" s="19">
        <f>VLOOKUP(BA212,'DATABASE F&amp;B'!$C$3:$F$216,4,0)</f>
        <v>0</v>
      </c>
      <c r="BE212" s="19">
        <f t="shared" si="211"/>
        <v>0</v>
      </c>
      <c r="BF212" s="16"/>
      <c r="BG212" s="17">
        <f>VLOOKUP(BF212,'DATABASE F&amp;B'!$C$3:$F$216,2,0)</f>
        <v>0</v>
      </c>
      <c r="BH212" s="18"/>
      <c r="BI212" s="19">
        <f>VLOOKUP(BF212,'DATABASE F&amp;B'!$C$3:$F$216,4,0)</f>
        <v>0</v>
      </c>
      <c r="BJ212" s="19">
        <f t="shared" si="212"/>
        <v>0</v>
      </c>
      <c r="BK212" s="16"/>
      <c r="BL212" s="17">
        <f>VLOOKUP(BK212,'DATABASE F&amp;B'!$C$3:$F$210,2,0)</f>
        <v>0</v>
      </c>
      <c r="BM212" s="18"/>
      <c r="BN212" s="19">
        <f>VLOOKUP(BK212,'DATABASE F&amp;B'!$C$3:$F$210,4,0)</f>
        <v>0</v>
      </c>
      <c r="BO212" s="19">
        <f t="shared" si="213"/>
        <v>0</v>
      </c>
      <c r="BP212" s="16"/>
      <c r="BQ212" s="17">
        <f>VLOOKUP(BP212,'DATABASE F&amp;B'!$C$3:$F$210,2,0)</f>
        <v>0</v>
      </c>
      <c r="BR212" s="18"/>
      <c r="BS212" s="19">
        <f>VLOOKUP(BP212,'DATABASE F&amp;B'!$C$3:$F$210,4,0)</f>
        <v>0</v>
      </c>
      <c r="BT212" s="19">
        <f t="shared" si="214"/>
        <v>0</v>
      </c>
      <c r="BU212" s="16"/>
      <c r="BV212" s="17">
        <f>VLOOKUP(BU212,'DATABASE F&amp;B'!$C$3:$F$210,2,0)</f>
        <v>0</v>
      </c>
      <c r="BW212" s="18"/>
      <c r="BX212" s="19">
        <f>VLOOKUP(BU212,'DATABASE F&amp;B'!$C$3:$F$210,4,0)</f>
        <v>0</v>
      </c>
      <c r="BY212" s="19">
        <f t="shared" si="215"/>
        <v>0</v>
      </c>
      <c r="BZ212" s="16"/>
      <c r="CA212" s="17">
        <f>VLOOKUP(BZ212,'DATABASE F&amp;B'!$C$3:$F$210,2,0)</f>
        <v>0</v>
      </c>
      <c r="CB212" s="18"/>
      <c r="CC212" s="19">
        <f>VLOOKUP(BZ212,'DATABASE F&amp;B'!$C$3:$F$210,4,0)</f>
        <v>0</v>
      </c>
      <c r="CD212" s="19">
        <f t="shared" si="216"/>
        <v>0</v>
      </c>
    </row>
    <row r="213" spans="1:82" ht="13.5" x14ac:dyDescent="0.25">
      <c r="A213" s="32" t="str">
        <f t="shared" si="197"/>
        <v>--20</v>
      </c>
      <c r="B213" s="22">
        <f t="shared" si="196"/>
        <v>209</v>
      </c>
      <c r="C213" s="22">
        <f t="shared" si="196"/>
        <v>209</v>
      </c>
      <c r="D213" s="34"/>
      <c r="E213" s="35"/>
      <c r="F213" s="35"/>
      <c r="G213" s="52"/>
      <c r="H213" s="36" t="str">
        <f t="shared" si="195"/>
        <v>RJ--209</v>
      </c>
      <c r="I213" s="36" t="str">
        <f t="shared" si="198"/>
        <v>--20</v>
      </c>
      <c r="J213" s="37" t="e">
        <f>VLOOKUP(D213,Laporan!$C$4:$D$34,2,0)</f>
        <v>#N/A</v>
      </c>
      <c r="K213" s="48"/>
      <c r="L213" s="13"/>
      <c r="M213" s="19">
        <f>SUMIF('DATABASE Room'!$B$3:$B$7,L213,'DATABASE Room'!$D$3:$D$7)</f>
        <v>0</v>
      </c>
      <c r="N213" s="13"/>
      <c r="O213" s="21">
        <f t="shared" si="199"/>
        <v>0</v>
      </c>
      <c r="P213" s="38"/>
      <c r="Q213" s="19">
        <f t="shared" si="200"/>
        <v>0</v>
      </c>
      <c r="R213" s="21">
        <f t="shared" si="201"/>
        <v>0</v>
      </c>
      <c r="S213" s="19">
        <f t="shared" si="202"/>
        <v>3</v>
      </c>
      <c r="T213" s="19">
        <f t="shared" si="203"/>
        <v>0</v>
      </c>
      <c r="U213" s="21">
        <f t="shared" si="204"/>
        <v>0</v>
      </c>
      <c r="V213" s="39"/>
      <c r="W213" s="16"/>
      <c r="X213" s="17">
        <f>VLOOKUP(W213,'DATABASE F&amp;B'!$C$3:$F$216,2,0)</f>
        <v>0</v>
      </c>
      <c r="Y213" s="18"/>
      <c r="Z213" s="19">
        <f>VLOOKUP(W213,'DATABASE F&amp;B'!$C$3:$F$216,4,0)</f>
        <v>0</v>
      </c>
      <c r="AA213" s="19">
        <f t="shared" si="205"/>
        <v>0</v>
      </c>
      <c r="AB213" s="16"/>
      <c r="AC213" s="17">
        <f>VLOOKUP(AB213,'DATABASE F&amp;B'!$C$3:$F$216,2,0)</f>
        <v>0</v>
      </c>
      <c r="AD213" s="18"/>
      <c r="AE213" s="19">
        <f>VLOOKUP(AB213,'DATABASE F&amp;B'!$C$3:$F$216,4,0)</f>
        <v>0</v>
      </c>
      <c r="AF213" s="19">
        <f t="shared" si="206"/>
        <v>0</v>
      </c>
      <c r="AG213" s="16"/>
      <c r="AH213" s="17">
        <f>VLOOKUP(AG213,'DATABASE F&amp;B'!$C$3:$F$216,2,0)</f>
        <v>0</v>
      </c>
      <c r="AI213" s="18">
        <v>1</v>
      </c>
      <c r="AJ213" s="19">
        <f>VLOOKUP(AG213,'DATABASE F&amp;B'!$C$3:$F$216,4,0)</f>
        <v>0</v>
      </c>
      <c r="AK213" s="19">
        <f t="shared" si="207"/>
        <v>0</v>
      </c>
      <c r="AL213" s="16"/>
      <c r="AM213" s="17">
        <f>VLOOKUP(AL213,'DATABASE F&amp;B'!$C$3:$F$216,2,0)</f>
        <v>0</v>
      </c>
      <c r="AN213" s="18">
        <v>1</v>
      </c>
      <c r="AO213" s="19">
        <f>VLOOKUP(AL213,'DATABASE F&amp;B'!$C$3:$F$216,4,0)</f>
        <v>0</v>
      </c>
      <c r="AP213" s="19">
        <f t="shared" si="208"/>
        <v>0</v>
      </c>
      <c r="AQ213" s="16"/>
      <c r="AR213" s="17">
        <f>VLOOKUP(AQ213,'DATABASE F&amp;B'!$C$3:$F$216,2,0)</f>
        <v>0</v>
      </c>
      <c r="AS213" s="18">
        <v>1</v>
      </c>
      <c r="AT213" s="19">
        <f>VLOOKUP(AQ213,'DATABASE F&amp;B'!$C$3:$F$216,4,0)</f>
        <v>0</v>
      </c>
      <c r="AU213" s="19">
        <f t="shared" si="209"/>
        <v>0</v>
      </c>
      <c r="AV213" s="16"/>
      <c r="AW213" s="17">
        <f>VLOOKUP(AV213,'DATABASE F&amp;B'!$C$3:$F$216,2,0)</f>
        <v>0</v>
      </c>
      <c r="AX213" s="18"/>
      <c r="AY213" s="19">
        <f>VLOOKUP(AV213,'DATABASE F&amp;B'!$C$3:$F$216,4,0)</f>
        <v>0</v>
      </c>
      <c r="AZ213" s="19">
        <f t="shared" si="210"/>
        <v>0</v>
      </c>
      <c r="BA213" s="16"/>
      <c r="BB213" s="17">
        <f>VLOOKUP(BA213,'DATABASE F&amp;B'!$C$3:$F$216,2,0)</f>
        <v>0</v>
      </c>
      <c r="BC213" s="18"/>
      <c r="BD213" s="19">
        <f>VLOOKUP(BA213,'DATABASE F&amp;B'!$C$3:$F$216,4,0)</f>
        <v>0</v>
      </c>
      <c r="BE213" s="19">
        <f t="shared" si="211"/>
        <v>0</v>
      </c>
      <c r="BF213" s="16"/>
      <c r="BG213" s="17">
        <f>VLOOKUP(BF213,'DATABASE F&amp;B'!$C$3:$F$216,2,0)</f>
        <v>0</v>
      </c>
      <c r="BH213" s="18"/>
      <c r="BI213" s="19">
        <f>VLOOKUP(BF213,'DATABASE F&amp;B'!$C$3:$F$216,4,0)</f>
        <v>0</v>
      </c>
      <c r="BJ213" s="19">
        <f t="shared" si="212"/>
        <v>0</v>
      </c>
      <c r="BK213" s="16"/>
      <c r="BL213" s="17">
        <f>VLOOKUP(BK213,'DATABASE F&amp;B'!$C$3:$F$210,2,0)</f>
        <v>0</v>
      </c>
      <c r="BM213" s="18"/>
      <c r="BN213" s="19">
        <f>VLOOKUP(BK213,'DATABASE F&amp;B'!$C$3:$F$210,4,0)</f>
        <v>0</v>
      </c>
      <c r="BO213" s="19">
        <f t="shared" si="213"/>
        <v>0</v>
      </c>
      <c r="BP213" s="16"/>
      <c r="BQ213" s="17">
        <f>VLOOKUP(BP213,'DATABASE F&amp;B'!$C$3:$F$210,2,0)</f>
        <v>0</v>
      </c>
      <c r="BR213" s="18"/>
      <c r="BS213" s="19">
        <f>VLOOKUP(BP213,'DATABASE F&amp;B'!$C$3:$F$210,4,0)</f>
        <v>0</v>
      </c>
      <c r="BT213" s="19">
        <f t="shared" si="214"/>
        <v>0</v>
      </c>
      <c r="BU213" s="16"/>
      <c r="BV213" s="17">
        <f>VLOOKUP(BU213,'DATABASE F&amp;B'!$C$3:$F$210,2,0)</f>
        <v>0</v>
      </c>
      <c r="BW213" s="18"/>
      <c r="BX213" s="19">
        <f>VLOOKUP(BU213,'DATABASE F&amp;B'!$C$3:$F$210,4,0)</f>
        <v>0</v>
      </c>
      <c r="BY213" s="19">
        <f t="shared" si="215"/>
        <v>0</v>
      </c>
      <c r="BZ213" s="16"/>
      <c r="CA213" s="17">
        <f>VLOOKUP(BZ213,'DATABASE F&amp;B'!$C$3:$F$210,2,0)</f>
        <v>0</v>
      </c>
      <c r="CB213" s="18"/>
      <c r="CC213" s="19">
        <f>VLOOKUP(BZ213,'DATABASE F&amp;B'!$C$3:$F$210,4,0)</f>
        <v>0</v>
      </c>
      <c r="CD213" s="19">
        <f t="shared" si="216"/>
        <v>0</v>
      </c>
    </row>
    <row r="214" spans="1:82" ht="13.5" x14ac:dyDescent="0.25">
      <c r="A214" s="32" t="str">
        <f t="shared" si="197"/>
        <v>--20</v>
      </c>
      <c r="B214" s="22">
        <f t="shared" si="196"/>
        <v>210</v>
      </c>
      <c r="C214" s="22">
        <f t="shared" si="196"/>
        <v>210</v>
      </c>
      <c r="D214" s="34"/>
      <c r="E214" s="35"/>
      <c r="F214" s="35"/>
      <c r="G214" s="52"/>
      <c r="H214" s="36" t="str">
        <f t="shared" si="195"/>
        <v>RJ--210</v>
      </c>
      <c r="I214" s="36" t="str">
        <f t="shared" si="198"/>
        <v>--20</v>
      </c>
      <c r="J214" s="37" t="e">
        <f>VLOOKUP(D214,Laporan!$C$4:$D$34,2,0)</f>
        <v>#N/A</v>
      </c>
      <c r="K214" s="48"/>
      <c r="L214" s="13"/>
      <c r="M214" s="19">
        <f>SUMIF('DATABASE Room'!$B$3:$B$7,L214,'DATABASE Room'!$D$3:$D$7)</f>
        <v>0</v>
      </c>
      <c r="N214" s="13"/>
      <c r="O214" s="21">
        <f t="shared" si="199"/>
        <v>0</v>
      </c>
      <c r="P214" s="38"/>
      <c r="Q214" s="19">
        <f t="shared" si="200"/>
        <v>0</v>
      </c>
      <c r="R214" s="21">
        <f t="shared" si="201"/>
        <v>0</v>
      </c>
      <c r="S214" s="19">
        <f t="shared" si="202"/>
        <v>3</v>
      </c>
      <c r="T214" s="19">
        <f t="shared" si="203"/>
        <v>0</v>
      </c>
      <c r="U214" s="21">
        <f t="shared" si="204"/>
        <v>0</v>
      </c>
      <c r="V214" s="39"/>
      <c r="W214" s="16"/>
      <c r="X214" s="17">
        <f>VLOOKUP(W214,'DATABASE F&amp;B'!$C$3:$F$216,2,0)</f>
        <v>0</v>
      </c>
      <c r="Y214" s="18"/>
      <c r="Z214" s="19">
        <f>VLOOKUP(W214,'DATABASE F&amp;B'!$C$3:$F$216,4,0)</f>
        <v>0</v>
      </c>
      <c r="AA214" s="19">
        <f t="shared" si="205"/>
        <v>0</v>
      </c>
      <c r="AB214" s="16"/>
      <c r="AC214" s="17">
        <f>VLOOKUP(AB214,'DATABASE F&amp;B'!$C$3:$F$216,2,0)</f>
        <v>0</v>
      </c>
      <c r="AD214" s="18"/>
      <c r="AE214" s="19">
        <f>VLOOKUP(AB214,'DATABASE F&amp;B'!$C$3:$F$216,4,0)</f>
        <v>0</v>
      </c>
      <c r="AF214" s="19">
        <f t="shared" si="206"/>
        <v>0</v>
      </c>
      <c r="AG214" s="16"/>
      <c r="AH214" s="17">
        <f>VLOOKUP(AG214,'DATABASE F&amp;B'!$C$3:$F$216,2,0)</f>
        <v>0</v>
      </c>
      <c r="AI214" s="18">
        <v>1</v>
      </c>
      <c r="AJ214" s="19">
        <f>VLOOKUP(AG214,'DATABASE F&amp;B'!$C$3:$F$216,4,0)</f>
        <v>0</v>
      </c>
      <c r="AK214" s="19">
        <f t="shared" si="207"/>
        <v>0</v>
      </c>
      <c r="AL214" s="16"/>
      <c r="AM214" s="17">
        <f>VLOOKUP(AL214,'DATABASE F&amp;B'!$C$3:$F$216,2,0)</f>
        <v>0</v>
      </c>
      <c r="AN214" s="18">
        <v>1</v>
      </c>
      <c r="AO214" s="19">
        <f>VLOOKUP(AL214,'DATABASE F&amp;B'!$C$3:$F$216,4,0)</f>
        <v>0</v>
      </c>
      <c r="AP214" s="19">
        <f t="shared" si="208"/>
        <v>0</v>
      </c>
      <c r="AQ214" s="16"/>
      <c r="AR214" s="17">
        <f>VLOOKUP(AQ214,'DATABASE F&amp;B'!$C$3:$F$216,2,0)</f>
        <v>0</v>
      </c>
      <c r="AS214" s="18">
        <v>1</v>
      </c>
      <c r="AT214" s="19">
        <f>VLOOKUP(AQ214,'DATABASE F&amp;B'!$C$3:$F$216,4,0)</f>
        <v>0</v>
      </c>
      <c r="AU214" s="19">
        <f t="shared" si="209"/>
        <v>0</v>
      </c>
      <c r="AV214" s="16"/>
      <c r="AW214" s="17">
        <f>VLOOKUP(AV214,'DATABASE F&amp;B'!$C$3:$F$216,2,0)</f>
        <v>0</v>
      </c>
      <c r="AX214" s="18"/>
      <c r="AY214" s="19">
        <f>VLOOKUP(AV214,'DATABASE F&amp;B'!$C$3:$F$216,4,0)</f>
        <v>0</v>
      </c>
      <c r="AZ214" s="19">
        <f t="shared" si="210"/>
        <v>0</v>
      </c>
      <c r="BA214" s="16"/>
      <c r="BB214" s="17">
        <f>VLOOKUP(BA214,'DATABASE F&amp;B'!$C$3:$F$216,2,0)</f>
        <v>0</v>
      </c>
      <c r="BC214" s="18"/>
      <c r="BD214" s="19">
        <f>VLOOKUP(BA214,'DATABASE F&amp;B'!$C$3:$F$216,4,0)</f>
        <v>0</v>
      </c>
      <c r="BE214" s="19">
        <f t="shared" si="211"/>
        <v>0</v>
      </c>
      <c r="BF214" s="16"/>
      <c r="BG214" s="17">
        <f>VLOOKUP(BF214,'DATABASE F&amp;B'!$C$3:$F$216,2,0)</f>
        <v>0</v>
      </c>
      <c r="BH214" s="18"/>
      <c r="BI214" s="19">
        <f>VLOOKUP(BF214,'DATABASE F&amp;B'!$C$3:$F$216,4,0)</f>
        <v>0</v>
      </c>
      <c r="BJ214" s="19">
        <f t="shared" si="212"/>
        <v>0</v>
      </c>
      <c r="BK214" s="16"/>
      <c r="BL214" s="17">
        <f>VLOOKUP(BK214,'DATABASE F&amp;B'!$C$3:$F$210,2,0)</f>
        <v>0</v>
      </c>
      <c r="BM214" s="18"/>
      <c r="BN214" s="19">
        <f>VLOOKUP(BK214,'DATABASE F&amp;B'!$C$3:$F$210,4,0)</f>
        <v>0</v>
      </c>
      <c r="BO214" s="19">
        <f t="shared" si="213"/>
        <v>0</v>
      </c>
      <c r="BP214" s="16"/>
      <c r="BQ214" s="17">
        <f>VLOOKUP(BP214,'DATABASE F&amp;B'!$C$3:$F$210,2,0)</f>
        <v>0</v>
      </c>
      <c r="BR214" s="18"/>
      <c r="BS214" s="19">
        <f>VLOOKUP(BP214,'DATABASE F&amp;B'!$C$3:$F$210,4,0)</f>
        <v>0</v>
      </c>
      <c r="BT214" s="19">
        <f t="shared" si="214"/>
        <v>0</v>
      </c>
      <c r="BU214" s="16"/>
      <c r="BV214" s="17">
        <f>VLOOKUP(BU214,'DATABASE F&amp;B'!$C$3:$F$210,2,0)</f>
        <v>0</v>
      </c>
      <c r="BW214" s="18"/>
      <c r="BX214" s="19">
        <f>VLOOKUP(BU214,'DATABASE F&amp;B'!$C$3:$F$210,4,0)</f>
        <v>0</v>
      </c>
      <c r="BY214" s="19">
        <f t="shared" si="215"/>
        <v>0</v>
      </c>
      <c r="BZ214" s="16"/>
      <c r="CA214" s="17">
        <f>VLOOKUP(BZ214,'DATABASE F&amp;B'!$C$3:$F$210,2,0)</f>
        <v>0</v>
      </c>
      <c r="CB214" s="18"/>
      <c r="CC214" s="19">
        <f>VLOOKUP(BZ214,'DATABASE F&amp;B'!$C$3:$F$210,4,0)</f>
        <v>0</v>
      </c>
      <c r="CD214" s="19">
        <f t="shared" si="216"/>
        <v>0</v>
      </c>
    </row>
    <row r="215" spans="1:82" ht="13.5" x14ac:dyDescent="0.25">
      <c r="A215" s="32" t="str">
        <f t="shared" si="197"/>
        <v>--20</v>
      </c>
      <c r="B215" s="22">
        <f t="shared" ref="B215:C230" si="217">B214+1</f>
        <v>211</v>
      </c>
      <c r="C215" s="22">
        <f t="shared" si="217"/>
        <v>211</v>
      </c>
      <c r="D215" s="34"/>
      <c r="E215" s="35"/>
      <c r="F215" s="35"/>
      <c r="G215" s="52"/>
      <c r="H215" s="36" t="str">
        <f t="shared" si="195"/>
        <v>RJ--211</v>
      </c>
      <c r="I215" s="36" t="str">
        <f t="shared" si="198"/>
        <v>--20</v>
      </c>
      <c r="J215" s="37" t="e">
        <f>VLOOKUP(D215,Laporan!$C$4:$D$34,2,0)</f>
        <v>#N/A</v>
      </c>
      <c r="K215" s="48"/>
      <c r="L215" s="13"/>
      <c r="M215" s="19">
        <f>SUMIF('DATABASE Room'!$B$3:$B$7,L215,'DATABASE Room'!$D$3:$D$7)</f>
        <v>0</v>
      </c>
      <c r="N215" s="13"/>
      <c r="O215" s="21">
        <f t="shared" si="199"/>
        <v>0</v>
      </c>
      <c r="P215" s="38"/>
      <c r="Q215" s="19">
        <f t="shared" si="200"/>
        <v>0</v>
      </c>
      <c r="R215" s="21">
        <f t="shared" si="201"/>
        <v>0</v>
      </c>
      <c r="S215" s="19">
        <f t="shared" si="202"/>
        <v>3</v>
      </c>
      <c r="T215" s="19">
        <f t="shared" si="203"/>
        <v>0</v>
      </c>
      <c r="U215" s="21">
        <f t="shared" si="204"/>
        <v>0</v>
      </c>
      <c r="V215" s="39"/>
      <c r="W215" s="16"/>
      <c r="X215" s="17">
        <f>VLOOKUP(W215,'DATABASE F&amp;B'!$C$3:$F$216,2,0)</f>
        <v>0</v>
      </c>
      <c r="Y215" s="18"/>
      <c r="Z215" s="19">
        <f>VLOOKUP(W215,'DATABASE F&amp;B'!$C$3:$F$216,4,0)</f>
        <v>0</v>
      </c>
      <c r="AA215" s="19">
        <f t="shared" si="205"/>
        <v>0</v>
      </c>
      <c r="AB215" s="16"/>
      <c r="AC215" s="17">
        <f>VLOOKUP(AB215,'DATABASE F&amp;B'!$C$3:$F$216,2,0)</f>
        <v>0</v>
      </c>
      <c r="AD215" s="18"/>
      <c r="AE215" s="19">
        <f>VLOOKUP(AB215,'DATABASE F&amp;B'!$C$3:$F$216,4,0)</f>
        <v>0</v>
      </c>
      <c r="AF215" s="19">
        <f t="shared" si="206"/>
        <v>0</v>
      </c>
      <c r="AG215" s="16"/>
      <c r="AH215" s="17">
        <f>VLOOKUP(AG215,'DATABASE F&amp;B'!$C$3:$F$216,2,0)</f>
        <v>0</v>
      </c>
      <c r="AI215" s="18">
        <v>1</v>
      </c>
      <c r="AJ215" s="19">
        <f>VLOOKUP(AG215,'DATABASE F&amp;B'!$C$3:$F$216,4,0)</f>
        <v>0</v>
      </c>
      <c r="AK215" s="19">
        <f t="shared" si="207"/>
        <v>0</v>
      </c>
      <c r="AL215" s="16"/>
      <c r="AM215" s="17">
        <f>VLOOKUP(AL215,'DATABASE F&amp;B'!$C$3:$F$216,2,0)</f>
        <v>0</v>
      </c>
      <c r="AN215" s="18">
        <v>1</v>
      </c>
      <c r="AO215" s="19">
        <f>VLOOKUP(AL215,'DATABASE F&amp;B'!$C$3:$F$216,4,0)</f>
        <v>0</v>
      </c>
      <c r="AP215" s="19">
        <f t="shared" si="208"/>
        <v>0</v>
      </c>
      <c r="AQ215" s="16"/>
      <c r="AR215" s="17">
        <f>VLOOKUP(AQ215,'DATABASE F&amp;B'!$C$3:$F$216,2,0)</f>
        <v>0</v>
      </c>
      <c r="AS215" s="18">
        <v>1</v>
      </c>
      <c r="AT215" s="19">
        <f>VLOOKUP(AQ215,'DATABASE F&amp;B'!$C$3:$F$216,4,0)</f>
        <v>0</v>
      </c>
      <c r="AU215" s="19">
        <f t="shared" si="209"/>
        <v>0</v>
      </c>
      <c r="AV215" s="16"/>
      <c r="AW215" s="17">
        <f>VLOOKUP(AV215,'DATABASE F&amp;B'!$C$3:$F$216,2,0)</f>
        <v>0</v>
      </c>
      <c r="AX215" s="18"/>
      <c r="AY215" s="19">
        <f>VLOOKUP(AV215,'DATABASE F&amp;B'!$C$3:$F$216,4,0)</f>
        <v>0</v>
      </c>
      <c r="AZ215" s="19">
        <f t="shared" si="210"/>
        <v>0</v>
      </c>
      <c r="BA215" s="16"/>
      <c r="BB215" s="17">
        <f>VLOOKUP(BA215,'DATABASE F&amp;B'!$C$3:$F$216,2,0)</f>
        <v>0</v>
      </c>
      <c r="BC215" s="18"/>
      <c r="BD215" s="19">
        <f>VLOOKUP(BA215,'DATABASE F&amp;B'!$C$3:$F$216,4,0)</f>
        <v>0</v>
      </c>
      <c r="BE215" s="19">
        <f t="shared" si="211"/>
        <v>0</v>
      </c>
      <c r="BF215" s="16"/>
      <c r="BG215" s="17">
        <f>VLOOKUP(BF215,'DATABASE F&amp;B'!$C$3:$F$216,2,0)</f>
        <v>0</v>
      </c>
      <c r="BH215" s="18"/>
      <c r="BI215" s="19">
        <f>VLOOKUP(BF215,'DATABASE F&amp;B'!$C$3:$F$216,4,0)</f>
        <v>0</v>
      </c>
      <c r="BJ215" s="19">
        <f t="shared" si="212"/>
        <v>0</v>
      </c>
      <c r="BK215" s="16"/>
      <c r="BL215" s="17">
        <f>VLOOKUP(BK215,'DATABASE F&amp;B'!$C$3:$F$210,2,0)</f>
        <v>0</v>
      </c>
      <c r="BM215" s="18"/>
      <c r="BN215" s="19">
        <f>VLOOKUP(BK215,'DATABASE F&amp;B'!$C$3:$F$210,4,0)</f>
        <v>0</v>
      </c>
      <c r="BO215" s="19">
        <f t="shared" si="213"/>
        <v>0</v>
      </c>
      <c r="BP215" s="16"/>
      <c r="BQ215" s="17">
        <f>VLOOKUP(BP215,'DATABASE F&amp;B'!$C$3:$F$210,2,0)</f>
        <v>0</v>
      </c>
      <c r="BR215" s="18"/>
      <c r="BS215" s="19">
        <f>VLOOKUP(BP215,'DATABASE F&amp;B'!$C$3:$F$210,4,0)</f>
        <v>0</v>
      </c>
      <c r="BT215" s="19">
        <f t="shared" si="214"/>
        <v>0</v>
      </c>
      <c r="BU215" s="16"/>
      <c r="BV215" s="17">
        <f>VLOOKUP(BU215,'DATABASE F&amp;B'!$C$3:$F$210,2,0)</f>
        <v>0</v>
      </c>
      <c r="BW215" s="18"/>
      <c r="BX215" s="19">
        <f>VLOOKUP(BU215,'DATABASE F&amp;B'!$C$3:$F$210,4,0)</f>
        <v>0</v>
      </c>
      <c r="BY215" s="19">
        <f t="shared" si="215"/>
        <v>0</v>
      </c>
      <c r="BZ215" s="16"/>
      <c r="CA215" s="17">
        <f>VLOOKUP(BZ215,'DATABASE F&amp;B'!$C$3:$F$210,2,0)</f>
        <v>0</v>
      </c>
      <c r="CB215" s="18"/>
      <c r="CC215" s="19">
        <f>VLOOKUP(BZ215,'DATABASE F&amp;B'!$C$3:$F$210,4,0)</f>
        <v>0</v>
      </c>
      <c r="CD215" s="19">
        <f t="shared" si="216"/>
        <v>0</v>
      </c>
    </row>
    <row r="216" spans="1:82" ht="13.5" x14ac:dyDescent="0.25">
      <c r="A216" s="32" t="str">
        <f t="shared" si="197"/>
        <v>--20</v>
      </c>
      <c r="B216" s="22">
        <f t="shared" si="217"/>
        <v>212</v>
      </c>
      <c r="C216" s="22">
        <f t="shared" si="217"/>
        <v>212</v>
      </c>
      <c r="D216" s="34"/>
      <c r="E216" s="35"/>
      <c r="F216" s="35"/>
      <c r="G216" s="52"/>
      <c r="H216" s="36" t="str">
        <f t="shared" si="195"/>
        <v>RJ--212</v>
      </c>
      <c r="I216" s="36" t="str">
        <f t="shared" si="198"/>
        <v>--20</v>
      </c>
      <c r="J216" s="37" t="e">
        <f>VLOOKUP(D216,Laporan!$C$4:$D$34,2,0)</f>
        <v>#N/A</v>
      </c>
      <c r="K216" s="48"/>
      <c r="L216" s="13"/>
      <c r="M216" s="19">
        <f>SUMIF('DATABASE Room'!$B$3:$B$7,L216,'DATABASE Room'!$D$3:$D$7)</f>
        <v>0</v>
      </c>
      <c r="N216" s="13"/>
      <c r="O216" s="21">
        <f t="shared" si="199"/>
        <v>0</v>
      </c>
      <c r="P216" s="38"/>
      <c r="Q216" s="19">
        <f t="shared" si="200"/>
        <v>0</v>
      </c>
      <c r="R216" s="21">
        <f t="shared" si="201"/>
        <v>0</v>
      </c>
      <c r="S216" s="19">
        <f t="shared" si="202"/>
        <v>3</v>
      </c>
      <c r="T216" s="19">
        <f t="shared" si="203"/>
        <v>0</v>
      </c>
      <c r="U216" s="21">
        <f t="shared" si="204"/>
        <v>0</v>
      </c>
      <c r="V216" s="39"/>
      <c r="W216" s="16"/>
      <c r="X216" s="17">
        <f>VLOOKUP(W216,'DATABASE F&amp;B'!$C$3:$F$216,2,0)</f>
        <v>0</v>
      </c>
      <c r="Y216" s="18"/>
      <c r="Z216" s="19">
        <f>VLOOKUP(W216,'DATABASE F&amp;B'!$C$3:$F$216,4,0)</f>
        <v>0</v>
      </c>
      <c r="AA216" s="19">
        <f t="shared" si="205"/>
        <v>0</v>
      </c>
      <c r="AB216" s="16"/>
      <c r="AC216" s="17">
        <f>VLOOKUP(AB216,'DATABASE F&amp;B'!$C$3:$F$216,2,0)</f>
        <v>0</v>
      </c>
      <c r="AD216" s="18"/>
      <c r="AE216" s="19">
        <f>VLOOKUP(AB216,'DATABASE F&amp;B'!$C$3:$F$216,4,0)</f>
        <v>0</v>
      </c>
      <c r="AF216" s="19">
        <f t="shared" si="206"/>
        <v>0</v>
      </c>
      <c r="AG216" s="16"/>
      <c r="AH216" s="17">
        <f>VLOOKUP(AG216,'DATABASE F&amp;B'!$C$3:$F$216,2,0)</f>
        <v>0</v>
      </c>
      <c r="AI216" s="18">
        <v>1</v>
      </c>
      <c r="AJ216" s="19">
        <f>VLOOKUP(AG216,'DATABASE F&amp;B'!$C$3:$F$216,4,0)</f>
        <v>0</v>
      </c>
      <c r="AK216" s="19">
        <f t="shared" si="207"/>
        <v>0</v>
      </c>
      <c r="AL216" s="16"/>
      <c r="AM216" s="17">
        <f>VLOOKUP(AL216,'DATABASE F&amp;B'!$C$3:$F$216,2,0)</f>
        <v>0</v>
      </c>
      <c r="AN216" s="18">
        <v>1</v>
      </c>
      <c r="AO216" s="19">
        <f>VLOOKUP(AL216,'DATABASE F&amp;B'!$C$3:$F$216,4,0)</f>
        <v>0</v>
      </c>
      <c r="AP216" s="19">
        <f t="shared" si="208"/>
        <v>0</v>
      </c>
      <c r="AQ216" s="16"/>
      <c r="AR216" s="17">
        <f>VLOOKUP(AQ216,'DATABASE F&amp;B'!$C$3:$F$216,2,0)</f>
        <v>0</v>
      </c>
      <c r="AS216" s="18">
        <v>1</v>
      </c>
      <c r="AT216" s="19">
        <f>VLOOKUP(AQ216,'DATABASE F&amp;B'!$C$3:$F$216,4,0)</f>
        <v>0</v>
      </c>
      <c r="AU216" s="19">
        <f t="shared" si="209"/>
        <v>0</v>
      </c>
      <c r="AV216" s="16"/>
      <c r="AW216" s="17">
        <f>VLOOKUP(AV216,'DATABASE F&amp;B'!$C$3:$F$216,2,0)</f>
        <v>0</v>
      </c>
      <c r="AX216" s="18"/>
      <c r="AY216" s="19">
        <f>VLOOKUP(AV216,'DATABASE F&amp;B'!$C$3:$F$216,4,0)</f>
        <v>0</v>
      </c>
      <c r="AZ216" s="19">
        <f t="shared" si="210"/>
        <v>0</v>
      </c>
      <c r="BA216" s="16"/>
      <c r="BB216" s="17">
        <f>VLOOKUP(BA216,'DATABASE F&amp;B'!$C$3:$F$216,2,0)</f>
        <v>0</v>
      </c>
      <c r="BC216" s="18"/>
      <c r="BD216" s="19">
        <f>VLOOKUP(BA216,'DATABASE F&amp;B'!$C$3:$F$216,4,0)</f>
        <v>0</v>
      </c>
      <c r="BE216" s="19">
        <f t="shared" si="211"/>
        <v>0</v>
      </c>
      <c r="BF216" s="16"/>
      <c r="BG216" s="17">
        <f>VLOOKUP(BF216,'DATABASE F&amp;B'!$C$3:$F$216,2,0)</f>
        <v>0</v>
      </c>
      <c r="BH216" s="18"/>
      <c r="BI216" s="19">
        <f>VLOOKUP(BF216,'DATABASE F&amp;B'!$C$3:$F$216,4,0)</f>
        <v>0</v>
      </c>
      <c r="BJ216" s="19">
        <f t="shared" si="212"/>
        <v>0</v>
      </c>
      <c r="BK216" s="16"/>
      <c r="BL216" s="17">
        <f>VLOOKUP(BK216,'DATABASE F&amp;B'!$C$3:$F$210,2,0)</f>
        <v>0</v>
      </c>
      <c r="BM216" s="18"/>
      <c r="BN216" s="19">
        <f>VLOOKUP(BK216,'DATABASE F&amp;B'!$C$3:$F$210,4,0)</f>
        <v>0</v>
      </c>
      <c r="BO216" s="19">
        <f t="shared" si="213"/>
        <v>0</v>
      </c>
      <c r="BP216" s="16"/>
      <c r="BQ216" s="17">
        <f>VLOOKUP(BP216,'DATABASE F&amp;B'!$C$3:$F$210,2,0)</f>
        <v>0</v>
      </c>
      <c r="BR216" s="18"/>
      <c r="BS216" s="19">
        <f>VLOOKUP(BP216,'DATABASE F&amp;B'!$C$3:$F$210,4,0)</f>
        <v>0</v>
      </c>
      <c r="BT216" s="19">
        <f t="shared" si="214"/>
        <v>0</v>
      </c>
      <c r="BU216" s="16"/>
      <c r="BV216" s="17">
        <f>VLOOKUP(BU216,'DATABASE F&amp;B'!$C$3:$F$210,2,0)</f>
        <v>0</v>
      </c>
      <c r="BW216" s="18"/>
      <c r="BX216" s="19">
        <f>VLOOKUP(BU216,'DATABASE F&amp;B'!$C$3:$F$210,4,0)</f>
        <v>0</v>
      </c>
      <c r="BY216" s="19">
        <f t="shared" si="215"/>
        <v>0</v>
      </c>
      <c r="BZ216" s="16"/>
      <c r="CA216" s="17">
        <f>VLOOKUP(BZ216,'DATABASE F&amp;B'!$C$3:$F$210,2,0)</f>
        <v>0</v>
      </c>
      <c r="CB216" s="18"/>
      <c r="CC216" s="19">
        <f>VLOOKUP(BZ216,'DATABASE F&amp;B'!$C$3:$F$210,4,0)</f>
        <v>0</v>
      </c>
      <c r="CD216" s="19">
        <f t="shared" si="216"/>
        <v>0</v>
      </c>
    </row>
    <row r="217" spans="1:82" ht="13.5" x14ac:dyDescent="0.25">
      <c r="A217" s="32" t="str">
        <f t="shared" si="197"/>
        <v>--20</v>
      </c>
      <c r="B217" s="22">
        <f t="shared" si="217"/>
        <v>213</v>
      </c>
      <c r="C217" s="22">
        <f t="shared" si="217"/>
        <v>213</v>
      </c>
      <c r="D217" s="34"/>
      <c r="E217" s="35"/>
      <c r="F217" s="35"/>
      <c r="G217" s="52"/>
      <c r="H217" s="36" t="str">
        <f t="shared" si="195"/>
        <v>RJ--213</v>
      </c>
      <c r="I217" s="36" t="str">
        <f t="shared" si="198"/>
        <v>--20</v>
      </c>
      <c r="J217" s="37" t="e">
        <f>VLOOKUP(D217,Laporan!$C$4:$D$34,2,0)</f>
        <v>#N/A</v>
      </c>
      <c r="K217" s="48"/>
      <c r="L217" s="13"/>
      <c r="M217" s="19">
        <f>SUMIF('DATABASE Room'!$B$3:$B$7,L217,'DATABASE Room'!$D$3:$D$7)</f>
        <v>0</v>
      </c>
      <c r="N217" s="13"/>
      <c r="O217" s="21">
        <f t="shared" si="199"/>
        <v>0</v>
      </c>
      <c r="P217" s="38"/>
      <c r="Q217" s="19">
        <f t="shared" si="200"/>
        <v>0</v>
      </c>
      <c r="R217" s="21">
        <f t="shared" si="201"/>
        <v>0</v>
      </c>
      <c r="S217" s="19">
        <f t="shared" si="202"/>
        <v>3</v>
      </c>
      <c r="T217" s="19">
        <f t="shared" si="203"/>
        <v>0</v>
      </c>
      <c r="U217" s="21">
        <f t="shared" si="204"/>
        <v>0</v>
      </c>
      <c r="V217" s="39"/>
      <c r="W217" s="16"/>
      <c r="X217" s="17">
        <f>VLOOKUP(W217,'DATABASE F&amp;B'!$C$3:$F$216,2,0)</f>
        <v>0</v>
      </c>
      <c r="Y217" s="18"/>
      <c r="Z217" s="19">
        <f>VLOOKUP(W217,'DATABASE F&amp;B'!$C$3:$F$216,4,0)</f>
        <v>0</v>
      </c>
      <c r="AA217" s="19">
        <f t="shared" si="205"/>
        <v>0</v>
      </c>
      <c r="AB217" s="16"/>
      <c r="AC217" s="17">
        <f>VLOOKUP(AB217,'DATABASE F&amp;B'!$C$3:$F$216,2,0)</f>
        <v>0</v>
      </c>
      <c r="AD217" s="18"/>
      <c r="AE217" s="19">
        <f>VLOOKUP(AB217,'DATABASE F&amp;B'!$C$3:$F$216,4,0)</f>
        <v>0</v>
      </c>
      <c r="AF217" s="19">
        <f t="shared" si="206"/>
        <v>0</v>
      </c>
      <c r="AG217" s="16"/>
      <c r="AH217" s="17">
        <f>VLOOKUP(AG217,'DATABASE F&amp;B'!$C$3:$F$216,2,0)</f>
        <v>0</v>
      </c>
      <c r="AI217" s="18">
        <v>1</v>
      </c>
      <c r="AJ217" s="19">
        <f>VLOOKUP(AG217,'DATABASE F&amp;B'!$C$3:$F$216,4,0)</f>
        <v>0</v>
      </c>
      <c r="AK217" s="19">
        <f t="shared" si="207"/>
        <v>0</v>
      </c>
      <c r="AL217" s="16"/>
      <c r="AM217" s="17">
        <f>VLOOKUP(AL217,'DATABASE F&amp;B'!$C$3:$F$216,2,0)</f>
        <v>0</v>
      </c>
      <c r="AN217" s="18">
        <v>1</v>
      </c>
      <c r="AO217" s="19">
        <f>VLOOKUP(AL217,'DATABASE F&amp;B'!$C$3:$F$216,4,0)</f>
        <v>0</v>
      </c>
      <c r="AP217" s="19">
        <f t="shared" si="208"/>
        <v>0</v>
      </c>
      <c r="AQ217" s="16"/>
      <c r="AR217" s="17">
        <f>VLOOKUP(AQ217,'DATABASE F&amp;B'!$C$3:$F$216,2,0)</f>
        <v>0</v>
      </c>
      <c r="AS217" s="18">
        <v>1</v>
      </c>
      <c r="AT217" s="19">
        <f>VLOOKUP(AQ217,'DATABASE F&amp;B'!$C$3:$F$216,4,0)</f>
        <v>0</v>
      </c>
      <c r="AU217" s="19">
        <f t="shared" si="209"/>
        <v>0</v>
      </c>
      <c r="AV217" s="16"/>
      <c r="AW217" s="17">
        <f>VLOOKUP(AV217,'DATABASE F&amp;B'!$C$3:$F$216,2,0)</f>
        <v>0</v>
      </c>
      <c r="AX217" s="18"/>
      <c r="AY217" s="19">
        <f>VLOOKUP(AV217,'DATABASE F&amp;B'!$C$3:$F$216,4,0)</f>
        <v>0</v>
      </c>
      <c r="AZ217" s="19">
        <f t="shared" si="210"/>
        <v>0</v>
      </c>
      <c r="BA217" s="16"/>
      <c r="BB217" s="17">
        <f>VLOOKUP(BA217,'DATABASE F&amp;B'!$C$3:$F$216,2,0)</f>
        <v>0</v>
      </c>
      <c r="BC217" s="18"/>
      <c r="BD217" s="19">
        <f>VLOOKUP(BA217,'DATABASE F&amp;B'!$C$3:$F$216,4,0)</f>
        <v>0</v>
      </c>
      <c r="BE217" s="19">
        <f t="shared" si="211"/>
        <v>0</v>
      </c>
      <c r="BF217" s="16"/>
      <c r="BG217" s="17">
        <f>VLOOKUP(BF217,'DATABASE F&amp;B'!$C$3:$F$216,2,0)</f>
        <v>0</v>
      </c>
      <c r="BH217" s="18"/>
      <c r="BI217" s="19">
        <f>VLOOKUP(BF217,'DATABASE F&amp;B'!$C$3:$F$216,4,0)</f>
        <v>0</v>
      </c>
      <c r="BJ217" s="19">
        <f t="shared" si="212"/>
        <v>0</v>
      </c>
      <c r="BK217" s="16"/>
      <c r="BL217" s="17">
        <f>VLOOKUP(BK217,'DATABASE F&amp;B'!$C$3:$F$210,2,0)</f>
        <v>0</v>
      </c>
      <c r="BM217" s="18"/>
      <c r="BN217" s="19">
        <f>VLOOKUP(BK217,'DATABASE F&amp;B'!$C$3:$F$210,4,0)</f>
        <v>0</v>
      </c>
      <c r="BO217" s="19">
        <f t="shared" si="213"/>
        <v>0</v>
      </c>
      <c r="BP217" s="16"/>
      <c r="BQ217" s="17">
        <f>VLOOKUP(BP217,'DATABASE F&amp;B'!$C$3:$F$210,2,0)</f>
        <v>0</v>
      </c>
      <c r="BR217" s="18"/>
      <c r="BS217" s="19">
        <f>VLOOKUP(BP217,'DATABASE F&amp;B'!$C$3:$F$210,4,0)</f>
        <v>0</v>
      </c>
      <c r="BT217" s="19">
        <f t="shared" si="214"/>
        <v>0</v>
      </c>
      <c r="BU217" s="16"/>
      <c r="BV217" s="17">
        <f>VLOOKUP(BU217,'DATABASE F&amp;B'!$C$3:$F$210,2,0)</f>
        <v>0</v>
      </c>
      <c r="BW217" s="18"/>
      <c r="BX217" s="19">
        <f>VLOOKUP(BU217,'DATABASE F&amp;B'!$C$3:$F$210,4,0)</f>
        <v>0</v>
      </c>
      <c r="BY217" s="19">
        <f t="shared" si="215"/>
        <v>0</v>
      </c>
      <c r="BZ217" s="16"/>
      <c r="CA217" s="17">
        <f>VLOOKUP(BZ217,'DATABASE F&amp;B'!$C$3:$F$210,2,0)</f>
        <v>0</v>
      </c>
      <c r="CB217" s="18"/>
      <c r="CC217" s="19">
        <f>VLOOKUP(BZ217,'DATABASE F&amp;B'!$C$3:$F$210,4,0)</f>
        <v>0</v>
      </c>
      <c r="CD217" s="19">
        <f t="shared" si="216"/>
        <v>0</v>
      </c>
    </row>
    <row r="218" spans="1:82" ht="13.5" x14ac:dyDescent="0.25">
      <c r="A218" s="32" t="str">
        <f t="shared" si="197"/>
        <v>--20</v>
      </c>
      <c r="B218" s="22">
        <f t="shared" si="217"/>
        <v>214</v>
      </c>
      <c r="C218" s="22">
        <f t="shared" si="217"/>
        <v>214</v>
      </c>
      <c r="D218" s="34"/>
      <c r="E218" s="35"/>
      <c r="F218" s="35"/>
      <c r="G218" s="52"/>
      <c r="H218" s="36" t="str">
        <f t="shared" si="195"/>
        <v>RJ--214</v>
      </c>
      <c r="I218" s="36" t="str">
        <f t="shared" si="198"/>
        <v>--20</v>
      </c>
      <c r="J218" s="37" t="e">
        <f>VLOOKUP(D218,Laporan!$C$4:$D$34,2,0)</f>
        <v>#N/A</v>
      </c>
      <c r="K218" s="48"/>
      <c r="L218" s="13"/>
      <c r="M218" s="19">
        <f>SUMIF('DATABASE Room'!$B$3:$B$7,L218,'DATABASE Room'!$D$3:$D$7)</f>
        <v>0</v>
      </c>
      <c r="N218" s="13"/>
      <c r="O218" s="21">
        <f t="shared" si="199"/>
        <v>0</v>
      </c>
      <c r="P218" s="38"/>
      <c r="Q218" s="19">
        <f t="shared" si="200"/>
        <v>0</v>
      </c>
      <c r="R218" s="21">
        <f t="shared" si="201"/>
        <v>0</v>
      </c>
      <c r="S218" s="19">
        <f t="shared" si="202"/>
        <v>3</v>
      </c>
      <c r="T218" s="19">
        <f t="shared" si="203"/>
        <v>0</v>
      </c>
      <c r="U218" s="21">
        <f t="shared" si="204"/>
        <v>0</v>
      </c>
      <c r="V218" s="39"/>
      <c r="W218" s="16"/>
      <c r="X218" s="17">
        <f>VLOOKUP(W218,'DATABASE F&amp;B'!$C$3:$F$216,2,0)</f>
        <v>0</v>
      </c>
      <c r="Y218" s="18"/>
      <c r="Z218" s="19">
        <f>VLOOKUP(W218,'DATABASE F&amp;B'!$C$3:$F$216,4,0)</f>
        <v>0</v>
      </c>
      <c r="AA218" s="19">
        <f t="shared" si="205"/>
        <v>0</v>
      </c>
      <c r="AB218" s="16"/>
      <c r="AC218" s="17">
        <f>VLOOKUP(AB218,'DATABASE F&amp;B'!$C$3:$F$216,2,0)</f>
        <v>0</v>
      </c>
      <c r="AD218" s="18"/>
      <c r="AE218" s="19">
        <f>VLOOKUP(AB218,'DATABASE F&amp;B'!$C$3:$F$216,4,0)</f>
        <v>0</v>
      </c>
      <c r="AF218" s="19">
        <f t="shared" si="206"/>
        <v>0</v>
      </c>
      <c r="AG218" s="16"/>
      <c r="AH218" s="17">
        <f>VLOOKUP(AG218,'DATABASE F&amp;B'!$C$3:$F$216,2,0)</f>
        <v>0</v>
      </c>
      <c r="AI218" s="18">
        <v>1</v>
      </c>
      <c r="AJ218" s="19">
        <f>VLOOKUP(AG218,'DATABASE F&amp;B'!$C$3:$F$216,4,0)</f>
        <v>0</v>
      </c>
      <c r="AK218" s="19">
        <f t="shared" si="207"/>
        <v>0</v>
      </c>
      <c r="AL218" s="16"/>
      <c r="AM218" s="17">
        <f>VLOOKUP(AL218,'DATABASE F&amp;B'!$C$3:$F$216,2,0)</f>
        <v>0</v>
      </c>
      <c r="AN218" s="18">
        <v>1</v>
      </c>
      <c r="AO218" s="19">
        <f>VLOOKUP(AL218,'DATABASE F&amp;B'!$C$3:$F$216,4,0)</f>
        <v>0</v>
      </c>
      <c r="AP218" s="19">
        <f t="shared" si="208"/>
        <v>0</v>
      </c>
      <c r="AQ218" s="16"/>
      <c r="AR218" s="17">
        <f>VLOOKUP(AQ218,'DATABASE F&amp;B'!$C$3:$F$216,2,0)</f>
        <v>0</v>
      </c>
      <c r="AS218" s="18">
        <v>1</v>
      </c>
      <c r="AT218" s="19">
        <f>VLOOKUP(AQ218,'DATABASE F&amp;B'!$C$3:$F$216,4,0)</f>
        <v>0</v>
      </c>
      <c r="AU218" s="19">
        <f t="shared" si="209"/>
        <v>0</v>
      </c>
      <c r="AV218" s="16"/>
      <c r="AW218" s="17">
        <f>VLOOKUP(AV218,'DATABASE F&amp;B'!$C$3:$F$216,2,0)</f>
        <v>0</v>
      </c>
      <c r="AX218" s="18"/>
      <c r="AY218" s="19">
        <f>VLOOKUP(AV218,'DATABASE F&amp;B'!$C$3:$F$216,4,0)</f>
        <v>0</v>
      </c>
      <c r="AZ218" s="19">
        <f t="shared" si="210"/>
        <v>0</v>
      </c>
      <c r="BA218" s="16"/>
      <c r="BB218" s="17">
        <f>VLOOKUP(BA218,'DATABASE F&amp;B'!$C$3:$F$216,2,0)</f>
        <v>0</v>
      </c>
      <c r="BC218" s="18"/>
      <c r="BD218" s="19">
        <f>VLOOKUP(BA218,'DATABASE F&amp;B'!$C$3:$F$216,4,0)</f>
        <v>0</v>
      </c>
      <c r="BE218" s="19">
        <f t="shared" si="211"/>
        <v>0</v>
      </c>
      <c r="BF218" s="16"/>
      <c r="BG218" s="17">
        <f>VLOOKUP(BF218,'DATABASE F&amp;B'!$C$3:$F$216,2,0)</f>
        <v>0</v>
      </c>
      <c r="BH218" s="18"/>
      <c r="BI218" s="19">
        <f>VLOOKUP(BF218,'DATABASE F&amp;B'!$C$3:$F$216,4,0)</f>
        <v>0</v>
      </c>
      <c r="BJ218" s="19">
        <f t="shared" si="212"/>
        <v>0</v>
      </c>
      <c r="BK218" s="16"/>
      <c r="BL218" s="17">
        <f>VLOOKUP(BK218,'DATABASE F&amp;B'!$C$3:$F$210,2,0)</f>
        <v>0</v>
      </c>
      <c r="BM218" s="18"/>
      <c r="BN218" s="19">
        <f>VLOOKUP(BK218,'DATABASE F&amp;B'!$C$3:$F$210,4,0)</f>
        <v>0</v>
      </c>
      <c r="BO218" s="19">
        <f t="shared" si="213"/>
        <v>0</v>
      </c>
      <c r="BP218" s="16"/>
      <c r="BQ218" s="17">
        <f>VLOOKUP(BP218,'DATABASE F&amp;B'!$C$3:$F$210,2,0)</f>
        <v>0</v>
      </c>
      <c r="BR218" s="18"/>
      <c r="BS218" s="19">
        <f>VLOOKUP(BP218,'DATABASE F&amp;B'!$C$3:$F$210,4,0)</f>
        <v>0</v>
      </c>
      <c r="BT218" s="19">
        <f t="shared" si="214"/>
        <v>0</v>
      </c>
      <c r="BU218" s="16"/>
      <c r="BV218" s="17">
        <f>VLOOKUP(BU218,'DATABASE F&amp;B'!$C$3:$F$210,2,0)</f>
        <v>0</v>
      </c>
      <c r="BW218" s="18"/>
      <c r="BX218" s="19">
        <f>VLOOKUP(BU218,'DATABASE F&amp;B'!$C$3:$F$210,4,0)</f>
        <v>0</v>
      </c>
      <c r="BY218" s="19">
        <f t="shared" si="215"/>
        <v>0</v>
      </c>
      <c r="BZ218" s="16"/>
      <c r="CA218" s="17">
        <f>VLOOKUP(BZ218,'DATABASE F&amp;B'!$C$3:$F$210,2,0)</f>
        <v>0</v>
      </c>
      <c r="CB218" s="18"/>
      <c r="CC218" s="19">
        <f>VLOOKUP(BZ218,'DATABASE F&amp;B'!$C$3:$F$210,4,0)</f>
        <v>0</v>
      </c>
      <c r="CD218" s="19">
        <f t="shared" si="216"/>
        <v>0</v>
      </c>
    </row>
    <row r="219" spans="1:82" ht="13.5" x14ac:dyDescent="0.25">
      <c r="A219" s="32" t="str">
        <f t="shared" si="197"/>
        <v>--20</v>
      </c>
      <c r="B219" s="22">
        <f t="shared" si="217"/>
        <v>215</v>
      </c>
      <c r="C219" s="22">
        <f t="shared" si="217"/>
        <v>215</v>
      </c>
      <c r="D219" s="34"/>
      <c r="E219" s="35"/>
      <c r="F219" s="35"/>
      <c r="G219" s="52"/>
      <c r="H219" s="36" t="str">
        <f t="shared" si="195"/>
        <v>RJ--215</v>
      </c>
      <c r="I219" s="36" t="str">
        <f t="shared" si="198"/>
        <v>--20</v>
      </c>
      <c r="J219" s="37" t="e">
        <f>VLOOKUP(D219,Laporan!$C$4:$D$34,2,0)</f>
        <v>#N/A</v>
      </c>
      <c r="K219" s="48"/>
      <c r="L219" s="13"/>
      <c r="M219" s="19">
        <f>SUMIF('DATABASE Room'!$B$3:$B$7,L219,'DATABASE Room'!$D$3:$D$7)</f>
        <v>0</v>
      </c>
      <c r="N219" s="13"/>
      <c r="O219" s="21">
        <f t="shared" si="199"/>
        <v>0</v>
      </c>
      <c r="P219" s="38"/>
      <c r="Q219" s="19">
        <f t="shared" si="200"/>
        <v>0</v>
      </c>
      <c r="R219" s="21">
        <f t="shared" si="201"/>
        <v>0</v>
      </c>
      <c r="S219" s="19">
        <f t="shared" si="202"/>
        <v>3</v>
      </c>
      <c r="T219" s="19">
        <f t="shared" si="203"/>
        <v>0</v>
      </c>
      <c r="U219" s="21">
        <f t="shared" si="204"/>
        <v>0</v>
      </c>
      <c r="V219" s="39"/>
      <c r="W219" s="16"/>
      <c r="X219" s="17">
        <f>VLOOKUP(W219,'DATABASE F&amp;B'!$C$3:$F$216,2,0)</f>
        <v>0</v>
      </c>
      <c r="Y219" s="18"/>
      <c r="Z219" s="19">
        <f>VLOOKUP(W219,'DATABASE F&amp;B'!$C$3:$F$216,4,0)</f>
        <v>0</v>
      </c>
      <c r="AA219" s="19">
        <f t="shared" si="205"/>
        <v>0</v>
      </c>
      <c r="AB219" s="16"/>
      <c r="AC219" s="17">
        <f>VLOOKUP(AB219,'DATABASE F&amp;B'!$C$3:$F$216,2,0)</f>
        <v>0</v>
      </c>
      <c r="AD219" s="18"/>
      <c r="AE219" s="19">
        <f>VLOOKUP(AB219,'DATABASE F&amp;B'!$C$3:$F$216,4,0)</f>
        <v>0</v>
      </c>
      <c r="AF219" s="19">
        <f t="shared" si="206"/>
        <v>0</v>
      </c>
      <c r="AG219" s="16"/>
      <c r="AH219" s="17">
        <f>VLOOKUP(AG219,'DATABASE F&amp;B'!$C$3:$F$216,2,0)</f>
        <v>0</v>
      </c>
      <c r="AI219" s="18">
        <v>1</v>
      </c>
      <c r="AJ219" s="19">
        <f>VLOOKUP(AG219,'DATABASE F&amp;B'!$C$3:$F$216,4,0)</f>
        <v>0</v>
      </c>
      <c r="AK219" s="19">
        <f t="shared" si="207"/>
        <v>0</v>
      </c>
      <c r="AL219" s="16"/>
      <c r="AM219" s="17">
        <f>VLOOKUP(AL219,'DATABASE F&amp;B'!$C$3:$F$216,2,0)</f>
        <v>0</v>
      </c>
      <c r="AN219" s="18">
        <v>1</v>
      </c>
      <c r="AO219" s="19">
        <f>VLOOKUP(AL219,'DATABASE F&amp;B'!$C$3:$F$216,4,0)</f>
        <v>0</v>
      </c>
      <c r="AP219" s="19">
        <f t="shared" si="208"/>
        <v>0</v>
      </c>
      <c r="AQ219" s="16"/>
      <c r="AR219" s="17">
        <f>VLOOKUP(AQ219,'DATABASE F&amp;B'!$C$3:$F$216,2,0)</f>
        <v>0</v>
      </c>
      <c r="AS219" s="18">
        <v>1</v>
      </c>
      <c r="AT219" s="19">
        <f>VLOOKUP(AQ219,'DATABASE F&amp;B'!$C$3:$F$216,4,0)</f>
        <v>0</v>
      </c>
      <c r="AU219" s="19">
        <f t="shared" si="209"/>
        <v>0</v>
      </c>
      <c r="AV219" s="16"/>
      <c r="AW219" s="17">
        <f>VLOOKUP(AV219,'DATABASE F&amp;B'!$C$3:$F$216,2,0)</f>
        <v>0</v>
      </c>
      <c r="AX219" s="18"/>
      <c r="AY219" s="19">
        <f>VLOOKUP(AV219,'DATABASE F&amp;B'!$C$3:$F$216,4,0)</f>
        <v>0</v>
      </c>
      <c r="AZ219" s="19">
        <f t="shared" si="210"/>
        <v>0</v>
      </c>
      <c r="BA219" s="16"/>
      <c r="BB219" s="17">
        <f>VLOOKUP(BA219,'DATABASE F&amp;B'!$C$3:$F$216,2,0)</f>
        <v>0</v>
      </c>
      <c r="BC219" s="18"/>
      <c r="BD219" s="19">
        <f>VLOOKUP(BA219,'DATABASE F&amp;B'!$C$3:$F$216,4,0)</f>
        <v>0</v>
      </c>
      <c r="BE219" s="19">
        <f t="shared" si="211"/>
        <v>0</v>
      </c>
      <c r="BF219" s="16"/>
      <c r="BG219" s="17">
        <f>VLOOKUP(BF219,'DATABASE F&amp;B'!$C$3:$F$216,2,0)</f>
        <v>0</v>
      </c>
      <c r="BH219" s="18"/>
      <c r="BI219" s="19">
        <f>VLOOKUP(BF219,'DATABASE F&amp;B'!$C$3:$F$216,4,0)</f>
        <v>0</v>
      </c>
      <c r="BJ219" s="19">
        <f t="shared" si="212"/>
        <v>0</v>
      </c>
      <c r="BK219" s="16"/>
      <c r="BL219" s="17">
        <f>VLOOKUP(BK219,'DATABASE F&amp;B'!$C$3:$F$210,2,0)</f>
        <v>0</v>
      </c>
      <c r="BM219" s="18"/>
      <c r="BN219" s="19">
        <f>VLOOKUP(BK219,'DATABASE F&amp;B'!$C$3:$F$210,4,0)</f>
        <v>0</v>
      </c>
      <c r="BO219" s="19">
        <f t="shared" si="213"/>
        <v>0</v>
      </c>
      <c r="BP219" s="16"/>
      <c r="BQ219" s="17">
        <f>VLOOKUP(BP219,'DATABASE F&amp;B'!$C$3:$F$210,2,0)</f>
        <v>0</v>
      </c>
      <c r="BR219" s="18"/>
      <c r="BS219" s="19">
        <f>VLOOKUP(BP219,'DATABASE F&amp;B'!$C$3:$F$210,4,0)</f>
        <v>0</v>
      </c>
      <c r="BT219" s="19">
        <f t="shared" si="214"/>
        <v>0</v>
      </c>
      <c r="BU219" s="16"/>
      <c r="BV219" s="17">
        <f>VLOOKUP(BU219,'DATABASE F&amp;B'!$C$3:$F$210,2,0)</f>
        <v>0</v>
      </c>
      <c r="BW219" s="18"/>
      <c r="BX219" s="19">
        <f>VLOOKUP(BU219,'DATABASE F&amp;B'!$C$3:$F$210,4,0)</f>
        <v>0</v>
      </c>
      <c r="BY219" s="19">
        <f t="shared" si="215"/>
        <v>0</v>
      </c>
      <c r="BZ219" s="16"/>
      <c r="CA219" s="17">
        <f>VLOOKUP(BZ219,'DATABASE F&amp;B'!$C$3:$F$210,2,0)</f>
        <v>0</v>
      </c>
      <c r="CB219" s="18"/>
      <c r="CC219" s="19">
        <f>VLOOKUP(BZ219,'DATABASE F&amp;B'!$C$3:$F$210,4,0)</f>
        <v>0</v>
      </c>
      <c r="CD219" s="19">
        <f t="shared" si="216"/>
        <v>0</v>
      </c>
    </row>
    <row r="220" spans="1:82" ht="13.5" x14ac:dyDescent="0.25">
      <c r="A220" s="32" t="str">
        <f t="shared" si="197"/>
        <v>--20</v>
      </c>
      <c r="B220" s="22">
        <f t="shared" si="217"/>
        <v>216</v>
      </c>
      <c r="C220" s="22">
        <f t="shared" si="217"/>
        <v>216</v>
      </c>
      <c r="D220" s="34"/>
      <c r="E220" s="35"/>
      <c r="F220" s="35"/>
      <c r="G220" s="52"/>
      <c r="H220" s="36" t="str">
        <f t="shared" si="195"/>
        <v>RJ--216</v>
      </c>
      <c r="I220" s="36" t="str">
        <f t="shared" si="198"/>
        <v>--20</v>
      </c>
      <c r="J220" s="37" t="e">
        <f>VLOOKUP(D220,Laporan!$C$4:$D$34,2,0)</f>
        <v>#N/A</v>
      </c>
      <c r="K220" s="48"/>
      <c r="L220" s="13"/>
      <c r="M220" s="19">
        <f>SUMIF('DATABASE Room'!$B$3:$B$7,L220,'DATABASE Room'!$D$3:$D$7)</f>
        <v>0</v>
      </c>
      <c r="N220" s="13"/>
      <c r="O220" s="21">
        <f t="shared" si="199"/>
        <v>0</v>
      </c>
      <c r="P220" s="38"/>
      <c r="Q220" s="19">
        <f t="shared" si="200"/>
        <v>0</v>
      </c>
      <c r="R220" s="21">
        <f t="shared" si="201"/>
        <v>0</v>
      </c>
      <c r="S220" s="19">
        <f t="shared" si="202"/>
        <v>3</v>
      </c>
      <c r="T220" s="19">
        <f t="shared" si="203"/>
        <v>0</v>
      </c>
      <c r="U220" s="21">
        <f t="shared" si="204"/>
        <v>0</v>
      </c>
      <c r="V220" s="39"/>
      <c r="W220" s="16"/>
      <c r="X220" s="17">
        <f>VLOOKUP(W220,'DATABASE F&amp;B'!$C$3:$F$216,2,0)</f>
        <v>0</v>
      </c>
      <c r="Y220" s="18"/>
      <c r="Z220" s="19">
        <f>VLOOKUP(W220,'DATABASE F&amp;B'!$C$3:$F$216,4,0)</f>
        <v>0</v>
      </c>
      <c r="AA220" s="19">
        <f t="shared" si="205"/>
        <v>0</v>
      </c>
      <c r="AB220" s="16"/>
      <c r="AC220" s="17">
        <f>VLOOKUP(AB220,'DATABASE F&amp;B'!$C$3:$F$216,2,0)</f>
        <v>0</v>
      </c>
      <c r="AD220" s="18"/>
      <c r="AE220" s="19">
        <f>VLOOKUP(AB220,'DATABASE F&amp;B'!$C$3:$F$216,4,0)</f>
        <v>0</v>
      </c>
      <c r="AF220" s="19">
        <f t="shared" si="206"/>
        <v>0</v>
      </c>
      <c r="AG220" s="16"/>
      <c r="AH220" s="17">
        <f>VLOOKUP(AG220,'DATABASE F&amp;B'!$C$3:$F$216,2,0)</f>
        <v>0</v>
      </c>
      <c r="AI220" s="18">
        <v>1</v>
      </c>
      <c r="AJ220" s="19">
        <f>VLOOKUP(AG220,'DATABASE F&amp;B'!$C$3:$F$216,4,0)</f>
        <v>0</v>
      </c>
      <c r="AK220" s="19">
        <f t="shared" si="207"/>
        <v>0</v>
      </c>
      <c r="AL220" s="16"/>
      <c r="AM220" s="17">
        <f>VLOOKUP(AL220,'DATABASE F&amp;B'!$C$3:$F$216,2,0)</f>
        <v>0</v>
      </c>
      <c r="AN220" s="18">
        <v>1</v>
      </c>
      <c r="AO220" s="19">
        <f>VLOOKUP(AL220,'DATABASE F&amp;B'!$C$3:$F$216,4,0)</f>
        <v>0</v>
      </c>
      <c r="AP220" s="19">
        <f t="shared" si="208"/>
        <v>0</v>
      </c>
      <c r="AQ220" s="16"/>
      <c r="AR220" s="17">
        <f>VLOOKUP(AQ220,'DATABASE F&amp;B'!$C$3:$F$216,2,0)</f>
        <v>0</v>
      </c>
      <c r="AS220" s="18">
        <v>1</v>
      </c>
      <c r="AT220" s="19">
        <f>VLOOKUP(AQ220,'DATABASE F&amp;B'!$C$3:$F$216,4,0)</f>
        <v>0</v>
      </c>
      <c r="AU220" s="19">
        <f t="shared" si="209"/>
        <v>0</v>
      </c>
      <c r="AV220" s="16"/>
      <c r="AW220" s="17">
        <f>VLOOKUP(AV220,'DATABASE F&amp;B'!$C$3:$F$216,2,0)</f>
        <v>0</v>
      </c>
      <c r="AX220" s="18"/>
      <c r="AY220" s="19">
        <f>VLOOKUP(AV220,'DATABASE F&amp;B'!$C$3:$F$216,4,0)</f>
        <v>0</v>
      </c>
      <c r="AZ220" s="19">
        <f t="shared" si="210"/>
        <v>0</v>
      </c>
      <c r="BA220" s="16"/>
      <c r="BB220" s="17">
        <f>VLOOKUP(BA220,'DATABASE F&amp;B'!$C$3:$F$216,2,0)</f>
        <v>0</v>
      </c>
      <c r="BC220" s="18"/>
      <c r="BD220" s="19">
        <f>VLOOKUP(BA220,'DATABASE F&amp;B'!$C$3:$F$216,4,0)</f>
        <v>0</v>
      </c>
      <c r="BE220" s="19">
        <f t="shared" si="211"/>
        <v>0</v>
      </c>
      <c r="BF220" s="16"/>
      <c r="BG220" s="17">
        <f>VLOOKUP(BF220,'DATABASE F&amp;B'!$C$3:$F$216,2,0)</f>
        <v>0</v>
      </c>
      <c r="BH220" s="18"/>
      <c r="BI220" s="19">
        <f>VLOOKUP(BF220,'DATABASE F&amp;B'!$C$3:$F$216,4,0)</f>
        <v>0</v>
      </c>
      <c r="BJ220" s="19">
        <f t="shared" si="212"/>
        <v>0</v>
      </c>
      <c r="BK220" s="16"/>
      <c r="BL220" s="17">
        <f>VLOOKUP(BK220,'DATABASE F&amp;B'!$C$3:$F$210,2,0)</f>
        <v>0</v>
      </c>
      <c r="BM220" s="18"/>
      <c r="BN220" s="19">
        <f>VLOOKUP(BK220,'DATABASE F&amp;B'!$C$3:$F$210,4,0)</f>
        <v>0</v>
      </c>
      <c r="BO220" s="19">
        <f t="shared" si="213"/>
        <v>0</v>
      </c>
      <c r="BP220" s="16"/>
      <c r="BQ220" s="17">
        <f>VLOOKUP(BP220,'DATABASE F&amp;B'!$C$3:$F$210,2,0)</f>
        <v>0</v>
      </c>
      <c r="BR220" s="18"/>
      <c r="BS220" s="19">
        <f>VLOOKUP(BP220,'DATABASE F&amp;B'!$C$3:$F$210,4,0)</f>
        <v>0</v>
      </c>
      <c r="BT220" s="19">
        <f t="shared" si="214"/>
        <v>0</v>
      </c>
      <c r="BU220" s="16"/>
      <c r="BV220" s="17">
        <f>VLOOKUP(BU220,'DATABASE F&amp;B'!$C$3:$F$210,2,0)</f>
        <v>0</v>
      </c>
      <c r="BW220" s="18"/>
      <c r="BX220" s="19">
        <f>VLOOKUP(BU220,'DATABASE F&amp;B'!$C$3:$F$210,4,0)</f>
        <v>0</v>
      </c>
      <c r="BY220" s="19">
        <f t="shared" si="215"/>
        <v>0</v>
      </c>
      <c r="BZ220" s="16"/>
      <c r="CA220" s="17">
        <f>VLOOKUP(BZ220,'DATABASE F&amp;B'!$C$3:$F$210,2,0)</f>
        <v>0</v>
      </c>
      <c r="CB220" s="18"/>
      <c r="CC220" s="19">
        <f>VLOOKUP(BZ220,'DATABASE F&amp;B'!$C$3:$F$210,4,0)</f>
        <v>0</v>
      </c>
      <c r="CD220" s="19">
        <f t="shared" si="216"/>
        <v>0</v>
      </c>
    </row>
    <row r="221" spans="1:82" ht="13.5" x14ac:dyDescent="0.25">
      <c r="A221" s="32" t="str">
        <f t="shared" si="197"/>
        <v>--20</v>
      </c>
      <c r="B221" s="22">
        <f t="shared" si="217"/>
        <v>217</v>
      </c>
      <c r="C221" s="22">
        <f t="shared" si="217"/>
        <v>217</v>
      </c>
      <c r="D221" s="34"/>
      <c r="E221" s="35"/>
      <c r="F221" s="35"/>
      <c r="G221" s="52"/>
      <c r="H221" s="36" t="str">
        <f t="shared" si="195"/>
        <v>RJ--217</v>
      </c>
      <c r="I221" s="36" t="str">
        <f t="shared" si="198"/>
        <v>--20</v>
      </c>
      <c r="J221" s="37" t="e">
        <f>VLOOKUP(D221,Laporan!$C$4:$D$34,2,0)</f>
        <v>#N/A</v>
      </c>
      <c r="K221" s="48"/>
      <c r="L221" s="13"/>
      <c r="M221" s="19">
        <f>SUMIF('DATABASE Room'!$B$3:$B$7,L221,'DATABASE Room'!$D$3:$D$7)</f>
        <v>0</v>
      </c>
      <c r="N221" s="13"/>
      <c r="O221" s="21">
        <f t="shared" si="199"/>
        <v>0</v>
      </c>
      <c r="P221" s="38"/>
      <c r="Q221" s="19">
        <f t="shared" si="200"/>
        <v>0</v>
      </c>
      <c r="R221" s="21">
        <f t="shared" si="201"/>
        <v>0</v>
      </c>
      <c r="S221" s="19">
        <f t="shared" si="202"/>
        <v>3</v>
      </c>
      <c r="T221" s="19">
        <f t="shared" si="203"/>
        <v>0</v>
      </c>
      <c r="U221" s="21">
        <f t="shared" si="204"/>
        <v>0</v>
      </c>
      <c r="V221" s="39"/>
      <c r="W221" s="16"/>
      <c r="X221" s="17">
        <f>VLOOKUP(W221,'DATABASE F&amp;B'!$C$3:$F$216,2,0)</f>
        <v>0</v>
      </c>
      <c r="Y221" s="18"/>
      <c r="Z221" s="19">
        <f>VLOOKUP(W221,'DATABASE F&amp;B'!$C$3:$F$216,4,0)</f>
        <v>0</v>
      </c>
      <c r="AA221" s="19">
        <f t="shared" si="205"/>
        <v>0</v>
      </c>
      <c r="AB221" s="16"/>
      <c r="AC221" s="17">
        <f>VLOOKUP(AB221,'DATABASE F&amp;B'!$C$3:$F$216,2,0)</f>
        <v>0</v>
      </c>
      <c r="AD221" s="18"/>
      <c r="AE221" s="19">
        <f>VLOOKUP(AB221,'DATABASE F&amp;B'!$C$3:$F$216,4,0)</f>
        <v>0</v>
      </c>
      <c r="AF221" s="19">
        <f t="shared" si="206"/>
        <v>0</v>
      </c>
      <c r="AG221" s="16"/>
      <c r="AH221" s="17">
        <f>VLOOKUP(AG221,'DATABASE F&amp;B'!$C$3:$F$216,2,0)</f>
        <v>0</v>
      </c>
      <c r="AI221" s="18">
        <v>1</v>
      </c>
      <c r="AJ221" s="19">
        <f>VLOOKUP(AG221,'DATABASE F&amp;B'!$C$3:$F$216,4,0)</f>
        <v>0</v>
      </c>
      <c r="AK221" s="19">
        <f t="shared" si="207"/>
        <v>0</v>
      </c>
      <c r="AL221" s="16"/>
      <c r="AM221" s="17">
        <f>VLOOKUP(AL221,'DATABASE F&amp;B'!$C$3:$F$216,2,0)</f>
        <v>0</v>
      </c>
      <c r="AN221" s="18">
        <v>1</v>
      </c>
      <c r="AO221" s="19">
        <f>VLOOKUP(AL221,'DATABASE F&amp;B'!$C$3:$F$216,4,0)</f>
        <v>0</v>
      </c>
      <c r="AP221" s="19">
        <f t="shared" si="208"/>
        <v>0</v>
      </c>
      <c r="AQ221" s="16"/>
      <c r="AR221" s="17">
        <f>VLOOKUP(AQ221,'DATABASE F&amp;B'!$C$3:$F$216,2,0)</f>
        <v>0</v>
      </c>
      <c r="AS221" s="18">
        <v>1</v>
      </c>
      <c r="AT221" s="19">
        <f>VLOOKUP(AQ221,'DATABASE F&amp;B'!$C$3:$F$216,4,0)</f>
        <v>0</v>
      </c>
      <c r="AU221" s="19">
        <f t="shared" si="209"/>
        <v>0</v>
      </c>
      <c r="AV221" s="16"/>
      <c r="AW221" s="17">
        <f>VLOOKUP(AV221,'DATABASE F&amp;B'!$C$3:$F$216,2,0)</f>
        <v>0</v>
      </c>
      <c r="AX221" s="18"/>
      <c r="AY221" s="19">
        <f>VLOOKUP(AV221,'DATABASE F&amp;B'!$C$3:$F$216,4,0)</f>
        <v>0</v>
      </c>
      <c r="AZ221" s="19">
        <f t="shared" si="210"/>
        <v>0</v>
      </c>
      <c r="BA221" s="16"/>
      <c r="BB221" s="17">
        <f>VLOOKUP(BA221,'DATABASE F&amp;B'!$C$3:$F$216,2,0)</f>
        <v>0</v>
      </c>
      <c r="BC221" s="18"/>
      <c r="BD221" s="19">
        <f>VLOOKUP(BA221,'DATABASE F&amp;B'!$C$3:$F$216,4,0)</f>
        <v>0</v>
      </c>
      <c r="BE221" s="19">
        <f t="shared" si="211"/>
        <v>0</v>
      </c>
      <c r="BF221" s="16"/>
      <c r="BG221" s="17">
        <f>VLOOKUP(BF221,'DATABASE F&amp;B'!$C$3:$F$216,2,0)</f>
        <v>0</v>
      </c>
      <c r="BH221" s="18"/>
      <c r="BI221" s="19">
        <f>VLOOKUP(BF221,'DATABASE F&amp;B'!$C$3:$F$216,4,0)</f>
        <v>0</v>
      </c>
      <c r="BJ221" s="19">
        <f t="shared" si="212"/>
        <v>0</v>
      </c>
      <c r="BK221" s="16"/>
      <c r="BL221" s="17">
        <f>VLOOKUP(BK221,'DATABASE F&amp;B'!$C$3:$F$210,2,0)</f>
        <v>0</v>
      </c>
      <c r="BM221" s="18"/>
      <c r="BN221" s="19">
        <f>VLOOKUP(BK221,'DATABASE F&amp;B'!$C$3:$F$210,4,0)</f>
        <v>0</v>
      </c>
      <c r="BO221" s="19">
        <f t="shared" si="213"/>
        <v>0</v>
      </c>
      <c r="BP221" s="16"/>
      <c r="BQ221" s="17">
        <f>VLOOKUP(BP221,'DATABASE F&amp;B'!$C$3:$F$210,2,0)</f>
        <v>0</v>
      </c>
      <c r="BR221" s="18"/>
      <c r="BS221" s="19">
        <f>VLOOKUP(BP221,'DATABASE F&amp;B'!$C$3:$F$210,4,0)</f>
        <v>0</v>
      </c>
      <c r="BT221" s="19">
        <f t="shared" si="214"/>
        <v>0</v>
      </c>
      <c r="BU221" s="16"/>
      <c r="BV221" s="17">
        <f>VLOOKUP(BU221,'DATABASE F&amp;B'!$C$3:$F$210,2,0)</f>
        <v>0</v>
      </c>
      <c r="BW221" s="18"/>
      <c r="BX221" s="19">
        <f>VLOOKUP(BU221,'DATABASE F&amp;B'!$C$3:$F$210,4,0)</f>
        <v>0</v>
      </c>
      <c r="BY221" s="19">
        <f t="shared" si="215"/>
        <v>0</v>
      </c>
      <c r="BZ221" s="16"/>
      <c r="CA221" s="17">
        <f>VLOOKUP(BZ221,'DATABASE F&amp;B'!$C$3:$F$210,2,0)</f>
        <v>0</v>
      </c>
      <c r="CB221" s="18"/>
      <c r="CC221" s="19">
        <f>VLOOKUP(BZ221,'DATABASE F&amp;B'!$C$3:$F$210,4,0)</f>
        <v>0</v>
      </c>
      <c r="CD221" s="19">
        <f t="shared" si="216"/>
        <v>0</v>
      </c>
    </row>
    <row r="222" spans="1:82" ht="13.5" x14ac:dyDescent="0.25">
      <c r="A222" s="32" t="str">
        <f t="shared" si="197"/>
        <v>--20</v>
      </c>
      <c r="B222" s="22">
        <f t="shared" si="217"/>
        <v>218</v>
      </c>
      <c r="C222" s="22">
        <f t="shared" si="217"/>
        <v>218</v>
      </c>
      <c r="D222" s="34"/>
      <c r="E222" s="35"/>
      <c r="F222" s="35"/>
      <c r="G222" s="52"/>
      <c r="H222" s="36" t="str">
        <f t="shared" si="195"/>
        <v>RJ--218</v>
      </c>
      <c r="I222" s="36" t="str">
        <f t="shared" si="198"/>
        <v>--20</v>
      </c>
      <c r="J222" s="37" t="e">
        <f>VLOOKUP(D222,Laporan!$C$4:$D$34,2,0)</f>
        <v>#N/A</v>
      </c>
      <c r="K222" s="48"/>
      <c r="L222" s="13"/>
      <c r="M222" s="19">
        <f>SUMIF('DATABASE Room'!$B$3:$B$7,L222,'DATABASE Room'!$D$3:$D$7)</f>
        <v>0</v>
      </c>
      <c r="N222" s="13"/>
      <c r="O222" s="21">
        <f t="shared" si="199"/>
        <v>0</v>
      </c>
      <c r="P222" s="38"/>
      <c r="Q222" s="19">
        <f t="shared" si="200"/>
        <v>0</v>
      </c>
      <c r="R222" s="21">
        <f t="shared" si="201"/>
        <v>0</v>
      </c>
      <c r="S222" s="19">
        <f t="shared" si="202"/>
        <v>3</v>
      </c>
      <c r="T222" s="19">
        <f t="shared" si="203"/>
        <v>0</v>
      </c>
      <c r="U222" s="21">
        <f t="shared" si="204"/>
        <v>0</v>
      </c>
      <c r="V222" s="39"/>
      <c r="W222" s="16"/>
      <c r="X222" s="17">
        <f>VLOOKUP(W222,'DATABASE F&amp;B'!$C$3:$F$216,2,0)</f>
        <v>0</v>
      </c>
      <c r="Y222" s="18"/>
      <c r="Z222" s="19">
        <f>VLOOKUP(W222,'DATABASE F&amp;B'!$C$3:$F$216,4,0)</f>
        <v>0</v>
      </c>
      <c r="AA222" s="19">
        <f t="shared" si="205"/>
        <v>0</v>
      </c>
      <c r="AB222" s="16"/>
      <c r="AC222" s="17">
        <f>VLOOKUP(AB222,'DATABASE F&amp;B'!$C$3:$F$216,2,0)</f>
        <v>0</v>
      </c>
      <c r="AD222" s="18"/>
      <c r="AE222" s="19">
        <f>VLOOKUP(AB222,'DATABASE F&amp;B'!$C$3:$F$216,4,0)</f>
        <v>0</v>
      </c>
      <c r="AF222" s="19">
        <f t="shared" si="206"/>
        <v>0</v>
      </c>
      <c r="AG222" s="16"/>
      <c r="AH222" s="17">
        <f>VLOOKUP(AG222,'DATABASE F&amp;B'!$C$3:$F$216,2,0)</f>
        <v>0</v>
      </c>
      <c r="AI222" s="18">
        <v>1</v>
      </c>
      <c r="AJ222" s="19">
        <f>VLOOKUP(AG222,'DATABASE F&amp;B'!$C$3:$F$216,4,0)</f>
        <v>0</v>
      </c>
      <c r="AK222" s="19">
        <f t="shared" si="207"/>
        <v>0</v>
      </c>
      <c r="AL222" s="16"/>
      <c r="AM222" s="17">
        <f>VLOOKUP(AL222,'DATABASE F&amp;B'!$C$3:$F$216,2,0)</f>
        <v>0</v>
      </c>
      <c r="AN222" s="18">
        <v>1</v>
      </c>
      <c r="AO222" s="19">
        <f>VLOOKUP(AL222,'DATABASE F&amp;B'!$C$3:$F$216,4,0)</f>
        <v>0</v>
      </c>
      <c r="AP222" s="19">
        <f t="shared" si="208"/>
        <v>0</v>
      </c>
      <c r="AQ222" s="16"/>
      <c r="AR222" s="17">
        <f>VLOOKUP(AQ222,'DATABASE F&amp;B'!$C$3:$F$216,2,0)</f>
        <v>0</v>
      </c>
      <c r="AS222" s="18">
        <v>1</v>
      </c>
      <c r="AT222" s="19">
        <f>VLOOKUP(AQ222,'DATABASE F&amp;B'!$C$3:$F$216,4,0)</f>
        <v>0</v>
      </c>
      <c r="AU222" s="19">
        <f t="shared" si="209"/>
        <v>0</v>
      </c>
      <c r="AV222" s="16"/>
      <c r="AW222" s="17">
        <f>VLOOKUP(AV222,'DATABASE F&amp;B'!$C$3:$F$216,2,0)</f>
        <v>0</v>
      </c>
      <c r="AX222" s="18"/>
      <c r="AY222" s="19">
        <f>VLOOKUP(AV222,'DATABASE F&amp;B'!$C$3:$F$216,4,0)</f>
        <v>0</v>
      </c>
      <c r="AZ222" s="19">
        <f t="shared" si="210"/>
        <v>0</v>
      </c>
      <c r="BA222" s="16"/>
      <c r="BB222" s="17">
        <f>VLOOKUP(BA222,'DATABASE F&amp;B'!$C$3:$F$216,2,0)</f>
        <v>0</v>
      </c>
      <c r="BC222" s="18"/>
      <c r="BD222" s="19">
        <f>VLOOKUP(BA222,'DATABASE F&amp;B'!$C$3:$F$216,4,0)</f>
        <v>0</v>
      </c>
      <c r="BE222" s="19">
        <f t="shared" si="211"/>
        <v>0</v>
      </c>
      <c r="BF222" s="16"/>
      <c r="BG222" s="17">
        <f>VLOOKUP(BF222,'DATABASE F&amp;B'!$C$3:$F$216,2,0)</f>
        <v>0</v>
      </c>
      <c r="BH222" s="18"/>
      <c r="BI222" s="19">
        <f>VLOOKUP(BF222,'DATABASE F&amp;B'!$C$3:$F$216,4,0)</f>
        <v>0</v>
      </c>
      <c r="BJ222" s="19">
        <f t="shared" si="212"/>
        <v>0</v>
      </c>
      <c r="BK222" s="16"/>
      <c r="BL222" s="17">
        <f>VLOOKUP(BK222,'DATABASE F&amp;B'!$C$3:$F$210,2,0)</f>
        <v>0</v>
      </c>
      <c r="BM222" s="18"/>
      <c r="BN222" s="19">
        <f>VLOOKUP(BK222,'DATABASE F&amp;B'!$C$3:$F$210,4,0)</f>
        <v>0</v>
      </c>
      <c r="BO222" s="19">
        <f t="shared" si="213"/>
        <v>0</v>
      </c>
      <c r="BP222" s="16"/>
      <c r="BQ222" s="17">
        <f>VLOOKUP(BP222,'DATABASE F&amp;B'!$C$3:$F$210,2,0)</f>
        <v>0</v>
      </c>
      <c r="BR222" s="18"/>
      <c r="BS222" s="19">
        <f>VLOOKUP(BP222,'DATABASE F&amp;B'!$C$3:$F$210,4,0)</f>
        <v>0</v>
      </c>
      <c r="BT222" s="19">
        <f t="shared" si="214"/>
        <v>0</v>
      </c>
      <c r="BU222" s="16"/>
      <c r="BV222" s="17">
        <f>VLOOKUP(BU222,'DATABASE F&amp;B'!$C$3:$F$210,2,0)</f>
        <v>0</v>
      </c>
      <c r="BW222" s="18"/>
      <c r="BX222" s="19">
        <f>VLOOKUP(BU222,'DATABASE F&amp;B'!$C$3:$F$210,4,0)</f>
        <v>0</v>
      </c>
      <c r="BY222" s="19">
        <f t="shared" si="215"/>
        <v>0</v>
      </c>
      <c r="BZ222" s="16"/>
      <c r="CA222" s="17">
        <f>VLOOKUP(BZ222,'DATABASE F&amp;B'!$C$3:$F$210,2,0)</f>
        <v>0</v>
      </c>
      <c r="CB222" s="18"/>
      <c r="CC222" s="19">
        <f>VLOOKUP(BZ222,'DATABASE F&amp;B'!$C$3:$F$210,4,0)</f>
        <v>0</v>
      </c>
      <c r="CD222" s="19">
        <f t="shared" si="216"/>
        <v>0</v>
      </c>
    </row>
    <row r="223" spans="1:82" ht="13.5" x14ac:dyDescent="0.25">
      <c r="A223" s="32" t="str">
        <f t="shared" si="197"/>
        <v>--20</v>
      </c>
      <c r="B223" s="22">
        <f t="shared" si="217"/>
        <v>219</v>
      </c>
      <c r="C223" s="22">
        <f t="shared" si="217"/>
        <v>219</v>
      </c>
      <c r="D223" s="34"/>
      <c r="E223" s="35"/>
      <c r="F223" s="35"/>
      <c r="G223" s="52"/>
      <c r="H223" s="36" t="str">
        <f t="shared" si="195"/>
        <v>RJ--219</v>
      </c>
      <c r="I223" s="36" t="str">
        <f t="shared" si="198"/>
        <v>--20</v>
      </c>
      <c r="J223" s="37" t="e">
        <f>VLOOKUP(D223,Laporan!$C$4:$D$34,2,0)</f>
        <v>#N/A</v>
      </c>
      <c r="K223" s="48"/>
      <c r="L223" s="13"/>
      <c r="M223" s="19">
        <f>SUMIF('DATABASE Room'!$B$3:$B$7,L223,'DATABASE Room'!$D$3:$D$7)</f>
        <v>0</v>
      </c>
      <c r="N223" s="13"/>
      <c r="O223" s="21">
        <f t="shared" si="199"/>
        <v>0</v>
      </c>
      <c r="P223" s="38"/>
      <c r="Q223" s="19">
        <f t="shared" si="200"/>
        <v>0</v>
      </c>
      <c r="R223" s="21">
        <f t="shared" si="201"/>
        <v>0</v>
      </c>
      <c r="S223" s="19">
        <f t="shared" si="202"/>
        <v>3</v>
      </c>
      <c r="T223" s="19">
        <f t="shared" si="203"/>
        <v>0</v>
      </c>
      <c r="U223" s="21">
        <f t="shared" si="204"/>
        <v>0</v>
      </c>
      <c r="V223" s="39"/>
      <c r="W223" s="16"/>
      <c r="X223" s="17">
        <f>VLOOKUP(W223,'DATABASE F&amp;B'!$C$3:$F$216,2,0)</f>
        <v>0</v>
      </c>
      <c r="Y223" s="18"/>
      <c r="Z223" s="19">
        <f>VLOOKUP(W223,'DATABASE F&amp;B'!$C$3:$F$216,4,0)</f>
        <v>0</v>
      </c>
      <c r="AA223" s="19">
        <f t="shared" si="205"/>
        <v>0</v>
      </c>
      <c r="AB223" s="16"/>
      <c r="AC223" s="17">
        <f>VLOOKUP(AB223,'DATABASE F&amp;B'!$C$3:$F$216,2,0)</f>
        <v>0</v>
      </c>
      <c r="AD223" s="18"/>
      <c r="AE223" s="19">
        <f>VLOOKUP(AB223,'DATABASE F&amp;B'!$C$3:$F$216,4,0)</f>
        <v>0</v>
      </c>
      <c r="AF223" s="19">
        <f t="shared" si="206"/>
        <v>0</v>
      </c>
      <c r="AG223" s="16"/>
      <c r="AH223" s="17">
        <f>VLOOKUP(AG223,'DATABASE F&amp;B'!$C$3:$F$216,2,0)</f>
        <v>0</v>
      </c>
      <c r="AI223" s="18">
        <v>1</v>
      </c>
      <c r="AJ223" s="19">
        <f>VLOOKUP(AG223,'DATABASE F&amp;B'!$C$3:$F$216,4,0)</f>
        <v>0</v>
      </c>
      <c r="AK223" s="19">
        <f t="shared" si="207"/>
        <v>0</v>
      </c>
      <c r="AL223" s="16"/>
      <c r="AM223" s="17">
        <f>VLOOKUP(AL223,'DATABASE F&amp;B'!$C$3:$F$216,2,0)</f>
        <v>0</v>
      </c>
      <c r="AN223" s="18">
        <v>1</v>
      </c>
      <c r="AO223" s="19">
        <f>VLOOKUP(AL223,'DATABASE F&amp;B'!$C$3:$F$216,4,0)</f>
        <v>0</v>
      </c>
      <c r="AP223" s="19">
        <f t="shared" si="208"/>
        <v>0</v>
      </c>
      <c r="AQ223" s="16"/>
      <c r="AR223" s="17">
        <f>VLOOKUP(AQ223,'DATABASE F&amp;B'!$C$3:$F$216,2,0)</f>
        <v>0</v>
      </c>
      <c r="AS223" s="18">
        <v>1</v>
      </c>
      <c r="AT223" s="19">
        <f>VLOOKUP(AQ223,'DATABASE F&amp;B'!$C$3:$F$216,4,0)</f>
        <v>0</v>
      </c>
      <c r="AU223" s="19">
        <f t="shared" si="209"/>
        <v>0</v>
      </c>
      <c r="AV223" s="16"/>
      <c r="AW223" s="17">
        <f>VLOOKUP(AV223,'DATABASE F&amp;B'!$C$3:$F$216,2,0)</f>
        <v>0</v>
      </c>
      <c r="AX223" s="18"/>
      <c r="AY223" s="19">
        <f>VLOOKUP(AV223,'DATABASE F&amp;B'!$C$3:$F$216,4,0)</f>
        <v>0</v>
      </c>
      <c r="AZ223" s="19">
        <f t="shared" si="210"/>
        <v>0</v>
      </c>
      <c r="BA223" s="16"/>
      <c r="BB223" s="17">
        <f>VLOOKUP(BA223,'DATABASE F&amp;B'!$C$3:$F$216,2,0)</f>
        <v>0</v>
      </c>
      <c r="BC223" s="18"/>
      <c r="BD223" s="19">
        <f>VLOOKUP(BA223,'DATABASE F&amp;B'!$C$3:$F$216,4,0)</f>
        <v>0</v>
      </c>
      <c r="BE223" s="19">
        <f t="shared" si="211"/>
        <v>0</v>
      </c>
      <c r="BF223" s="16"/>
      <c r="BG223" s="17">
        <f>VLOOKUP(BF223,'DATABASE F&amp;B'!$C$3:$F$216,2,0)</f>
        <v>0</v>
      </c>
      <c r="BH223" s="18"/>
      <c r="BI223" s="19">
        <f>VLOOKUP(BF223,'DATABASE F&amp;B'!$C$3:$F$216,4,0)</f>
        <v>0</v>
      </c>
      <c r="BJ223" s="19">
        <f t="shared" si="212"/>
        <v>0</v>
      </c>
      <c r="BK223" s="16"/>
      <c r="BL223" s="17">
        <f>VLOOKUP(BK223,'DATABASE F&amp;B'!$C$3:$F$210,2,0)</f>
        <v>0</v>
      </c>
      <c r="BM223" s="18"/>
      <c r="BN223" s="19">
        <f>VLOOKUP(BK223,'DATABASE F&amp;B'!$C$3:$F$210,4,0)</f>
        <v>0</v>
      </c>
      <c r="BO223" s="19">
        <f t="shared" si="213"/>
        <v>0</v>
      </c>
      <c r="BP223" s="16"/>
      <c r="BQ223" s="17">
        <f>VLOOKUP(BP223,'DATABASE F&amp;B'!$C$3:$F$210,2,0)</f>
        <v>0</v>
      </c>
      <c r="BR223" s="18"/>
      <c r="BS223" s="19">
        <f>VLOOKUP(BP223,'DATABASE F&amp;B'!$C$3:$F$210,4,0)</f>
        <v>0</v>
      </c>
      <c r="BT223" s="19">
        <f t="shared" si="214"/>
        <v>0</v>
      </c>
      <c r="BU223" s="16"/>
      <c r="BV223" s="17">
        <f>VLOOKUP(BU223,'DATABASE F&amp;B'!$C$3:$F$210,2,0)</f>
        <v>0</v>
      </c>
      <c r="BW223" s="18"/>
      <c r="BX223" s="19">
        <f>VLOOKUP(BU223,'DATABASE F&amp;B'!$C$3:$F$210,4,0)</f>
        <v>0</v>
      </c>
      <c r="BY223" s="19">
        <f t="shared" si="215"/>
        <v>0</v>
      </c>
      <c r="BZ223" s="16"/>
      <c r="CA223" s="17">
        <f>VLOOKUP(BZ223,'DATABASE F&amp;B'!$C$3:$F$210,2,0)</f>
        <v>0</v>
      </c>
      <c r="CB223" s="18"/>
      <c r="CC223" s="19">
        <f>VLOOKUP(BZ223,'DATABASE F&amp;B'!$C$3:$F$210,4,0)</f>
        <v>0</v>
      </c>
      <c r="CD223" s="19">
        <f t="shared" si="216"/>
        <v>0</v>
      </c>
    </row>
    <row r="224" spans="1:82" ht="13.5" x14ac:dyDescent="0.25">
      <c r="A224" s="32" t="str">
        <f t="shared" si="197"/>
        <v>--20</v>
      </c>
      <c r="B224" s="22">
        <f t="shared" si="217"/>
        <v>220</v>
      </c>
      <c r="C224" s="22">
        <f t="shared" si="217"/>
        <v>220</v>
      </c>
      <c r="D224" s="34"/>
      <c r="E224" s="35"/>
      <c r="F224" s="35"/>
      <c r="G224" s="52"/>
      <c r="H224" s="36" t="str">
        <f t="shared" si="195"/>
        <v>RJ--220</v>
      </c>
      <c r="I224" s="36" t="str">
        <f t="shared" si="198"/>
        <v>--20</v>
      </c>
      <c r="J224" s="37" t="e">
        <f>VLOOKUP(D224,Laporan!$C$4:$D$34,2,0)</f>
        <v>#N/A</v>
      </c>
      <c r="K224" s="48"/>
      <c r="L224" s="13"/>
      <c r="M224" s="19">
        <f>SUMIF('DATABASE Room'!$B$3:$B$7,L224,'DATABASE Room'!$D$3:$D$7)</f>
        <v>0</v>
      </c>
      <c r="N224" s="13"/>
      <c r="O224" s="21">
        <f t="shared" si="199"/>
        <v>0</v>
      </c>
      <c r="P224" s="38"/>
      <c r="Q224" s="19">
        <f t="shared" si="200"/>
        <v>0</v>
      </c>
      <c r="R224" s="21">
        <f t="shared" si="201"/>
        <v>0</v>
      </c>
      <c r="S224" s="19">
        <f t="shared" si="202"/>
        <v>3</v>
      </c>
      <c r="T224" s="19">
        <f t="shared" si="203"/>
        <v>0</v>
      </c>
      <c r="U224" s="21">
        <f t="shared" si="204"/>
        <v>0</v>
      </c>
      <c r="V224" s="39"/>
      <c r="W224" s="16"/>
      <c r="X224" s="17">
        <f>VLOOKUP(W224,'DATABASE F&amp;B'!$C$3:$F$216,2,0)</f>
        <v>0</v>
      </c>
      <c r="Y224" s="18"/>
      <c r="Z224" s="19">
        <f>VLOOKUP(W224,'DATABASE F&amp;B'!$C$3:$F$216,4,0)</f>
        <v>0</v>
      </c>
      <c r="AA224" s="19">
        <f t="shared" si="205"/>
        <v>0</v>
      </c>
      <c r="AB224" s="16"/>
      <c r="AC224" s="17">
        <f>VLOOKUP(AB224,'DATABASE F&amp;B'!$C$3:$F$216,2,0)</f>
        <v>0</v>
      </c>
      <c r="AD224" s="18"/>
      <c r="AE224" s="19">
        <f>VLOOKUP(AB224,'DATABASE F&amp;B'!$C$3:$F$216,4,0)</f>
        <v>0</v>
      </c>
      <c r="AF224" s="19">
        <f t="shared" si="206"/>
        <v>0</v>
      </c>
      <c r="AG224" s="16"/>
      <c r="AH224" s="17">
        <f>VLOOKUP(AG224,'DATABASE F&amp;B'!$C$3:$F$216,2,0)</f>
        <v>0</v>
      </c>
      <c r="AI224" s="18">
        <v>1</v>
      </c>
      <c r="AJ224" s="19">
        <f>VLOOKUP(AG224,'DATABASE F&amp;B'!$C$3:$F$216,4,0)</f>
        <v>0</v>
      </c>
      <c r="AK224" s="19">
        <f t="shared" si="207"/>
        <v>0</v>
      </c>
      <c r="AL224" s="16"/>
      <c r="AM224" s="17">
        <f>VLOOKUP(AL224,'DATABASE F&amp;B'!$C$3:$F$216,2,0)</f>
        <v>0</v>
      </c>
      <c r="AN224" s="18">
        <v>1</v>
      </c>
      <c r="AO224" s="19">
        <f>VLOOKUP(AL224,'DATABASE F&amp;B'!$C$3:$F$216,4,0)</f>
        <v>0</v>
      </c>
      <c r="AP224" s="19">
        <f t="shared" si="208"/>
        <v>0</v>
      </c>
      <c r="AQ224" s="16"/>
      <c r="AR224" s="17">
        <f>VLOOKUP(AQ224,'DATABASE F&amp;B'!$C$3:$F$216,2,0)</f>
        <v>0</v>
      </c>
      <c r="AS224" s="18">
        <v>1</v>
      </c>
      <c r="AT224" s="19">
        <f>VLOOKUP(AQ224,'DATABASE F&amp;B'!$C$3:$F$216,4,0)</f>
        <v>0</v>
      </c>
      <c r="AU224" s="19">
        <f t="shared" si="209"/>
        <v>0</v>
      </c>
      <c r="AV224" s="16"/>
      <c r="AW224" s="17">
        <f>VLOOKUP(AV224,'DATABASE F&amp;B'!$C$3:$F$216,2,0)</f>
        <v>0</v>
      </c>
      <c r="AX224" s="18"/>
      <c r="AY224" s="19">
        <f>VLOOKUP(AV224,'DATABASE F&amp;B'!$C$3:$F$216,4,0)</f>
        <v>0</v>
      </c>
      <c r="AZ224" s="19">
        <f t="shared" si="210"/>
        <v>0</v>
      </c>
      <c r="BA224" s="16"/>
      <c r="BB224" s="17">
        <f>VLOOKUP(BA224,'DATABASE F&amp;B'!$C$3:$F$216,2,0)</f>
        <v>0</v>
      </c>
      <c r="BC224" s="18"/>
      <c r="BD224" s="19">
        <f>VLOOKUP(BA224,'DATABASE F&amp;B'!$C$3:$F$216,4,0)</f>
        <v>0</v>
      </c>
      <c r="BE224" s="19">
        <f t="shared" si="211"/>
        <v>0</v>
      </c>
      <c r="BF224" s="16"/>
      <c r="BG224" s="17">
        <f>VLOOKUP(BF224,'DATABASE F&amp;B'!$C$3:$F$216,2,0)</f>
        <v>0</v>
      </c>
      <c r="BH224" s="18"/>
      <c r="BI224" s="19">
        <f>VLOOKUP(BF224,'DATABASE F&amp;B'!$C$3:$F$216,4,0)</f>
        <v>0</v>
      </c>
      <c r="BJ224" s="19">
        <f t="shared" si="212"/>
        <v>0</v>
      </c>
      <c r="BK224" s="16"/>
      <c r="BL224" s="17">
        <f>VLOOKUP(BK224,'DATABASE F&amp;B'!$C$3:$F$210,2,0)</f>
        <v>0</v>
      </c>
      <c r="BM224" s="18"/>
      <c r="BN224" s="19">
        <f>VLOOKUP(BK224,'DATABASE F&amp;B'!$C$3:$F$210,4,0)</f>
        <v>0</v>
      </c>
      <c r="BO224" s="19">
        <f t="shared" si="213"/>
        <v>0</v>
      </c>
      <c r="BP224" s="16"/>
      <c r="BQ224" s="17">
        <f>VLOOKUP(BP224,'DATABASE F&amp;B'!$C$3:$F$210,2,0)</f>
        <v>0</v>
      </c>
      <c r="BR224" s="18"/>
      <c r="BS224" s="19">
        <f>VLOOKUP(BP224,'DATABASE F&amp;B'!$C$3:$F$210,4,0)</f>
        <v>0</v>
      </c>
      <c r="BT224" s="19">
        <f t="shared" si="214"/>
        <v>0</v>
      </c>
      <c r="BU224" s="16"/>
      <c r="BV224" s="17">
        <f>VLOOKUP(BU224,'DATABASE F&amp;B'!$C$3:$F$210,2,0)</f>
        <v>0</v>
      </c>
      <c r="BW224" s="18"/>
      <c r="BX224" s="19">
        <f>VLOOKUP(BU224,'DATABASE F&amp;B'!$C$3:$F$210,4,0)</f>
        <v>0</v>
      </c>
      <c r="BY224" s="19">
        <f t="shared" si="215"/>
        <v>0</v>
      </c>
      <c r="BZ224" s="16"/>
      <c r="CA224" s="17">
        <f>VLOOKUP(BZ224,'DATABASE F&amp;B'!$C$3:$F$210,2,0)</f>
        <v>0</v>
      </c>
      <c r="CB224" s="18"/>
      <c r="CC224" s="19">
        <f>VLOOKUP(BZ224,'DATABASE F&amp;B'!$C$3:$F$210,4,0)</f>
        <v>0</v>
      </c>
      <c r="CD224" s="19">
        <f t="shared" si="216"/>
        <v>0</v>
      </c>
    </row>
    <row r="225" spans="1:82" ht="13.5" x14ac:dyDescent="0.25">
      <c r="A225" s="32" t="str">
        <f t="shared" si="197"/>
        <v>--20</v>
      </c>
      <c r="B225" s="22">
        <f t="shared" si="217"/>
        <v>221</v>
      </c>
      <c r="C225" s="22">
        <f t="shared" si="217"/>
        <v>221</v>
      </c>
      <c r="D225" s="34"/>
      <c r="E225" s="35"/>
      <c r="F225" s="35"/>
      <c r="G225" s="52"/>
      <c r="H225" s="36" t="str">
        <f t="shared" si="195"/>
        <v>RJ--221</v>
      </c>
      <c r="I225" s="36" t="str">
        <f t="shared" si="198"/>
        <v>--20</v>
      </c>
      <c r="J225" s="37" t="e">
        <f>VLOOKUP(D225,Laporan!$C$4:$D$34,2,0)</f>
        <v>#N/A</v>
      </c>
      <c r="K225" s="48"/>
      <c r="L225" s="13"/>
      <c r="M225" s="19">
        <f>SUMIF('DATABASE Room'!$B$3:$B$7,L225,'DATABASE Room'!$D$3:$D$7)</f>
        <v>0</v>
      </c>
      <c r="N225" s="13"/>
      <c r="O225" s="21">
        <f t="shared" si="199"/>
        <v>0</v>
      </c>
      <c r="P225" s="38"/>
      <c r="Q225" s="19">
        <f t="shared" si="200"/>
        <v>0</v>
      </c>
      <c r="R225" s="21">
        <f t="shared" si="201"/>
        <v>0</v>
      </c>
      <c r="S225" s="19">
        <f t="shared" si="202"/>
        <v>3</v>
      </c>
      <c r="T225" s="19">
        <f t="shared" si="203"/>
        <v>0</v>
      </c>
      <c r="U225" s="21">
        <f t="shared" si="204"/>
        <v>0</v>
      </c>
      <c r="V225" s="39"/>
      <c r="W225" s="16"/>
      <c r="X225" s="17">
        <f>VLOOKUP(W225,'DATABASE F&amp;B'!$C$3:$F$216,2,0)</f>
        <v>0</v>
      </c>
      <c r="Y225" s="18"/>
      <c r="Z225" s="19">
        <f>VLOOKUP(W225,'DATABASE F&amp;B'!$C$3:$F$216,4,0)</f>
        <v>0</v>
      </c>
      <c r="AA225" s="19">
        <f t="shared" si="205"/>
        <v>0</v>
      </c>
      <c r="AB225" s="16"/>
      <c r="AC225" s="17">
        <f>VLOOKUP(AB225,'DATABASE F&amp;B'!$C$3:$F$216,2,0)</f>
        <v>0</v>
      </c>
      <c r="AD225" s="18"/>
      <c r="AE225" s="19">
        <f>VLOOKUP(AB225,'DATABASE F&amp;B'!$C$3:$F$216,4,0)</f>
        <v>0</v>
      </c>
      <c r="AF225" s="19">
        <f t="shared" si="206"/>
        <v>0</v>
      </c>
      <c r="AG225" s="16"/>
      <c r="AH225" s="17">
        <f>VLOOKUP(AG225,'DATABASE F&amp;B'!$C$3:$F$216,2,0)</f>
        <v>0</v>
      </c>
      <c r="AI225" s="18">
        <v>1</v>
      </c>
      <c r="AJ225" s="19">
        <f>VLOOKUP(AG225,'DATABASE F&amp;B'!$C$3:$F$216,4,0)</f>
        <v>0</v>
      </c>
      <c r="AK225" s="19">
        <f t="shared" si="207"/>
        <v>0</v>
      </c>
      <c r="AL225" s="16"/>
      <c r="AM225" s="17">
        <f>VLOOKUP(AL225,'DATABASE F&amp;B'!$C$3:$F$216,2,0)</f>
        <v>0</v>
      </c>
      <c r="AN225" s="18">
        <v>1</v>
      </c>
      <c r="AO225" s="19">
        <f>VLOOKUP(AL225,'DATABASE F&amp;B'!$C$3:$F$216,4,0)</f>
        <v>0</v>
      </c>
      <c r="AP225" s="19">
        <f t="shared" si="208"/>
        <v>0</v>
      </c>
      <c r="AQ225" s="16"/>
      <c r="AR225" s="17">
        <f>VLOOKUP(AQ225,'DATABASE F&amp;B'!$C$3:$F$216,2,0)</f>
        <v>0</v>
      </c>
      <c r="AS225" s="18">
        <v>1</v>
      </c>
      <c r="AT225" s="19">
        <f>VLOOKUP(AQ225,'DATABASE F&amp;B'!$C$3:$F$216,4,0)</f>
        <v>0</v>
      </c>
      <c r="AU225" s="19">
        <f t="shared" si="209"/>
        <v>0</v>
      </c>
      <c r="AV225" s="16"/>
      <c r="AW225" s="17">
        <f>VLOOKUP(AV225,'DATABASE F&amp;B'!$C$3:$F$216,2,0)</f>
        <v>0</v>
      </c>
      <c r="AX225" s="18"/>
      <c r="AY225" s="19">
        <f>VLOOKUP(AV225,'DATABASE F&amp;B'!$C$3:$F$216,4,0)</f>
        <v>0</v>
      </c>
      <c r="AZ225" s="19">
        <f t="shared" si="210"/>
        <v>0</v>
      </c>
      <c r="BA225" s="16"/>
      <c r="BB225" s="17">
        <f>VLOOKUP(BA225,'DATABASE F&amp;B'!$C$3:$F$216,2,0)</f>
        <v>0</v>
      </c>
      <c r="BC225" s="18"/>
      <c r="BD225" s="19">
        <f>VLOOKUP(BA225,'DATABASE F&amp;B'!$C$3:$F$216,4,0)</f>
        <v>0</v>
      </c>
      <c r="BE225" s="19">
        <f t="shared" si="211"/>
        <v>0</v>
      </c>
      <c r="BF225" s="16"/>
      <c r="BG225" s="17">
        <f>VLOOKUP(BF225,'DATABASE F&amp;B'!$C$3:$F$216,2,0)</f>
        <v>0</v>
      </c>
      <c r="BH225" s="18"/>
      <c r="BI225" s="19">
        <f>VLOOKUP(BF225,'DATABASE F&amp;B'!$C$3:$F$216,4,0)</f>
        <v>0</v>
      </c>
      <c r="BJ225" s="19">
        <f t="shared" si="212"/>
        <v>0</v>
      </c>
      <c r="BK225" s="16"/>
      <c r="BL225" s="17">
        <f>VLOOKUP(BK225,'DATABASE F&amp;B'!$C$3:$F$210,2,0)</f>
        <v>0</v>
      </c>
      <c r="BM225" s="18"/>
      <c r="BN225" s="19">
        <f>VLOOKUP(BK225,'DATABASE F&amp;B'!$C$3:$F$210,4,0)</f>
        <v>0</v>
      </c>
      <c r="BO225" s="19">
        <f t="shared" si="213"/>
        <v>0</v>
      </c>
      <c r="BP225" s="16"/>
      <c r="BQ225" s="17">
        <f>VLOOKUP(BP225,'DATABASE F&amp;B'!$C$3:$F$210,2,0)</f>
        <v>0</v>
      </c>
      <c r="BR225" s="18"/>
      <c r="BS225" s="19">
        <f>VLOOKUP(BP225,'DATABASE F&amp;B'!$C$3:$F$210,4,0)</f>
        <v>0</v>
      </c>
      <c r="BT225" s="19">
        <f t="shared" si="214"/>
        <v>0</v>
      </c>
      <c r="BU225" s="16"/>
      <c r="BV225" s="17">
        <f>VLOOKUP(BU225,'DATABASE F&amp;B'!$C$3:$F$210,2,0)</f>
        <v>0</v>
      </c>
      <c r="BW225" s="18"/>
      <c r="BX225" s="19">
        <f>VLOOKUP(BU225,'DATABASE F&amp;B'!$C$3:$F$210,4,0)</f>
        <v>0</v>
      </c>
      <c r="BY225" s="19">
        <f t="shared" si="215"/>
        <v>0</v>
      </c>
      <c r="BZ225" s="16"/>
      <c r="CA225" s="17">
        <f>VLOOKUP(BZ225,'DATABASE F&amp;B'!$C$3:$F$210,2,0)</f>
        <v>0</v>
      </c>
      <c r="CB225" s="18"/>
      <c r="CC225" s="19">
        <f>VLOOKUP(BZ225,'DATABASE F&amp;B'!$C$3:$F$210,4,0)</f>
        <v>0</v>
      </c>
      <c r="CD225" s="19">
        <f t="shared" si="216"/>
        <v>0</v>
      </c>
    </row>
    <row r="226" spans="1:82" ht="13.5" x14ac:dyDescent="0.25">
      <c r="A226" s="32" t="str">
        <f t="shared" si="197"/>
        <v>--20</v>
      </c>
      <c r="B226" s="22">
        <f t="shared" si="217"/>
        <v>222</v>
      </c>
      <c r="C226" s="22">
        <f t="shared" si="217"/>
        <v>222</v>
      </c>
      <c r="D226" s="34"/>
      <c r="E226" s="35"/>
      <c r="F226" s="35"/>
      <c r="G226" s="52"/>
      <c r="H226" s="36" t="str">
        <f t="shared" si="195"/>
        <v>RJ--222</v>
      </c>
      <c r="I226" s="36" t="str">
        <f t="shared" si="198"/>
        <v>--20</v>
      </c>
      <c r="J226" s="37" t="e">
        <f>VLOOKUP(D226,Laporan!$C$4:$D$34,2,0)</f>
        <v>#N/A</v>
      </c>
      <c r="K226" s="48"/>
      <c r="L226" s="13"/>
      <c r="M226" s="19">
        <f>SUMIF('DATABASE Room'!$B$3:$B$7,L226,'DATABASE Room'!$D$3:$D$7)</f>
        <v>0</v>
      </c>
      <c r="N226" s="13"/>
      <c r="O226" s="21">
        <f t="shared" si="199"/>
        <v>0</v>
      </c>
      <c r="P226" s="38"/>
      <c r="Q226" s="19">
        <f t="shared" si="200"/>
        <v>0</v>
      </c>
      <c r="R226" s="21">
        <f t="shared" si="201"/>
        <v>0</v>
      </c>
      <c r="S226" s="19">
        <f t="shared" si="202"/>
        <v>3</v>
      </c>
      <c r="T226" s="19">
        <f t="shared" si="203"/>
        <v>0</v>
      </c>
      <c r="U226" s="21">
        <f t="shared" si="204"/>
        <v>0</v>
      </c>
      <c r="V226" s="39"/>
      <c r="W226" s="16"/>
      <c r="X226" s="17">
        <f>VLOOKUP(W226,'DATABASE F&amp;B'!$C$3:$F$216,2,0)</f>
        <v>0</v>
      </c>
      <c r="Y226" s="18"/>
      <c r="Z226" s="19">
        <f>VLOOKUP(W226,'DATABASE F&amp;B'!$C$3:$F$216,4,0)</f>
        <v>0</v>
      </c>
      <c r="AA226" s="19">
        <f t="shared" si="205"/>
        <v>0</v>
      </c>
      <c r="AB226" s="16"/>
      <c r="AC226" s="17">
        <f>VLOOKUP(AB226,'DATABASE F&amp;B'!$C$3:$F$216,2,0)</f>
        <v>0</v>
      </c>
      <c r="AD226" s="18"/>
      <c r="AE226" s="19">
        <f>VLOOKUP(AB226,'DATABASE F&amp;B'!$C$3:$F$216,4,0)</f>
        <v>0</v>
      </c>
      <c r="AF226" s="19">
        <f t="shared" si="206"/>
        <v>0</v>
      </c>
      <c r="AG226" s="16"/>
      <c r="AH226" s="17">
        <f>VLOOKUP(AG226,'DATABASE F&amp;B'!$C$3:$F$216,2,0)</f>
        <v>0</v>
      </c>
      <c r="AI226" s="18">
        <v>1</v>
      </c>
      <c r="AJ226" s="19">
        <f>VLOOKUP(AG226,'DATABASE F&amp;B'!$C$3:$F$216,4,0)</f>
        <v>0</v>
      </c>
      <c r="AK226" s="19">
        <f t="shared" si="207"/>
        <v>0</v>
      </c>
      <c r="AL226" s="16"/>
      <c r="AM226" s="17">
        <f>VLOOKUP(AL226,'DATABASE F&amp;B'!$C$3:$F$216,2,0)</f>
        <v>0</v>
      </c>
      <c r="AN226" s="18">
        <v>1</v>
      </c>
      <c r="AO226" s="19">
        <f>VLOOKUP(AL226,'DATABASE F&amp;B'!$C$3:$F$216,4,0)</f>
        <v>0</v>
      </c>
      <c r="AP226" s="19">
        <f t="shared" si="208"/>
        <v>0</v>
      </c>
      <c r="AQ226" s="16"/>
      <c r="AR226" s="17">
        <f>VLOOKUP(AQ226,'DATABASE F&amp;B'!$C$3:$F$216,2,0)</f>
        <v>0</v>
      </c>
      <c r="AS226" s="18">
        <v>1</v>
      </c>
      <c r="AT226" s="19">
        <f>VLOOKUP(AQ226,'DATABASE F&amp;B'!$C$3:$F$216,4,0)</f>
        <v>0</v>
      </c>
      <c r="AU226" s="19">
        <f t="shared" si="209"/>
        <v>0</v>
      </c>
      <c r="AV226" s="16"/>
      <c r="AW226" s="17">
        <f>VLOOKUP(AV226,'DATABASE F&amp;B'!$C$3:$F$216,2,0)</f>
        <v>0</v>
      </c>
      <c r="AX226" s="18"/>
      <c r="AY226" s="19">
        <f>VLOOKUP(AV226,'DATABASE F&amp;B'!$C$3:$F$216,4,0)</f>
        <v>0</v>
      </c>
      <c r="AZ226" s="19">
        <f t="shared" si="210"/>
        <v>0</v>
      </c>
      <c r="BA226" s="16"/>
      <c r="BB226" s="17">
        <f>VLOOKUP(BA226,'DATABASE F&amp;B'!$C$3:$F$216,2,0)</f>
        <v>0</v>
      </c>
      <c r="BC226" s="18"/>
      <c r="BD226" s="19">
        <f>VLOOKUP(BA226,'DATABASE F&amp;B'!$C$3:$F$216,4,0)</f>
        <v>0</v>
      </c>
      <c r="BE226" s="19">
        <f t="shared" si="211"/>
        <v>0</v>
      </c>
      <c r="BF226" s="16"/>
      <c r="BG226" s="17">
        <f>VLOOKUP(BF226,'DATABASE F&amp;B'!$C$3:$F$216,2,0)</f>
        <v>0</v>
      </c>
      <c r="BH226" s="18"/>
      <c r="BI226" s="19">
        <f>VLOOKUP(BF226,'DATABASE F&amp;B'!$C$3:$F$216,4,0)</f>
        <v>0</v>
      </c>
      <c r="BJ226" s="19">
        <f t="shared" si="212"/>
        <v>0</v>
      </c>
      <c r="BK226" s="16"/>
      <c r="BL226" s="17">
        <f>VLOOKUP(BK226,'DATABASE F&amp;B'!$C$3:$F$210,2,0)</f>
        <v>0</v>
      </c>
      <c r="BM226" s="18"/>
      <c r="BN226" s="19">
        <f>VLOOKUP(BK226,'DATABASE F&amp;B'!$C$3:$F$210,4,0)</f>
        <v>0</v>
      </c>
      <c r="BO226" s="19">
        <f t="shared" si="213"/>
        <v>0</v>
      </c>
      <c r="BP226" s="16"/>
      <c r="BQ226" s="17">
        <f>VLOOKUP(BP226,'DATABASE F&amp;B'!$C$3:$F$210,2,0)</f>
        <v>0</v>
      </c>
      <c r="BR226" s="18"/>
      <c r="BS226" s="19">
        <f>VLOOKUP(BP226,'DATABASE F&amp;B'!$C$3:$F$210,4,0)</f>
        <v>0</v>
      </c>
      <c r="BT226" s="19">
        <f t="shared" si="214"/>
        <v>0</v>
      </c>
      <c r="BU226" s="16"/>
      <c r="BV226" s="17">
        <f>VLOOKUP(BU226,'DATABASE F&amp;B'!$C$3:$F$210,2,0)</f>
        <v>0</v>
      </c>
      <c r="BW226" s="18"/>
      <c r="BX226" s="19">
        <f>VLOOKUP(BU226,'DATABASE F&amp;B'!$C$3:$F$210,4,0)</f>
        <v>0</v>
      </c>
      <c r="BY226" s="19">
        <f t="shared" si="215"/>
        <v>0</v>
      </c>
      <c r="BZ226" s="16"/>
      <c r="CA226" s="17">
        <f>VLOOKUP(BZ226,'DATABASE F&amp;B'!$C$3:$F$210,2,0)</f>
        <v>0</v>
      </c>
      <c r="CB226" s="18"/>
      <c r="CC226" s="19">
        <f>VLOOKUP(BZ226,'DATABASE F&amp;B'!$C$3:$F$210,4,0)</f>
        <v>0</v>
      </c>
      <c r="CD226" s="19">
        <f t="shared" si="216"/>
        <v>0</v>
      </c>
    </row>
    <row r="227" spans="1:82" ht="13.5" x14ac:dyDescent="0.25">
      <c r="A227" s="32" t="str">
        <f t="shared" si="197"/>
        <v>--20</v>
      </c>
      <c r="B227" s="22">
        <f t="shared" si="217"/>
        <v>223</v>
      </c>
      <c r="C227" s="22">
        <f t="shared" si="217"/>
        <v>223</v>
      </c>
      <c r="D227" s="34"/>
      <c r="E227" s="35"/>
      <c r="F227" s="35"/>
      <c r="G227" s="52"/>
      <c r="H227" s="36" t="str">
        <f t="shared" si="195"/>
        <v>RJ--223</v>
      </c>
      <c r="I227" s="36" t="str">
        <f t="shared" si="198"/>
        <v>--20</v>
      </c>
      <c r="J227" s="37" t="e">
        <f>VLOOKUP(D227,Laporan!$C$4:$D$34,2,0)</f>
        <v>#N/A</v>
      </c>
      <c r="K227" s="48"/>
      <c r="L227" s="13"/>
      <c r="M227" s="19">
        <f>SUMIF('DATABASE Room'!$B$3:$B$7,L227,'DATABASE Room'!$D$3:$D$7)</f>
        <v>0</v>
      </c>
      <c r="N227" s="13"/>
      <c r="O227" s="21">
        <f t="shared" si="199"/>
        <v>0</v>
      </c>
      <c r="P227" s="38"/>
      <c r="Q227" s="19">
        <f t="shared" si="200"/>
        <v>0</v>
      </c>
      <c r="R227" s="21">
        <f t="shared" si="201"/>
        <v>0</v>
      </c>
      <c r="S227" s="19">
        <f t="shared" si="202"/>
        <v>3</v>
      </c>
      <c r="T227" s="19">
        <f t="shared" si="203"/>
        <v>0</v>
      </c>
      <c r="U227" s="21">
        <f t="shared" si="204"/>
        <v>0</v>
      </c>
      <c r="V227" s="39"/>
      <c r="W227" s="16"/>
      <c r="X227" s="17">
        <f>VLOOKUP(W227,'DATABASE F&amp;B'!$C$3:$F$216,2,0)</f>
        <v>0</v>
      </c>
      <c r="Y227" s="18"/>
      <c r="Z227" s="19">
        <f>VLOOKUP(W227,'DATABASE F&amp;B'!$C$3:$F$216,4,0)</f>
        <v>0</v>
      </c>
      <c r="AA227" s="19">
        <f t="shared" si="205"/>
        <v>0</v>
      </c>
      <c r="AB227" s="16"/>
      <c r="AC227" s="17">
        <f>VLOOKUP(AB227,'DATABASE F&amp;B'!$C$3:$F$216,2,0)</f>
        <v>0</v>
      </c>
      <c r="AD227" s="18"/>
      <c r="AE227" s="19">
        <f>VLOOKUP(AB227,'DATABASE F&amp;B'!$C$3:$F$216,4,0)</f>
        <v>0</v>
      </c>
      <c r="AF227" s="19">
        <f t="shared" si="206"/>
        <v>0</v>
      </c>
      <c r="AG227" s="16"/>
      <c r="AH227" s="17">
        <f>VLOOKUP(AG227,'DATABASE F&amp;B'!$C$3:$F$216,2,0)</f>
        <v>0</v>
      </c>
      <c r="AI227" s="18">
        <v>1</v>
      </c>
      <c r="AJ227" s="19">
        <f>VLOOKUP(AG227,'DATABASE F&amp;B'!$C$3:$F$216,4,0)</f>
        <v>0</v>
      </c>
      <c r="AK227" s="19">
        <f t="shared" si="207"/>
        <v>0</v>
      </c>
      <c r="AL227" s="16"/>
      <c r="AM227" s="17">
        <f>VLOOKUP(AL227,'DATABASE F&amp;B'!$C$3:$F$216,2,0)</f>
        <v>0</v>
      </c>
      <c r="AN227" s="18">
        <v>1</v>
      </c>
      <c r="AO227" s="19">
        <f>VLOOKUP(AL227,'DATABASE F&amp;B'!$C$3:$F$216,4,0)</f>
        <v>0</v>
      </c>
      <c r="AP227" s="19">
        <f t="shared" si="208"/>
        <v>0</v>
      </c>
      <c r="AQ227" s="16"/>
      <c r="AR227" s="17">
        <f>VLOOKUP(AQ227,'DATABASE F&amp;B'!$C$3:$F$216,2,0)</f>
        <v>0</v>
      </c>
      <c r="AS227" s="18">
        <v>1</v>
      </c>
      <c r="AT227" s="19">
        <f>VLOOKUP(AQ227,'DATABASE F&amp;B'!$C$3:$F$216,4,0)</f>
        <v>0</v>
      </c>
      <c r="AU227" s="19">
        <f t="shared" si="209"/>
        <v>0</v>
      </c>
      <c r="AV227" s="16"/>
      <c r="AW227" s="17">
        <f>VLOOKUP(AV227,'DATABASE F&amp;B'!$C$3:$F$216,2,0)</f>
        <v>0</v>
      </c>
      <c r="AX227" s="18"/>
      <c r="AY227" s="19">
        <f>VLOOKUP(AV227,'DATABASE F&amp;B'!$C$3:$F$216,4,0)</f>
        <v>0</v>
      </c>
      <c r="AZ227" s="19">
        <f t="shared" si="210"/>
        <v>0</v>
      </c>
      <c r="BA227" s="16"/>
      <c r="BB227" s="17">
        <f>VLOOKUP(BA227,'DATABASE F&amp;B'!$C$3:$F$216,2,0)</f>
        <v>0</v>
      </c>
      <c r="BC227" s="18"/>
      <c r="BD227" s="19">
        <f>VLOOKUP(BA227,'DATABASE F&amp;B'!$C$3:$F$216,4,0)</f>
        <v>0</v>
      </c>
      <c r="BE227" s="19">
        <f t="shared" si="211"/>
        <v>0</v>
      </c>
      <c r="BF227" s="16"/>
      <c r="BG227" s="17">
        <f>VLOOKUP(BF227,'DATABASE F&amp;B'!$C$3:$F$216,2,0)</f>
        <v>0</v>
      </c>
      <c r="BH227" s="18"/>
      <c r="BI227" s="19">
        <f>VLOOKUP(BF227,'DATABASE F&amp;B'!$C$3:$F$216,4,0)</f>
        <v>0</v>
      </c>
      <c r="BJ227" s="19">
        <f t="shared" si="212"/>
        <v>0</v>
      </c>
      <c r="BK227" s="16"/>
      <c r="BL227" s="17">
        <f>VLOOKUP(BK227,'DATABASE F&amp;B'!$C$3:$F$210,2,0)</f>
        <v>0</v>
      </c>
      <c r="BM227" s="18"/>
      <c r="BN227" s="19">
        <f>VLOOKUP(BK227,'DATABASE F&amp;B'!$C$3:$F$210,4,0)</f>
        <v>0</v>
      </c>
      <c r="BO227" s="19">
        <f t="shared" si="213"/>
        <v>0</v>
      </c>
      <c r="BP227" s="16"/>
      <c r="BQ227" s="17">
        <f>VLOOKUP(BP227,'DATABASE F&amp;B'!$C$3:$F$210,2,0)</f>
        <v>0</v>
      </c>
      <c r="BR227" s="18"/>
      <c r="BS227" s="19">
        <f>VLOOKUP(BP227,'DATABASE F&amp;B'!$C$3:$F$210,4,0)</f>
        <v>0</v>
      </c>
      <c r="BT227" s="19">
        <f t="shared" si="214"/>
        <v>0</v>
      </c>
      <c r="BU227" s="16"/>
      <c r="BV227" s="17">
        <f>VLOOKUP(BU227,'DATABASE F&amp;B'!$C$3:$F$210,2,0)</f>
        <v>0</v>
      </c>
      <c r="BW227" s="18"/>
      <c r="BX227" s="19">
        <f>VLOOKUP(BU227,'DATABASE F&amp;B'!$C$3:$F$210,4,0)</f>
        <v>0</v>
      </c>
      <c r="BY227" s="19">
        <f t="shared" si="215"/>
        <v>0</v>
      </c>
      <c r="BZ227" s="16"/>
      <c r="CA227" s="17">
        <f>VLOOKUP(BZ227,'DATABASE F&amp;B'!$C$3:$F$210,2,0)</f>
        <v>0</v>
      </c>
      <c r="CB227" s="18"/>
      <c r="CC227" s="19">
        <f>VLOOKUP(BZ227,'DATABASE F&amp;B'!$C$3:$F$210,4,0)</f>
        <v>0</v>
      </c>
      <c r="CD227" s="19">
        <f t="shared" si="216"/>
        <v>0</v>
      </c>
    </row>
    <row r="228" spans="1:82" ht="13.5" x14ac:dyDescent="0.25">
      <c r="A228" s="32" t="str">
        <f t="shared" ref="A228:A291" si="218">CONCATENATE(F228,"-",E228,"-20",G228)</f>
        <v>--20</v>
      </c>
      <c r="B228" s="22">
        <f t="shared" si="217"/>
        <v>224</v>
      </c>
      <c r="C228" s="22">
        <f t="shared" si="217"/>
        <v>224</v>
      </c>
      <c r="D228" s="34"/>
      <c r="E228" s="35"/>
      <c r="F228" s="35"/>
      <c r="G228" s="52"/>
      <c r="H228" s="36" t="str">
        <f t="shared" si="195"/>
        <v>RJ--224</v>
      </c>
      <c r="I228" s="36" t="str">
        <f t="shared" ref="I228:I291" si="219">CONCATENATE(E228,"-",F228,"-20",G228)</f>
        <v>--20</v>
      </c>
      <c r="J228" s="37" t="e">
        <f>VLOOKUP(D228,Laporan!$C$4:$D$34,2,0)</f>
        <v>#N/A</v>
      </c>
      <c r="K228" s="48"/>
      <c r="L228" s="13"/>
      <c r="M228" s="19">
        <f>SUMIF('DATABASE Room'!$B$3:$B$7,L228,'DATABASE Room'!$D$3:$D$7)</f>
        <v>0</v>
      </c>
      <c r="N228" s="13"/>
      <c r="O228" s="21">
        <f t="shared" ref="O228:O291" si="220">N228*M228</f>
        <v>0</v>
      </c>
      <c r="P228" s="38"/>
      <c r="Q228" s="19">
        <f t="shared" ref="Q228:Q291" si="221">P228*M228</f>
        <v>0</v>
      </c>
      <c r="R228" s="21">
        <f t="shared" ref="R228:R291" si="222">O228+Q228</f>
        <v>0</v>
      </c>
      <c r="S228" s="19">
        <f t="shared" ref="S228:S291" si="223">SUMIF($W$4:$CD$4,$S$4,W228:CD228)</f>
        <v>3</v>
      </c>
      <c r="T228" s="19">
        <f t="shared" ref="T228:T291" si="224">SUMIF($W$4:$CD$4,$T$4,W228:CD228)</f>
        <v>0</v>
      </c>
      <c r="U228" s="21">
        <f t="shared" ref="U228:U291" si="225">R228+T228</f>
        <v>0</v>
      </c>
      <c r="V228" s="39"/>
      <c r="W228" s="16"/>
      <c r="X228" s="17">
        <f>VLOOKUP(W228,'DATABASE F&amp;B'!$C$3:$F$216,2,0)</f>
        <v>0</v>
      </c>
      <c r="Y228" s="18"/>
      <c r="Z228" s="19">
        <f>VLOOKUP(W228,'DATABASE F&amp;B'!$C$3:$F$216,4,0)</f>
        <v>0</v>
      </c>
      <c r="AA228" s="19">
        <f t="shared" ref="AA228:AA291" si="226">Y228*Z228</f>
        <v>0</v>
      </c>
      <c r="AB228" s="16"/>
      <c r="AC228" s="17">
        <f>VLOOKUP(AB228,'DATABASE F&amp;B'!$C$3:$F$216,2,0)</f>
        <v>0</v>
      </c>
      <c r="AD228" s="18"/>
      <c r="AE228" s="19">
        <f>VLOOKUP(AB228,'DATABASE F&amp;B'!$C$3:$F$216,4,0)</f>
        <v>0</v>
      </c>
      <c r="AF228" s="19">
        <f t="shared" ref="AF228:AF291" si="227">AD228*AE228</f>
        <v>0</v>
      </c>
      <c r="AG228" s="16"/>
      <c r="AH228" s="17">
        <f>VLOOKUP(AG228,'DATABASE F&amp;B'!$C$3:$F$216,2,0)</f>
        <v>0</v>
      </c>
      <c r="AI228" s="18">
        <v>1</v>
      </c>
      <c r="AJ228" s="19">
        <f>VLOOKUP(AG228,'DATABASE F&amp;B'!$C$3:$F$216,4,0)</f>
        <v>0</v>
      </c>
      <c r="AK228" s="19">
        <f t="shared" ref="AK228:AK291" si="228">AI228*AJ228</f>
        <v>0</v>
      </c>
      <c r="AL228" s="16"/>
      <c r="AM228" s="17">
        <f>VLOOKUP(AL228,'DATABASE F&amp;B'!$C$3:$F$216,2,0)</f>
        <v>0</v>
      </c>
      <c r="AN228" s="18">
        <v>1</v>
      </c>
      <c r="AO228" s="19">
        <f>VLOOKUP(AL228,'DATABASE F&amp;B'!$C$3:$F$216,4,0)</f>
        <v>0</v>
      </c>
      <c r="AP228" s="19">
        <f t="shared" ref="AP228:AP291" si="229">AN228*AO228</f>
        <v>0</v>
      </c>
      <c r="AQ228" s="16"/>
      <c r="AR228" s="17">
        <f>VLOOKUP(AQ228,'DATABASE F&amp;B'!$C$3:$F$216,2,0)</f>
        <v>0</v>
      </c>
      <c r="AS228" s="18">
        <v>1</v>
      </c>
      <c r="AT228" s="19">
        <f>VLOOKUP(AQ228,'DATABASE F&amp;B'!$C$3:$F$216,4,0)</f>
        <v>0</v>
      </c>
      <c r="AU228" s="19">
        <f t="shared" ref="AU228:AU291" si="230">AS228*AT228</f>
        <v>0</v>
      </c>
      <c r="AV228" s="16"/>
      <c r="AW228" s="17">
        <f>VLOOKUP(AV228,'DATABASE F&amp;B'!$C$3:$F$216,2,0)</f>
        <v>0</v>
      </c>
      <c r="AX228" s="18"/>
      <c r="AY228" s="19">
        <f>VLOOKUP(AV228,'DATABASE F&amp;B'!$C$3:$F$216,4,0)</f>
        <v>0</v>
      </c>
      <c r="AZ228" s="19">
        <f t="shared" ref="AZ228:AZ291" si="231">AX228*AY228</f>
        <v>0</v>
      </c>
      <c r="BA228" s="16"/>
      <c r="BB228" s="17">
        <f>VLOOKUP(BA228,'DATABASE F&amp;B'!$C$3:$F$216,2,0)</f>
        <v>0</v>
      </c>
      <c r="BC228" s="18"/>
      <c r="BD228" s="19">
        <f>VLOOKUP(BA228,'DATABASE F&amp;B'!$C$3:$F$216,4,0)</f>
        <v>0</v>
      </c>
      <c r="BE228" s="19">
        <f t="shared" ref="BE228:BE291" si="232">BC228*BD228</f>
        <v>0</v>
      </c>
      <c r="BF228" s="16"/>
      <c r="BG228" s="17">
        <f>VLOOKUP(BF228,'DATABASE F&amp;B'!$C$3:$F$216,2,0)</f>
        <v>0</v>
      </c>
      <c r="BH228" s="18"/>
      <c r="BI228" s="19">
        <f>VLOOKUP(BF228,'DATABASE F&amp;B'!$C$3:$F$216,4,0)</f>
        <v>0</v>
      </c>
      <c r="BJ228" s="19">
        <f t="shared" ref="BJ228:BJ291" si="233">BH228*BI228</f>
        <v>0</v>
      </c>
      <c r="BK228" s="16"/>
      <c r="BL228" s="17">
        <f>VLOOKUP(BK228,'DATABASE F&amp;B'!$C$3:$F$210,2,0)</f>
        <v>0</v>
      </c>
      <c r="BM228" s="18"/>
      <c r="BN228" s="19">
        <f>VLOOKUP(BK228,'DATABASE F&amp;B'!$C$3:$F$210,4,0)</f>
        <v>0</v>
      </c>
      <c r="BO228" s="19">
        <f t="shared" ref="BO228:BO291" si="234">BM228*BN228</f>
        <v>0</v>
      </c>
      <c r="BP228" s="16"/>
      <c r="BQ228" s="17">
        <f>VLOOKUP(BP228,'DATABASE F&amp;B'!$C$3:$F$210,2,0)</f>
        <v>0</v>
      </c>
      <c r="BR228" s="18"/>
      <c r="BS228" s="19">
        <f>VLOOKUP(BP228,'DATABASE F&amp;B'!$C$3:$F$210,4,0)</f>
        <v>0</v>
      </c>
      <c r="BT228" s="19">
        <f t="shared" ref="BT228:BT291" si="235">BR228*BS228</f>
        <v>0</v>
      </c>
      <c r="BU228" s="16"/>
      <c r="BV228" s="17">
        <f>VLOOKUP(BU228,'DATABASE F&amp;B'!$C$3:$F$210,2,0)</f>
        <v>0</v>
      </c>
      <c r="BW228" s="18"/>
      <c r="BX228" s="19">
        <f>VLOOKUP(BU228,'DATABASE F&amp;B'!$C$3:$F$210,4,0)</f>
        <v>0</v>
      </c>
      <c r="BY228" s="19">
        <f t="shared" ref="BY228:BY291" si="236">BW228*BX228</f>
        <v>0</v>
      </c>
      <c r="BZ228" s="16"/>
      <c r="CA228" s="17">
        <f>VLOOKUP(BZ228,'DATABASE F&amp;B'!$C$3:$F$210,2,0)</f>
        <v>0</v>
      </c>
      <c r="CB228" s="18"/>
      <c r="CC228" s="19">
        <f>VLOOKUP(BZ228,'DATABASE F&amp;B'!$C$3:$F$210,4,0)</f>
        <v>0</v>
      </c>
      <c r="CD228" s="19">
        <f t="shared" ref="CD228:CD291" si="237">CB228*CC228</f>
        <v>0</v>
      </c>
    </row>
    <row r="229" spans="1:82" ht="13.5" x14ac:dyDescent="0.25">
      <c r="A229" s="32" t="str">
        <f t="shared" si="218"/>
        <v>--20</v>
      </c>
      <c r="B229" s="22">
        <f t="shared" si="217"/>
        <v>225</v>
      </c>
      <c r="C229" s="22">
        <f t="shared" si="217"/>
        <v>225</v>
      </c>
      <c r="D229" s="34"/>
      <c r="E229" s="35"/>
      <c r="F229" s="35"/>
      <c r="G229" s="52"/>
      <c r="H229" s="36" t="str">
        <f t="shared" si="195"/>
        <v>RJ--225</v>
      </c>
      <c r="I229" s="36" t="str">
        <f t="shared" si="219"/>
        <v>--20</v>
      </c>
      <c r="J229" s="37" t="e">
        <f>VLOOKUP(D229,Laporan!$C$4:$D$34,2,0)</f>
        <v>#N/A</v>
      </c>
      <c r="K229" s="48"/>
      <c r="L229" s="13"/>
      <c r="M229" s="19">
        <f>SUMIF('DATABASE Room'!$B$3:$B$7,L229,'DATABASE Room'!$D$3:$D$7)</f>
        <v>0</v>
      </c>
      <c r="N229" s="13"/>
      <c r="O229" s="21">
        <f t="shared" si="220"/>
        <v>0</v>
      </c>
      <c r="P229" s="38"/>
      <c r="Q229" s="19">
        <f t="shared" si="221"/>
        <v>0</v>
      </c>
      <c r="R229" s="21">
        <f t="shared" si="222"/>
        <v>0</v>
      </c>
      <c r="S229" s="19">
        <f t="shared" si="223"/>
        <v>3</v>
      </c>
      <c r="T229" s="19">
        <f t="shared" si="224"/>
        <v>0</v>
      </c>
      <c r="U229" s="21">
        <f t="shared" si="225"/>
        <v>0</v>
      </c>
      <c r="V229" s="39"/>
      <c r="W229" s="16"/>
      <c r="X229" s="17">
        <f>VLOOKUP(W229,'DATABASE F&amp;B'!$C$3:$F$216,2,0)</f>
        <v>0</v>
      </c>
      <c r="Y229" s="18"/>
      <c r="Z229" s="19">
        <f>VLOOKUP(W229,'DATABASE F&amp;B'!$C$3:$F$216,4,0)</f>
        <v>0</v>
      </c>
      <c r="AA229" s="19">
        <f t="shared" si="226"/>
        <v>0</v>
      </c>
      <c r="AB229" s="16"/>
      <c r="AC229" s="17">
        <f>VLOOKUP(AB229,'DATABASE F&amp;B'!$C$3:$F$216,2,0)</f>
        <v>0</v>
      </c>
      <c r="AD229" s="18"/>
      <c r="AE229" s="19">
        <f>VLOOKUP(AB229,'DATABASE F&amp;B'!$C$3:$F$216,4,0)</f>
        <v>0</v>
      </c>
      <c r="AF229" s="19">
        <f t="shared" si="227"/>
        <v>0</v>
      </c>
      <c r="AG229" s="16"/>
      <c r="AH229" s="17">
        <f>VLOOKUP(AG229,'DATABASE F&amp;B'!$C$3:$F$216,2,0)</f>
        <v>0</v>
      </c>
      <c r="AI229" s="18">
        <v>1</v>
      </c>
      <c r="AJ229" s="19">
        <f>VLOOKUP(AG229,'DATABASE F&amp;B'!$C$3:$F$216,4,0)</f>
        <v>0</v>
      </c>
      <c r="AK229" s="19">
        <f t="shared" si="228"/>
        <v>0</v>
      </c>
      <c r="AL229" s="16"/>
      <c r="AM229" s="17">
        <f>VLOOKUP(AL229,'DATABASE F&amp;B'!$C$3:$F$216,2,0)</f>
        <v>0</v>
      </c>
      <c r="AN229" s="18">
        <v>1</v>
      </c>
      <c r="AO229" s="19">
        <f>VLOOKUP(AL229,'DATABASE F&amp;B'!$C$3:$F$216,4,0)</f>
        <v>0</v>
      </c>
      <c r="AP229" s="19">
        <f t="shared" si="229"/>
        <v>0</v>
      </c>
      <c r="AQ229" s="16"/>
      <c r="AR229" s="17">
        <f>VLOOKUP(AQ229,'DATABASE F&amp;B'!$C$3:$F$216,2,0)</f>
        <v>0</v>
      </c>
      <c r="AS229" s="18">
        <v>1</v>
      </c>
      <c r="AT229" s="19">
        <f>VLOOKUP(AQ229,'DATABASE F&amp;B'!$C$3:$F$216,4,0)</f>
        <v>0</v>
      </c>
      <c r="AU229" s="19">
        <f t="shared" si="230"/>
        <v>0</v>
      </c>
      <c r="AV229" s="16"/>
      <c r="AW229" s="17">
        <f>VLOOKUP(AV229,'DATABASE F&amp;B'!$C$3:$F$216,2,0)</f>
        <v>0</v>
      </c>
      <c r="AX229" s="18"/>
      <c r="AY229" s="19">
        <f>VLOOKUP(AV229,'DATABASE F&amp;B'!$C$3:$F$216,4,0)</f>
        <v>0</v>
      </c>
      <c r="AZ229" s="19">
        <f t="shared" si="231"/>
        <v>0</v>
      </c>
      <c r="BA229" s="16"/>
      <c r="BB229" s="17">
        <f>VLOOKUP(BA229,'DATABASE F&amp;B'!$C$3:$F$216,2,0)</f>
        <v>0</v>
      </c>
      <c r="BC229" s="18"/>
      <c r="BD229" s="19">
        <f>VLOOKUP(BA229,'DATABASE F&amp;B'!$C$3:$F$216,4,0)</f>
        <v>0</v>
      </c>
      <c r="BE229" s="19">
        <f t="shared" si="232"/>
        <v>0</v>
      </c>
      <c r="BF229" s="16"/>
      <c r="BG229" s="17">
        <f>VLOOKUP(BF229,'DATABASE F&amp;B'!$C$3:$F$216,2,0)</f>
        <v>0</v>
      </c>
      <c r="BH229" s="18"/>
      <c r="BI229" s="19">
        <f>VLOOKUP(BF229,'DATABASE F&amp;B'!$C$3:$F$216,4,0)</f>
        <v>0</v>
      </c>
      <c r="BJ229" s="19">
        <f t="shared" si="233"/>
        <v>0</v>
      </c>
      <c r="BK229" s="16"/>
      <c r="BL229" s="17">
        <f>VLOOKUP(BK229,'DATABASE F&amp;B'!$C$3:$F$210,2,0)</f>
        <v>0</v>
      </c>
      <c r="BM229" s="18"/>
      <c r="BN229" s="19">
        <f>VLOOKUP(BK229,'DATABASE F&amp;B'!$C$3:$F$210,4,0)</f>
        <v>0</v>
      </c>
      <c r="BO229" s="19">
        <f t="shared" si="234"/>
        <v>0</v>
      </c>
      <c r="BP229" s="16"/>
      <c r="BQ229" s="17">
        <f>VLOOKUP(BP229,'DATABASE F&amp;B'!$C$3:$F$210,2,0)</f>
        <v>0</v>
      </c>
      <c r="BR229" s="18"/>
      <c r="BS229" s="19">
        <f>VLOOKUP(BP229,'DATABASE F&amp;B'!$C$3:$F$210,4,0)</f>
        <v>0</v>
      </c>
      <c r="BT229" s="19">
        <f t="shared" si="235"/>
        <v>0</v>
      </c>
      <c r="BU229" s="16"/>
      <c r="BV229" s="17">
        <f>VLOOKUP(BU229,'DATABASE F&amp;B'!$C$3:$F$210,2,0)</f>
        <v>0</v>
      </c>
      <c r="BW229" s="18"/>
      <c r="BX229" s="19">
        <f>VLOOKUP(BU229,'DATABASE F&amp;B'!$C$3:$F$210,4,0)</f>
        <v>0</v>
      </c>
      <c r="BY229" s="19">
        <f t="shared" si="236"/>
        <v>0</v>
      </c>
      <c r="BZ229" s="16"/>
      <c r="CA229" s="17">
        <f>VLOOKUP(BZ229,'DATABASE F&amp;B'!$C$3:$F$210,2,0)</f>
        <v>0</v>
      </c>
      <c r="CB229" s="18"/>
      <c r="CC229" s="19">
        <f>VLOOKUP(BZ229,'DATABASE F&amp;B'!$C$3:$F$210,4,0)</f>
        <v>0</v>
      </c>
      <c r="CD229" s="19">
        <f t="shared" si="237"/>
        <v>0</v>
      </c>
    </row>
    <row r="230" spans="1:82" ht="13.5" x14ac:dyDescent="0.25">
      <c r="A230" s="32" t="str">
        <f t="shared" si="218"/>
        <v>--20</v>
      </c>
      <c r="B230" s="22">
        <f t="shared" si="217"/>
        <v>226</v>
      </c>
      <c r="C230" s="22">
        <f t="shared" si="217"/>
        <v>226</v>
      </c>
      <c r="D230" s="34"/>
      <c r="E230" s="35"/>
      <c r="F230" s="35"/>
      <c r="G230" s="52"/>
      <c r="H230" s="36" t="str">
        <f t="shared" si="195"/>
        <v>RJ--226</v>
      </c>
      <c r="I230" s="36" t="str">
        <f t="shared" si="219"/>
        <v>--20</v>
      </c>
      <c r="J230" s="37" t="e">
        <f>VLOOKUP(D230,Laporan!$C$4:$D$34,2,0)</f>
        <v>#N/A</v>
      </c>
      <c r="K230" s="48"/>
      <c r="L230" s="13"/>
      <c r="M230" s="19">
        <f>SUMIF('DATABASE Room'!$B$3:$B$7,L230,'DATABASE Room'!$D$3:$D$7)</f>
        <v>0</v>
      </c>
      <c r="N230" s="13"/>
      <c r="O230" s="21">
        <f t="shared" si="220"/>
        <v>0</v>
      </c>
      <c r="P230" s="38"/>
      <c r="Q230" s="19">
        <f t="shared" si="221"/>
        <v>0</v>
      </c>
      <c r="R230" s="21">
        <f t="shared" si="222"/>
        <v>0</v>
      </c>
      <c r="S230" s="19">
        <f t="shared" si="223"/>
        <v>3</v>
      </c>
      <c r="T230" s="19">
        <f t="shared" si="224"/>
        <v>0</v>
      </c>
      <c r="U230" s="21">
        <f t="shared" si="225"/>
        <v>0</v>
      </c>
      <c r="V230" s="39"/>
      <c r="W230" s="16"/>
      <c r="X230" s="17">
        <f>VLOOKUP(W230,'DATABASE F&amp;B'!$C$3:$F$216,2,0)</f>
        <v>0</v>
      </c>
      <c r="Y230" s="18"/>
      <c r="Z230" s="19">
        <f>VLOOKUP(W230,'DATABASE F&amp;B'!$C$3:$F$216,4,0)</f>
        <v>0</v>
      </c>
      <c r="AA230" s="19">
        <f t="shared" si="226"/>
        <v>0</v>
      </c>
      <c r="AB230" s="16"/>
      <c r="AC230" s="17">
        <f>VLOOKUP(AB230,'DATABASE F&amp;B'!$C$3:$F$216,2,0)</f>
        <v>0</v>
      </c>
      <c r="AD230" s="18"/>
      <c r="AE230" s="19">
        <f>VLOOKUP(AB230,'DATABASE F&amp;B'!$C$3:$F$216,4,0)</f>
        <v>0</v>
      </c>
      <c r="AF230" s="19">
        <f t="shared" si="227"/>
        <v>0</v>
      </c>
      <c r="AG230" s="16"/>
      <c r="AH230" s="17">
        <f>VLOOKUP(AG230,'DATABASE F&amp;B'!$C$3:$F$216,2,0)</f>
        <v>0</v>
      </c>
      <c r="AI230" s="18">
        <v>1</v>
      </c>
      <c r="AJ230" s="19">
        <f>VLOOKUP(AG230,'DATABASE F&amp;B'!$C$3:$F$216,4,0)</f>
        <v>0</v>
      </c>
      <c r="AK230" s="19">
        <f t="shared" si="228"/>
        <v>0</v>
      </c>
      <c r="AL230" s="16"/>
      <c r="AM230" s="17">
        <f>VLOOKUP(AL230,'DATABASE F&amp;B'!$C$3:$F$216,2,0)</f>
        <v>0</v>
      </c>
      <c r="AN230" s="18">
        <v>1</v>
      </c>
      <c r="AO230" s="19">
        <f>VLOOKUP(AL230,'DATABASE F&amp;B'!$C$3:$F$216,4,0)</f>
        <v>0</v>
      </c>
      <c r="AP230" s="19">
        <f t="shared" si="229"/>
        <v>0</v>
      </c>
      <c r="AQ230" s="16"/>
      <c r="AR230" s="17">
        <f>VLOOKUP(AQ230,'DATABASE F&amp;B'!$C$3:$F$216,2,0)</f>
        <v>0</v>
      </c>
      <c r="AS230" s="18">
        <v>1</v>
      </c>
      <c r="AT230" s="19">
        <f>VLOOKUP(AQ230,'DATABASE F&amp;B'!$C$3:$F$216,4,0)</f>
        <v>0</v>
      </c>
      <c r="AU230" s="19">
        <f t="shared" si="230"/>
        <v>0</v>
      </c>
      <c r="AV230" s="16"/>
      <c r="AW230" s="17">
        <f>VLOOKUP(AV230,'DATABASE F&amp;B'!$C$3:$F$216,2,0)</f>
        <v>0</v>
      </c>
      <c r="AX230" s="18"/>
      <c r="AY230" s="19">
        <f>VLOOKUP(AV230,'DATABASE F&amp;B'!$C$3:$F$216,4,0)</f>
        <v>0</v>
      </c>
      <c r="AZ230" s="19">
        <f t="shared" si="231"/>
        <v>0</v>
      </c>
      <c r="BA230" s="16"/>
      <c r="BB230" s="17">
        <f>VLOOKUP(BA230,'DATABASE F&amp;B'!$C$3:$F$216,2,0)</f>
        <v>0</v>
      </c>
      <c r="BC230" s="18"/>
      <c r="BD230" s="19">
        <f>VLOOKUP(BA230,'DATABASE F&amp;B'!$C$3:$F$216,4,0)</f>
        <v>0</v>
      </c>
      <c r="BE230" s="19">
        <f t="shared" si="232"/>
        <v>0</v>
      </c>
      <c r="BF230" s="16"/>
      <c r="BG230" s="17">
        <f>VLOOKUP(BF230,'DATABASE F&amp;B'!$C$3:$F$216,2,0)</f>
        <v>0</v>
      </c>
      <c r="BH230" s="18"/>
      <c r="BI230" s="19">
        <f>VLOOKUP(BF230,'DATABASE F&amp;B'!$C$3:$F$216,4,0)</f>
        <v>0</v>
      </c>
      <c r="BJ230" s="19">
        <f t="shared" si="233"/>
        <v>0</v>
      </c>
      <c r="BK230" s="16"/>
      <c r="BL230" s="17">
        <f>VLOOKUP(BK230,'DATABASE F&amp;B'!$C$3:$F$210,2,0)</f>
        <v>0</v>
      </c>
      <c r="BM230" s="18"/>
      <c r="BN230" s="19">
        <f>VLOOKUP(BK230,'DATABASE F&amp;B'!$C$3:$F$210,4,0)</f>
        <v>0</v>
      </c>
      <c r="BO230" s="19">
        <f t="shared" si="234"/>
        <v>0</v>
      </c>
      <c r="BP230" s="16"/>
      <c r="BQ230" s="17">
        <f>VLOOKUP(BP230,'DATABASE F&amp;B'!$C$3:$F$210,2,0)</f>
        <v>0</v>
      </c>
      <c r="BR230" s="18"/>
      <c r="BS230" s="19">
        <f>VLOOKUP(BP230,'DATABASE F&amp;B'!$C$3:$F$210,4,0)</f>
        <v>0</v>
      </c>
      <c r="BT230" s="19">
        <f t="shared" si="235"/>
        <v>0</v>
      </c>
      <c r="BU230" s="16"/>
      <c r="BV230" s="17">
        <f>VLOOKUP(BU230,'DATABASE F&amp;B'!$C$3:$F$210,2,0)</f>
        <v>0</v>
      </c>
      <c r="BW230" s="18"/>
      <c r="BX230" s="19">
        <f>VLOOKUP(BU230,'DATABASE F&amp;B'!$C$3:$F$210,4,0)</f>
        <v>0</v>
      </c>
      <c r="BY230" s="19">
        <f t="shared" si="236"/>
        <v>0</v>
      </c>
      <c r="BZ230" s="16"/>
      <c r="CA230" s="17">
        <f>VLOOKUP(BZ230,'DATABASE F&amp;B'!$C$3:$F$210,2,0)</f>
        <v>0</v>
      </c>
      <c r="CB230" s="18"/>
      <c r="CC230" s="19">
        <f>VLOOKUP(BZ230,'DATABASE F&amp;B'!$C$3:$F$210,4,0)</f>
        <v>0</v>
      </c>
      <c r="CD230" s="19">
        <f t="shared" si="237"/>
        <v>0</v>
      </c>
    </row>
    <row r="231" spans="1:82" ht="13.5" x14ac:dyDescent="0.25">
      <c r="A231" s="32" t="str">
        <f t="shared" si="218"/>
        <v>--20</v>
      </c>
      <c r="B231" s="22">
        <f t="shared" ref="B231:C246" si="238">B230+1</f>
        <v>227</v>
      </c>
      <c r="C231" s="22">
        <f t="shared" si="238"/>
        <v>227</v>
      </c>
      <c r="D231" s="34"/>
      <c r="E231" s="35"/>
      <c r="F231" s="35"/>
      <c r="G231" s="52"/>
      <c r="H231" s="36" t="str">
        <f t="shared" si="195"/>
        <v>RJ--227</v>
      </c>
      <c r="I231" s="36" t="str">
        <f t="shared" si="219"/>
        <v>--20</v>
      </c>
      <c r="J231" s="37" t="e">
        <f>VLOOKUP(D231,Laporan!$C$4:$D$34,2,0)</f>
        <v>#N/A</v>
      </c>
      <c r="K231" s="48"/>
      <c r="L231" s="13"/>
      <c r="M231" s="19">
        <f>SUMIF('DATABASE Room'!$B$3:$B$7,L231,'DATABASE Room'!$D$3:$D$7)</f>
        <v>0</v>
      </c>
      <c r="N231" s="13"/>
      <c r="O231" s="21">
        <f t="shared" si="220"/>
        <v>0</v>
      </c>
      <c r="P231" s="38"/>
      <c r="Q231" s="19">
        <f t="shared" si="221"/>
        <v>0</v>
      </c>
      <c r="R231" s="21">
        <f t="shared" si="222"/>
        <v>0</v>
      </c>
      <c r="S231" s="19">
        <f t="shared" si="223"/>
        <v>3</v>
      </c>
      <c r="T231" s="19">
        <f t="shared" si="224"/>
        <v>0</v>
      </c>
      <c r="U231" s="21">
        <f t="shared" si="225"/>
        <v>0</v>
      </c>
      <c r="V231" s="39"/>
      <c r="W231" s="16"/>
      <c r="X231" s="17">
        <f>VLOOKUP(W231,'DATABASE F&amp;B'!$C$3:$F$216,2,0)</f>
        <v>0</v>
      </c>
      <c r="Y231" s="18"/>
      <c r="Z231" s="19">
        <f>VLOOKUP(W231,'DATABASE F&amp;B'!$C$3:$F$216,4,0)</f>
        <v>0</v>
      </c>
      <c r="AA231" s="19">
        <f t="shared" si="226"/>
        <v>0</v>
      </c>
      <c r="AB231" s="16"/>
      <c r="AC231" s="17">
        <f>VLOOKUP(AB231,'DATABASE F&amp;B'!$C$3:$F$216,2,0)</f>
        <v>0</v>
      </c>
      <c r="AD231" s="18"/>
      <c r="AE231" s="19">
        <f>VLOOKUP(AB231,'DATABASE F&amp;B'!$C$3:$F$216,4,0)</f>
        <v>0</v>
      </c>
      <c r="AF231" s="19">
        <f t="shared" si="227"/>
        <v>0</v>
      </c>
      <c r="AG231" s="16"/>
      <c r="AH231" s="17">
        <f>VLOOKUP(AG231,'DATABASE F&amp;B'!$C$3:$F$216,2,0)</f>
        <v>0</v>
      </c>
      <c r="AI231" s="18">
        <v>1</v>
      </c>
      <c r="AJ231" s="19">
        <f>VLOOKUP(AG231,'DATABASE F&amp;B'!$C$3:$F$216,4,0)</f>
        <v>0</v>
      </c>
      <c r="AK231" s="19">
        <f t="shared" si="228"/>
        <v>0</v>
      </c>
      <c r="AL231" s="16"/>
      <c r="AM231" s="17">
        <f>VLOOKUP(AL231,'DATABASE F&amp;B'!$C$3:$F$216,2,0)</f>
        <v>0</v>
      </c>
      <c r="AN231" s="18">
        <v>1</v>
      </c>
      <c r="AO231" s="19">
        <f>VLOOKUP(AL231,'DATABASE F&amp;B'!$C$3:$F$216,4,0)</f>
        <v>0</v>
      </c>
      <c r="AP231" s="19">
        <f t="shared" si="229"/>
        <v>0</v>
      </c>
      <c r="AQ231" s="16"/>
      <c r="AR231" s="17">
        <f>VLOOKUP(AQ231,'DATABASE F&amp;B'!$C$3:$F$216,2,0)</f>
        <v>0</v>
      </c>
      <c r="AS231" s="18">
        <v>1</v>
      </c>
      <c r="AT231" s="19">
        <f>VLOOKUP(AQ231,'DATABASE F&amp;B'!$C$3:$F$216,4,0)</f>
        <v>0</v>
      </c>
      <c r="AU231" s="19">
        <f t="shared" si="230"/>
        <v>0</v>
      </c>
      <c r="AV231" s="16"/>
      <c r="AW231" s="17">
        <f>VLOOKUP(AV231,'DATABASE F&amp;B'!$C$3:$F$216,2,0)</f>
        <v>0</v>
      </c>
      <c r="AX231" s="18"/>
      <c r="AY231" s="19">
        <f>VLOOKUP(AV231,'DATABASE F&amp;B'!$C$3:$F$216,4,0)</f>
        <v>0</v>
      </c>
      <c r="AZ231" s="19">
        <f t="shared" si="231"/>
        <v>0</v>
      </c>
      <c r="BA231" s="16"/>
      <c r="BB231" s="17">
        <f>VLOOKUP(BA231,'DATABASE F&amp;B'!$C$3:$F$216,2,0)</f>
        <v>0</v>
      </c>
      <c r="BC231" s="18"/>
      <c r="BD231" s="19">
        <f>VLOOKUP(BA231,'DATABASE F&amp;B'!$C$3:$F$216,4,0)</f>
        <v>0</v>
      </c>
      <c r="BE231" s="19">
        <f t="shared" si="232"/>
        <v>0</v>
      </c>
      <c r="BF231" s="16"/>
      <c r="BG231" s="17">
        <f>VLOOKUP(BF231,'DATABASE F&amp;B'!$C$3:$F$216,2,0)</f>
        <v>0</v>
      </c>
      <c r="BH231" s="18"/>
      <c r="BI231" s="19">
        <f>VLOOKUP(BF231,'DATABASE F&amp;B'!$C$3:$F$216,4,0)</f>
        <v>0</v>
      </c>
      <c r="BJ231" s="19">
        <f t="shared" si="233"/>
        <v>0</v>
      </c>
      <c r="BK231" s="16"/>
      <c r="BL231" s="17">
        <f>VLOOKUP(BK231,'DATABASE F&amp;B'!$C$3:$F$210,2,0)</f>
        <v>0</v>
      </c>
      <c r="BM231" s="18"/>
      <c r="BN231" s="19">
        <f>VLOOKUP(BK231,'DATABASE F&amp;B'!$C$3:$F$210,4,0)</f>
        <v>0</v>
      </c>
      <c r="BO231" s="19">
        <f t="shared" si="234"/>
        <v>0</v>
      </c>
      <c r="BP231" s="16"/>
      <c r="BQ231" s="17">
        <f>VLOOKUP(BP231,'DATABASE F&amp;B'!$C$3:$F$210,2,0)</f>
        <v>0</v>
      </c>
      <c r="BR231" s="18"/>
      <c r="BS231" s="19">
        <f>VLOOKUP(BP231,'DATABASE F&amp;B'!$C$3:$F$210,4,0)</f>
        <v>0</v>
      </c>
      <c r="BT231" s="19">
        <f t="shared" si="235"/>
        <v>0</v>
      </c>
      <c r="BU231" s="16"/>
      <c r="BV231" s="17">
        <f>VLOOKUP(BU231,'DATABASE F&amp;B'!$C$3:$F$210,2,0)</f>
        <v>0</v>
      </c>
      <c r="BW231" s="18"/>
      <c r="BX231" s="19">
        <f>VLOOKUP(BU231,'DATABASE F&amp;B'!$C$3:$F$210,4,0)</f>
        <v>0</v>
      </c>
      <c r="BY231" s="19">
        <f t="shared" si="236"/>
        <v>0</v>
      </c>
      <c r="BZ231" s="16"/>
      <c r="CA231" s="17">
        <f>VLOOKUP(BZ231,'DATABASE F&amp;B'!$C$3:$F$210,2,0)</f>
        <v>0</v>
      </c>
      <c r="CB231" s="18"/>
      <c r="CC231" s="19">
        <f>VLOOKUP(BZ231,'DATABASE F&amp;B'!$C$3:$F$210,4,0)</f>
        <v>0</v>
      </c>
      <c r="CD231" s="19">
        <f t="shared" si="237"/>
        <v>0</v>
      </c>
    </row>
    <row r="232" spans="1:82" ht="13.5" x14ac:dyDescent="0.25">
      <c r="A232" s="32" t="str">
        <f t="shared" si="218"/>
        <v>--20</v>
      </c>
      <c r="B232" s="22">
        <f t="shared" si="238"/>
        <v>228</v>
      </c>
      <c r="C232" s="22">
        <f t="shared" si="238"/>
        <v>228</v>
      </c>
      <c r="D232" s="34"/>
      <c r="E232" s="35"/>
      <c r="F232" s="35"/>
      <c r="G232" s="52"/>
      <c r="H232" s="36" t="str">
        <f t="shared" si="195"/>
        <v>RJ--228</v>
      </c>
      <c r="I232" s="36" t="str">
        <f t="shared" si="219"/>
        <v>--20</v>
      </c>
      <c r="J232" s="37" t="e">
        <f>VLOOKUP(D232,Laporan!$C$4:$D$34,2,0)</f>
        <v>#N/A</v>
      </c>
      <c r="K232" s="48"/>
      <c r="L232" s="13"/>
      <c r="M232" s="19">
        <f>SUMIF('DATABASE Room'!$B$3:$B$7,L232,'DATABASE Room'!$D$3:$D$7)</f>
        <v>0</v>
      </c>
      <c r="N232" s="13"/>
      <c r="O232" s="21">
        <f t="shared" si="220"/>
        <v>0</v>
      </c>
      <c r="P232" s="38"/>
      <c r="Q232" s="19">
        <f t="shared" si="221"/>
        <v>0</v>
      </c>
      <c r="R232" s="21">
        <f t="shared" si="222"/>
        <v>0</v>
      </c>
      <c r="S232" s="19">
        <f t="shared" si="223"/>
        <v>3</v>
      </c>
      <c r="T232" s="19">
        <f t="shared" si="224"/>
        <v>0</v>
      </c>
      <c r="U232" s="21">
        <f t="shared" si="225"/>
        <v>0</v>
      </c>
      <c r="V232" s="39"/>
      <c r="W232" s="16"/>
      <c r="X232" s="17">
        <f>VLOOKUP(W232,'DATABASE F&amp;B'!$C$3:$F$216,2,0)</f>
        <v>0</v>
      </c>
      <c r="Y232" s="18"/>
      <c r="Z232" s="19">
        <f>VLOOKUP(W232,'DATABASE F&amp;B'!$C$3:$F$216,4,0)</f>
        <v>0</v>
      </c>
      <c r="AA232" s="19">
        <f t="shared" si="226"/>
        <v>0</v>
      </c>
      <c r="AB232" s="16"/>
      <c r="AC232" s="17">
        <f>VLOOKUP(AB232,'DATABASE F&amp;B'!$C$3:$F$216,2,0)</f>
        <v>0</v>
      </c>
      <c r="AD232" s="18"/>
      <c r="AE232" s="19">
        <f>VLOOKUP(AB232,'DATABASE F&amp;B'!$C$3:$F$216,4,0)</f>
        <v>0</v>
      </c>
      <c r="AF232" s="19">
        <f t="shared" si="227"/>
        <v>0</v>
      </c>
      <c r="AG232" s="16"/>
      <c r="AH232" s="17">
        <f>VLOOKUP(AG232,'DATABASE F&amp;B'!$C$3:$F$216,2,0)</f>
        <v>0</v>
      </c>
      <c r="AI232" s="18">
        <v>1</v>
      </c>
      <c r="AJ232" s="19">
        <f>VLOOKUP(AG232,'DATABASE F&amp;B'!$C$3:$F$216,4,0)</f>
        <v>0</v>
      </c>
      <c r="AK232" s="19">
        <f t="shared" si="228"/>
        <v>0</v>
      </c>
      <c r="AL232" s="16"/>
      <c r="AM232" s="17">
        <f>VLOOKUP(AL232,'DATABASE F&amp;B'!$C$3:$F$216,2,0)</f>
        <v>0</v>
      </c>
      <c r="AN232" s="18">
        <v>1</v>
      </c>
      <c r="AO232" s="19">
        <f>VLOOKUP(AL232,'DATABASE F&amp;B'!$C$3:$F$216,4,0)</f>
        <v>0</v>
      </c>
      <c r="AP232" s="19">
        <f t="shared" si="229"/>
        <v>0</v>
      </c>
      <c r="AQ232" s="16"/>
      <c r="AR232" s="17">
        <f>VLOOKUP(AQ232,'DATABASE F&amp;B'!$C$3:$F$216,2,0)</f>
        <v>0</v>
      </c>
      <c r="AS232" s="18">
        <v>1</v>
      </c>
      <c r="AT232" s="19">
        <f>VLOOKUP(AQ232,'DATABASE F&amp;B'!$C$3:$F$216,4,0)</f>
        <v>0</v>
      </c>
      <c r="AU232" s="19">
        <f t="shared" si="230"/>
        <v>0</v>
      </c>
      <c r="AV232" s="16"/>
      <c r="AW232" s="17">
        <f>VLOOKUP(AV232,'DATABASE F&amp;B'!$C$3:$F$216,2,0)</f>
        <v>0</v>
      </c>
      <c r="AX232" s="18"/>
      <c r="AY232" s="19">
        <f>VLOOKUP(AV232,'DATABASE F&amp;B'!$C$3:$F$216,4,0)</f>
        <v>0</v>
      </c>
      <c r="AZ232" s="19">
        <f t="shared" si="231"/>
        <v>0</v>
      </c>
      <c r="BA232" s="16"/>
      <c r="BB232" s="17">
        <f>VLOOKUP(BA232,'DATABASE F&amp;B'!$C$3:$F$216,2,0)</f>
        <v>0</v>
      </c>
      <c r="BC232" s="18"/>
      <c r="BD232" s="19">
        <f>VLOOKUP(BA232,'DATABASE F&amp;B'!$C$3:$F$216,4,0)</f>
        <v>0</v>
      </c>
      <c r="BE232" s="19">
        <f t="shared" si="232"/>
        <v>0</v>
      </c>
      <c r="BF232" s="16"/>
      <c r="BG232" s="17">
        <f>VLOOKUP(BF232,'DATABASE F&amp;B'!$C$3:$F$216,2,0)</f>
        <v>0</v>
      </c>
      <c r="BH232" s="18"/>
      <c r="BI232" s="19">
        <f>VLOOKUP(BF232,'DATABASE F&amp;B'!$C$3:$F$216,4,0)</f>
        <v>0</v>
      </c>
      <c r="BJ232" s="19">
        <f t="shared" si="233"/>
        <v>0</v>
      </c>
      <c r="BK232" s="16"/>
      <c r="BL232" s="17">
        <f>VLOOKUP(BK232,'DATABASE F&amp;B'!$C$3:$F$210,2,0)</f>
        <v>0</v>
      </c>
      <c r="BM232" s="18"/>
      <c r="BN232" s="19">
        <f>VLOOKUP(BK232,'DATABASE F&amp;B'!$C$3:$F$210,4,0)</f>
        <v>0</v>
      </c>
      <c r="BO232" s="19">
        <f t="shared" si="234"/>
        <v>0</v>
      </c>
      <c r="BP232" s="16"/>
      <c r="BQ232" s="17">
        <f>VLOOKUP(BP232,'DATABASE F&amp;B'!$C$3:$F$210,2,0)</f>
        <v>0</v>
      </c>
      <c r="BR232" s="18"/>
      <c r="BS232" s="19">
        <f>VLOOKUP(BP232,'DATABASE F&amp;B'!$C$3:$F$210,4,0)</f>
        <v>0</v>
      </c>
      <c r="BT232" s="19">
        <f t="shared" si="235"/>
        <v>0</v>
      </c>
      <c r="BU232" s="16"/>
      <c r="BV232" s="17">
        <f>VLOOKUP(BU232,'DATABASE F&amp;B'!$C$3:$F$210,2,0)</f>
        <v>0</v>
      </c>
      <c r="BW232" s="18"/>
      <c r="BX232" s="19">
        <f>VLOOKUP(BU232,'DATABASE F&amp;B'!$C$3:$F$210,4,0)</f>
        <v>0</v>
      </c>
      <c r="BY232" s="19">
        <f t="shared" si="236"/>
        <v>0</v>
      </c>
      <c r="BZ232" s="16"/>
      <c r="CA232" s="17">
        <f>VLOOKUP(BZ232,'DATABASE F&amp;B'!$C$3:$F$210,2,0)</f>
        <v>0</v>
      </c>
      <c r="CB232" s="18"/>
      <c r="CC232" s="19">
        <f>VLOOKUP(BZ232,'DATABASE F&amp;B'!$C$3:$F$210,4,0)</f>
        <v>0</v>
      </c>
      <c r="CD232" s="19">
        <f t="shared" si="237"/>
        <v>0</v>
      </c>
    </row>
    <row r="233" spans="1:82" ht="13.5" x14ac:dyDescent="0.25">
      <c r="A233" s="32" t="str">
        <f t="shared" si="218"/>
        <v>--20</v>
      </c>
      <c r="B233" s="22">
        <f t="shared" si="238"/>
        <v>229</v>
      </c>
      <c r="C233" s="22">
        <f t="shared" si="238"/>
        <v>229</v>
      </c>
      <c r="D233" s="34"/>
      <c r="E233" s="35"/>
      <c r="F233" s="35"/>
      <c r="G233" s="52"/>
      <c r="H233" s="36" t="str">
        <f t="shared" si="195"/>
        <v>RJ--229</v>
      </c>
      <c r="I233" s="36" t="str">
        <f t="shared" si="219"/>
        <v>--20</v>
      </c>
      <c r="J233" s="37" t="e">
        <f>VLOOKUP(D233,Laporan!$C$4:$D$34,2,0)</f>
        <v>#N/A</v>
      </c>
      <c r="K233" s="48"/>
      <c r="L233" s="13"/>
      <c r="M233" s="19">
        <f>SUMIF('DATABASE Room'!$B$3:$B$7,L233,'DATABASE Room'!$D$3:$D$7)</f>
        <v>0</v>
      </c>
      <c r="N233" s="13"/>
      <c r="O233" s="21">
        <f t="shared" si="220"/>
        <v>0</v>
      </c>
      <c r="P233" s="38"/>
      <c r="Q233" s="19">
        <f t="shared" si="221"/>
        <v>0</v>
      </c>
      <c r="R233" s="21">
        <f t="shared" si="222"/>
        <v>0</v>
      </c>
      <c r="S233" s="19">
        <f t="shared" si="223"/>
        <v>3</v>
      </c>
      <c r="T233" s="19">
        <f t="shared" si="224"/>
        <v>0</v>
      </c>
      <c r="U233" s="21">
        <f t="shared" si="225"/>
        <v>0</v>
      </c>
      <c r="V233" s="39"/>
      <c r="W233" s="16"/>
      <c r="X233" s="17">
        <f>VLOOKUP(W233,'DATABASE F&amp;B'!$C$3:$F$216,2,0)</f>
        <v>0</v>
      </c>
      <c r="Y233" s="18"/>
      <c r="Z233" s="19">
        <f>VLOOKUP(W233,'DATABASE F&amp;B'!$C$3:$F$216,4,0)</f>
        <v>0</v>
      </c>
      <c r="AA233" s="19">
        <f t="shared" si="226"/>
        <v>0</v>
      </c>
      <c r="AB233" s="16"/>
      <c r="AC233" s="17">
        <f>VLOOKUP(AB233,'DATABASE F&amp;B'!$C$3:$F$216,2,0)</f>
        <v>0</v>
      </c>
      <c r="AD233" s="18"/>
      <c r="AE233" s="19">
        <f>VLOOKUP(AB233,'DATABASE F&amp;B'!$C$3:$F$216,4,0)</f>
        <v>0</v>
      </c>
      <c r="AF233" s="19">
        <f t="shared" si="227"/>
        <v>0</v>
      </c>
      <c r="AG233" s="16"/>
      <c r="AH233" s="17">
        <f>VLOOKUP(AG233,'DATABASE F&amp;B'!$C$3:$F$216,2,0)</f>
        <v>0</v>
      </c>
      <c r="AI233" s="18">
        <v>1</v>
      </c>
      <c r="AJ233" s="19">
        <f>VLOOKUP(AG233,'DATABASE F&amp;B'!$C$3:$F$216,4,0)</f>
        <v>0</v>
      </c>
      <c r="AK233" s="19">
        <f t="shared" si="228"/>
        <v>0</v>
      </c>
      <c r="AL233" s="16"/>
      <c r="AM233" s="17">
        <f>VLOOKUP(AL233,'DATABASE F&amp;B'!$C$3:$F$216,2,0)</f>
        <v>0</v>
      </c>
      <c r="AN233" s="18">
        <v>1</v>
      </c>
      <c r="AO233" s="19">
        <f>VLOOKUP(AL233,'DATABASE F&amp;B'!$C$3:$F$216,4,0)</f>
        <v>0</v>
      </c>
      <c r="AP233" s="19">
        <f t="shared" si="229"/>
        <v>0</v>
      </c>
      <c r="AQ233" s="16"/>
      <c r="AR233" s="17">
        <f>VLOOKUP(AQ233,'DATABASE F&amp;B'!$C$3:$F$216,2,0)</f>
        <v>0</v>
      </c>
      <c r="AS233" s="18">
        <v>1</v>
      </c>
      <c r="AT233" s="19">
        <f>VLOOKUP(AQ233,'DATABASE F&amp;B'!$C$3:$F$216,4,0)</f>
        <v>0</v>
      </c>
      <c r="AU233" s="19">
        <f t="shared" si="230"/>
        <v>0</v>
      </c>
      <c r="AV233" s="16"/>
      <c r="AW233" s="17">
        <f>VLOOKUP(AV233,'DATABASE F&amp;B'!$C$3:$F$216,2,0)</f>
        <v>0</v>
      </c>
      <c r="AX233" s="18"/>
      <c r="AY233" s="19">
        <f>VLOOKUP(AV233,'DATABASE F&amp;B'!$C$3:$F$216,4,0)</f>
        <v>0</v>
      </c>
      <c r="AZ233" s="19">
        <f t="shared" si="231"/>
        <v>0</v>
      </c>
      <c r="BA233" s="16"/>
      <c r="BB233" s="17">
        <f>VLOOKUP(BA233,'DATABASE F&amp;B'!$C$3:$F$216,2,0)</f>
        <v>0</v>
      </c>
      <c r="BC233" s="18"/>
      <c r="BD233" s="19">
        <f>VLOOKUP(BA233,'DATABASE F&amp;B'!$C$3:$F$216,4,0)</f>
        <v>0</v>
      </c>
      <c r="BE233" s="19">
        <f t="shared" si="232"/>
        <v>0</v>
      </c>
      <c r="BF233" s="16"/>
      <c r="BG233" s="17">
        <f>VLOOKUP(BF233,'DATABASE F&amp;B'!$C$3:$F$216,2,0)</f>
        <v>0</v>
      </c>
      <c r="BH233" s="18"/>
      <c r="BI233" s="19">
        <f>VLOOKUP(BF233,'DATABASE F&amp;B'!$C$3:$F$216,4,0)</f>
        <v>0</v>
      </c>
      <c r="BJ233" s="19">
        <f t="shared" si="233"/>
        <v>0</v>
      </c>
      <c r="BK233" s="16"/>
      <c r="BL233" s="17">
        <f>VLOOKUP(BK233,'DATABASE F&amp;B'!$C$3:$F$210,2,0)</f>
        <v>0</v>
      </c>
      <c r="BM233" s="18"/>
      <c r="BN233" s="19">
        <f>VLOOKUP(BK233,'DATABASE F&amp;B'!$C$3:$F$210,4,0)</f>
        <v>0</v>
      </c>
      <c r="BO233" s="19">
        <f t="shared" si="234"/>
        <v>0</v>
      </c>
      <c r="BP233" s="16"/>
      <c r="BQ233" s="17">
        <f>VLOOKUP(BP233,'DATABASE F&amp;B'!$C$3:$F$210,2,0)</f>
        <v>0</v>
      </c>
      <c r="BR233" s="18"/>
      <c r="BS233" s="19">
        <f>VLOOKUP(BP233,'DATABASE F&amp;B'!$C$3:$F$210,4,0)</f>
        <v>0</v>
      </c>
      <c r="BT233" s="19">
        <f t="shared" si="235"/>
        <v>0</v>
      </c>
      <c r="BU233" s="16"/>
      <c r="BV233" s="17">
        <f>VLOOKUP(BU233,'DATABASE F&amp;B'!$C$3:$F$210,2,0)</f>
        <v>0</v>
      </c>
      <c r="BW233" s="18"/>
      <c r="BX233" s="19">
        <f>VLOOKUP(BU233,'DATABASE F&amp;B'!$C$3:$F$210,4,0)</f>
        <v>0</v>
      </c>
      <c r="BY233" s="19">
        <f t="shared" si="236"/>
        <v>0</v>
      </c>
      <c r="BZ233" s="16"/>
      <c r="CA233" s="17">
        <f>VLOOKUP(BZ233,'DATABASE F&amp;B'!$C$3:$F$210,2,0)</f>
        <v>0</v>
      </c>
      <c r="CB233" s="18"/>
      <c r="CC233" s="19">
        <f>VLOOKUP(BZ233,'DATABASE F&amp;B'!$C$3:$F$210,4,0)</f>
        <v>0</v>
      </c>
      <c r="CD233" s="19">
        <f t="shared" si="237"/>
        <v>0</v>
      </c>
    </row>
    <row r="234" spans="1:82" ht="13.5" x14ac:dyDescent="0.25">
      <c r="A234" s="32" t="str">
        <f t="shared" si="218"/>
        <v>--20</v>
      </c>
      <c r="B234" s="22">
        <f t="shared" si="238"/>
        <v>230</v>
      </c>
      <c r="C234" s="22">
        <f t="shared" si="238"/>
        <v>230</v>
      </c>
      <c r="D234" s="34"/>
      <c r="E234" s="35"/>
      <c r="F234" s="35"/>
      <c r="G234" s="52"/>
      <c r="H234" s="36" t="str">
        <f t="shared" si="195"/>
        <v>RJ--230</v>
      </c>
      <c r="I234" s="36" t="str">
        <f t="shared" si="219"/>
        <v>--20</v>
      </c>
      <c r="J234" s="37" t="e">
        <f>VLOOKUP(D234,Laporan!$C$4:$D$34,2,0)</f>
        <v>#N/A</v>
      </c>
      <c r="K234" s="48"/>
      <c r="L234" s="13"/>
      <c r="M234" s="19">
        <f>SUMIF('DATABASE Room'!$B$3:$B$7,L234,'DATABASE Room'!$D$3:$D$7)</f>
        <v>0</v>
      </c>
      <c r="N234" s="13"/>
      <c r="O234" s="21">
        <f t="shared" si="220"/>
        <v>0</v>
      </c>
      <c r="P234" s="38"/>
      <c r="Q234" s="19">
        <f t="shared" si="221"/>
        <v>0</v>
      </c>
      <c r="R234" s="21">
        <f t="shared" si="222"/>
        <v>0</v>
      </c>
      <c r="S234" s="19">
        <f t="shared" si="223"/>
        <v>3</v>
      </c>
      <c r="T234" s="19">
        <f t="shared" si="224"/>
        <v>0</v>
      </c>
      <c r="U234" s="21">
        <f t="shared" si="225"/>
        <v>0</v>
      </c>
      <c r="V234" s="39"/>
      <c r="W234" s="16"/>
      <c r="X234" s="17">
        <f>VLOOKUP(W234,'DATABASE F&amp;B'!$C$3:$F$216,2,0)</f>
        <v>0</v>
      </c>
      <c r="Y234" s="18"/>
      <c r="Z234" s="19">
        <f>VLOOKUP(W234,'DATABASE F&amp;B'!$C$3:$F$216,4,0)</f>
        <v>0</v>
      </c>
      <c r="AA234" s="19">
        <f t="shared" si="226"/>
        <v>0</v>
      </c>
      <c r="AB234" s="16"/>
      <c r="AC234" s="17">
        <f>VLOOKUP(AB234,'DATABASE F&amp;B'!$C$3:$F$216,2,0)</f>
        <v>0</v>
      </c>
      <c r="AD234" s="18"/>
      <c r="AE234" s="19">
        <f>VLOOKUP(AB234,'DATABASE F&amp;B'!$C$3:$F$216,4,0)</f>
        <v>0</v>
      </c>
      <c r="AF234" s="19">
        <f t="shared" si="227"/>
        <v>0</v>
      </c>
      <c r="AG234" s="16"/>
      <c r="AH234" s="17">
        <f>VLOOKUP(AG234,'DATABASE F&amp;B'!$C$3:$F$216,2,0)</f>
        <v>0</v>
      </c>
      <c r="AI234" s="18">
        <v>1</v>
      </c>
      <c r="AJ234" s="19">
        <f>VLOOKUP(AG234,'DATABASE F&amp;B'!$C$3:$F$216,4,0)</f>
        <v>0</v>
      </c>
      <c r="AK234" s="19">
        <f t="shared" si="228"/>
        <v>0</v>
      </c>
      <c r="AL234" s="16"/>
      <c r="AM234" s="17">
        <f>VLOOKUP(AL234,'DATABASE F&amp;B'!$C$3:$F$216,2,0)</f>
        <v>0</v>
      </c>
      <c r="AN234" s="18">
        <v>1</v>
      </c>
      <c r="AO234" s="19">
        <f>VLOOKUP(AL234,'DATABASE F&amp;B'!$C$3:$F$216,4,0)</f>
        <v>0</v>
      </c>
      <c r="AP234" s="19">
        <f t="shared" si="229"/>
        <v>0</v>
      </c>
      <c r="AQ234" s="16"/>
      <c r="AR234" s="17">
        <f>VLOOKUP(AQ234,'DATABASE F&amp;B'!$C$3:$F$216,2,0)</f>
        <v>0</v>
      </c>
      <c r="AS234" s="18">
        <v>1</v>
      </c>
      <c r="AT234" s="19">
        <f>VLOOKUP(AQ234,'DATABASE F&amp;B'!$C$3:$F$216,4,0)</f>
        <v>0</v>
      </c>
      <c r="AU234" s="19">
        <f t="shared" si="230"/>
        <v>0</v>
      </c>
      <c r="AV234" s="16"/>
      <c r="AW234" s="17">
        <f>VLOOKUP(AV234,'DATABASE F&amp;B'!$C$3:$F$216,2,0)</f>
        <v>0</v>
      </c>
      <c r="AX234" s="18"/>
      <c r="AY234" s="19">
        <f>VLOOKUP(AV234,'DATABASE F&amp;B'!$C$3:$F$216,4,0)</f>
        <v>0</v>
      </c>
      <c r="AZ234" s="19">
        <f t="shared" si="231"/>
        <v>0</v>
      </c>
      <c r="BA234" s="16"/>
      <c r="BB234" s="17">
        <f>VLOOKUP(BA234,'DATABASE F&amp;B'!$C$3:$F$216,2,0)</f>
        <v>0</v>
      </c>
      <c r="BC234" s="18"/>
      <c r="BD234" s="19">
        <f>VLOOKUP(BA234,'DATABASE F&amp;B'!$C$3:$F$216,4,0)</f>
        <v>0</v>
      </c>
      <c r="BE234" s="19">
        <f t="shared" si="232"/>
        <v>0</v>
      </c>
      <c r="BF234" s="16"/>
      <c r="BG234" s="17">
        <f>VLOOKUP(BF234,'DATABASE F&amp;B'!$C$3:$F$216,2,0)</f>
        <v>0</v>
      </c>
      <c r="BH234" s="18"/>
      <c r="BI234" s="19">
        <f>VLOOKUP(BF234,'DATABASE F&amp;B'!$C$3:$F$216,4,0)</f>
        <v>0</v>
      </c>
      <c r="BJ234" s="19">
        <f t="shared" si="233"/>
        <v>0</v>
      </c>
      <c r="BK234" s="16"/>
      <c r="BL234" s="17">
        <f>VLOOKUP(BK234,'DATABASE F&amp;B'!$C$3:$F$210,2,0)</f>
        <v>0</v>
      </c>
      <c r="BM234" s="18"/>
      <c r="BN234" s="19">
        <f>VLOOKUP(BK234,'DATABASE F&amp;B'!$C$3:$F$210,4,0)</f>
        <v>0</v>
      </c>
      <c r="BO234" s="19">
        <f t="shared" si="234"/>
        <v>0</v>
      </c>
      <c r="BP234" s="16"/>
      <c r="BQ234" s="17">
        <f>VLOOKUP(BP234,'DATABASE F&amp;B'!$C$3:$F$210,2,0)</f>
        <v>0</v>
      </c>
      <c r="BR234" s="18"/>
      <c r="BS234" s="19">
        <f>VLOOKUP(BP234,'DATABASE F&amp;B'!$C$3:$F$210,4,0)</f>
        <v>0</v>
      </c>
      <c r="BT234" s="19">
        <f t="shared" si="235"/>
        <v>0</v>
      </c>
      <c r="BU234" s="16"/>
      <c r="BV234" s="17">
        <f>VLOOKUP(BU234,'DATABASE F&amp;B'!$C$3:$F$210,2,0)</f>
        <v>0</v>
      </c>
      <c r="BW234" s="18"/>
      <c r="BX234" s="19">
        <f>VLOOKUP(BU234,'DATABASE F&amp;B'!$C$3:$F$210,4,0)</f>
        <v>0</v>
      </c>
      <c r="BY234" s="19">
        <f t="shared" si="236"/>
        <v>0</v>
      </c>
      <c r="BZ234" s="16"/>
      <c r="CA234" s="17">
        <f>VLOOKUP(BZ234,'DATABASE F&amp;B'!$C$3:$F$210,2,0)</f>
        <v>0</v>
      </c>
      <c r="CB234" s="18"/>
      <c r="CC234" s="19">
        <f>VLOOKUP(BZ234,'DATABASE F&amp;B'!$C$3:$F$210,4,0)</f>
        <v>0</v>
      </c>
      <c r="CD234" s="19">
        <f t="shared" si="237"/>
        <v>0</v>
      </c>
    </row>
    <row r="235" spans="1:82" ht="13.5" x14ac:dyDescent="0.25">
      <c r="A235" s="32" t="str">
        <f t="shared" si="218"/>
        <v>--20</v>
      </c>
      <c r="B235" s="22">
        <f t="shared" si="238"/>
        <v>231</v>
      </c>
      <c r="C235" s="22">
        <f t="shared" si="238"/>
        <v>231</v>
      </c>
      <c r="D235" s="34"/>
      <c r="E235" s="35"/>
      <c r="F235" s="35"/>
      <c r="G235" s="52"/>
      <c r="H235" s="36" t="str">
        <f t="shared" si="195"/>
        <v>RJ--231</v>
      </c>
      <c r="I235" s="36" t="str">
        <f t="shared" si="219"/>
        <v>--20</v>
      </c>
      <c r="J235" s="37" t="e">
        <f>VLOOKUP(D235,Laporan!$C$4:$D$34,2,0)</f>
        <v>#N/A</v>
      </c>
      <c r="K235" s="48"/>
      <c r="L235" s="13"/>
      <c r="M235" s="19">
        <f>SUMIF('DATABASE Room'!$B$3:$B$7,L235,'DATABASE Room'!$D$3:$D$7)</f>
        <v>0</v>
      </c>
      <c r="N235" s="13"/>
      <c r="O235" s="21">
        <f t="shared" si="220"/>
        <v>0</v>
      </c>
      <c r="P235" s="38"/>
      <c r="Q235" s="19">
        <f t="shared" si="221"/>
        <v>0</v>
      </c>
      <c r="R235" s="21">
        <f t="shared" si="222"/>
        <v>0</v>
      </c>
      <c r="S235" s="19">
        <f t="shared" si="223"/>
        <v>3</v>
      </c>
      <c r="T235" s="19">
        <f t="shared" si="224"/>
        <v>0</v>
      </c>
      <c r="U235" s="21">
        <f t="shared" si="225"/>
        <v>0</v>
      </c>
      <c r="V235" s="39"/>
      <c r="W235" s="16"/>
      <c r="X235" s="17">
        <f>VLOOKUP(W235,'DATABASE F&amp;B'!$C$3:$F$216,2,0)</f>
        <v>0</v>
      </c>
      <c r="Y235" s="18"/>
      <c r="Z235" s="19">
        <f>VLOOKUP(W235,'DATABASE F&amp;B'!$C$3:$F$216,4,0)</f>
        <v>0</v>
      </c>
      <c r="AA235" s="19">
        <f t="shared" si="226"/>
        <v>0</v>
      </c>
      <c r="AB235" s="16"/>
      <c r="AC235" s="17">
        <f>VLOOKUP(AB235,'DATABASE F&amp;B'!$C$3:$F$216,2,0)</f>
        <v>0</v>
      </c>
      <c r="AD235" s="18"/>
      <c r="AE235" s="19">
        <f>VLOOKUP(AB235,'DATABASE F&amp;B'!$C$3:$F$216,4,0)</f>
        <v>0</v>
      </c>
      <c r="AF235" s="19">
        <f t="shared" si="227"/>
        <v>0</v>
      </c>
      <c r="AG235" s="16"/>
      <c r="AH235" s="17">
        <f>VLOOKUP(AG235,'DATABASE F&amp;B'!$C$3:$F$216,2,0)</f>
        <v>0</v>
      </c>
      <c r="AI235" s="18">
        <v>1</v>
      </c>
      <c r="AJ235" s="19">
        <f>VLOOKUP(AG235,'DATABASE F&amp;B'!$C$3:$F$216,4,0)</f>
        <v>0</v>
      </c>
      <c r="AK235" s="19">
        <f t="shared" si="228"/>
        <v>0</v>
      </c>
      <c r="AL235" s="16"/>
      <c r="AM235" s="17">
        <f>VLOOKUP(AL235,'DATABASE F&amp;B'!$C$3:$F$216,2,0)</f>
        <v>0</v>
      </c>
      <c r="AN235" s="18">
        <v>1</v>
      </c>
      <c r="AO235" s="19">
        <f>VLOOKUP(AL235,'DATABASE F&amp;B'!$C$3:$F$216,4,0)</f>
        <v>0</v>
      </c>
      <c r="AP235" s="19">
        <f t="shared" si="229"/>
        <v>0</v>
      </c>
      <c r="AQ235" s="16"/>
      <c r="AR235" s="17">
        <f>VLOOKUP(AQ235,'DATABASE F&amp;B'!$C$3:$F$216,2,0)</f>
        <v>0</v>
      </c>
      <c r="AS235" s="18">
        <v>1</v>
      </c>
      <c r="AT235" s="19">
        <f>VLOOKUP(AQ235,'DATABASE F&amp;B'!$C$3:$F$216,4,0)</f>
        <v>0</v>
      </c>
      <c r="AU235" s="19">
        <f t="shared" si="230"/>
        <v>0</v>
      </c>
      <c r="AV235" s="16"/>
      <c r="AW235" s="17">
        <f>VLOOKUP(AV235,'DATABASE F&amp;B'!$C$3:$F$216,2,0)</f>
        <v>0</v>
      </c>
      <c r="AX235" s="18"/>
      <c r="AY235" s="19">
        <f>VLOOKUP(AV235,'DATABASE F&amp;B'!$C$3:$F$216,4,0)</f>
        <v>0</v>
      </c>
      <c r="AZ235" s="19">
        <f t="shared" si="231"/>
        <v>0</v>
      </c>
      <c r="BA235" s="16"/>
      <c r="BB235" s="17">
        <f>VLOOKUP(BA235,'DATABASE F&amp;B'!$C$3:$F$216,2,0)</f>
        <v>0</v>
      </c>
      <c r="BC235" s="18"/>
      <c r="BD235" s="19">
        <f>VLOOKUP(BA235,'DATABASE F&amp;B'!$C$3:$F$216,4,0)</f>
        <v>0</v>
      </c>
      <c r="BE235" s="19">
        <f t="shared" si="232"/>
        <v>0</v>
      </c>
      <c r="BF235" s="16"/>
      <c r="BG235" s="17">
        <f>VLOOKUP(BF235,'DATABASE F&amp;B'!$C$3:$F$216,2,0)</f>
        <v>0</v>
      </c>
      <c r="BH235" s="18"/>
      <c r="BI235" s="19">
        <f>VLOOKUP(BF235,'DATABASE F&amp;B'!$C$3:$F$216,4,0)</f>
        <v>0</v>
      </c>
      <c r="BJ235" s="19">
        <f t="shared" si="233"/>
        <v>0</v>
      </c>
      <c r="BK235" s="16"/>
      <c r="BL235" s="17">
        <f>VLOOKUP(BK235,'DATABASE F&amp;B'!$C$3:$F$210,2,0)</f>
        <v>0</v>
      </c>
      <c r="BM235" s="18"/>
      <c r="BN235" s="19">
        <f>VLOOKUP(BK235,'DATABASE F&amp;B'!$C$3:$F$210,4,0)</f>
        <v>0</v>
      </c>
      <c r="BO235" s="19">
        <f t="shared" si="234"/>
        <v>0</v>
      </c>
      <c r="BP235" s="16"/>
      <c r="BQ235" s="17">
        <f>VLOOKUP(BP235,'DATABASE F&amp;B'!$C$3:$F$210,2,0)</f>
        <v>0</v>
      </c>
      <c r="BR235" s="18"/>
      <c r="BS235" s="19">
        <f>VLOOKUP(BP235,'DATABASE F&amp;B'!$C$3:$F$210,4,0)</f>
        <v>0</v>
      </c>
      <c r="BT235" s="19">
        <f t="shared" si="235"/>
        <v>0</v>
      </c>
      <c r="BU235" s="16"/>
      <c r="BV235" s="17">
        <f>VLOOKUP(BU235,'DATABASE F&amp;B'!$C$3:$F$210,2,0)</f>
        <v>0</v>
      </c>
      <c r="BW235" s="18"/>
      <c r="BX235" s="19">
        <f>VLOOKUP(BU235,'DATABASE F&amp;B'!$C$3:$F$210,4,0)</f>
        <v>0</v>
      </c>
      <c r="BY235" s="19">
        <f t="shared" si="236"/>
        <v>0</v>
      </c>
      <c r="BZ235" s="16"/>
      <c r="CA235" s="17">
        <f>VLOOKUP(BZ235,'DATABASE F&amp;B'!$C$3:$F$210,2,0)</f>
        <v>0</v>
      </c>
      <c r="CB235" s="18"/>
      <c r="CC235" s="19">
        <f>VLOOKUP(BZ235,'DATABASE F&amp;B'!$C$3:$F$210,4,0)</f>
        <v>0</v>
      </c>
      <c r="CD235" s="19">
        <f t="shared" si="237"/>
        <v>0</v>
      </c>
    </row>
    <row r="236" spans="1:82" ht="13.5" x14ac:dyDescent="0.25">
      <c r="A236" s="32" t="str">
        <f t="shared" si="218"/>
        <v>--20</v>
      </c>
      <c r="B236" s="22">
        <f t="shared" si="238"/>
        <v>232</v>
      </c>
      <c r="C236" s="22">
        <f t="shared" si="238"/>
        <v>232</v>
      </c>
      <c r="D236" s="34"/>
      <c r="E236" s="35"/>
      <c r="F236" s="35"/>
      <c r="G236" s="52"/>
      <c r="H236" s="36" t="str">
        <f t="shared" si="195"/>
        <v>RJ--232</v>
      </c>
      <c r="I236" s="36" t="str">
        <f t="shared" si="219"/>
        <v>--20</v>
      </c>
      <c r="J236" s="37" t="e">
        <f>VLOOKUP(D236,Laporan!$C$4:$D$34,2,0)</f>
        <v>#N/A</v>
      </c>
      <c r="K236" s="48"/>
      <c r="L236" s="13"/>
      <c r="M236" s="19">
        <f>SUMIF('DATABASE Room'!$B$3:$B$7,L236,'DATABASE Room'!$D$3:$D$7)</f>
        <v>0</v>
      </c>
      <c r="N236" s="13"/>
      <c r="O236" s="21">
        <f t="shared" si="220"/>
        <v>0</v>
      </c>
      <c r="P236" s="38"/>
      <c r="Q236" s="19">
        <f t="shared" si="221"/>
        <v>0</v>
      </c>
      <c r="R236" s="21">
        <f t="shared" si="222"/>
        <v>0</v>
      </c>
      <c r="S236" s="19">
        <f t="shared" si="223"/>
        <v>3</v>
      </c>
      <c r="T236" s="19">
        <f t="shared" si="224"/>
        <v>0</v>
      </c>
      <c r="U236" s="21">
        <f t="shared" si="225"/>
        <v>0</v>
      </c>
      <c r="V236" s="39"/>
      <c r="W236" s="16"/>
      <c r="X236" s="17">
        <f>VLOOKUP(W236,'DATABASE F&amp;B'!$C$3:$F$216,2,0)</f>
        <v>0</v>
      </c>
      <c r="Y236" s="18"/>
      <c r="Z236" s="19">
        <f>VLOOKUP(W236,'DATABASE F&amp;B'!$C$3:$F$216,4,0)</f>
        <v>0</v>
      </c>
      <c r="AA236" s="19">
        <f t="shared" si="226"/>
        <v>0</v>
      </c>
      <c r="AB236" s="16"/>
      <c r="AC236" s="17">
        <f>VLOOKUP(AB236,'DATABASE F&amp;B'!$C$3:$F$216,2,0)</f>
        <v>0</v>
      </c>
      <c r="AD236" s="18"/>
      <c r="AE236" s="19">
        <f>VLOOKUP(AB236,'DATABASE F&amp;B'!$C$3:$F$216,4,0)</f>
        <v>0</v>
      </c>
      <c r="AF236" s="19">
        <f t="shared" si="227"/>
        <v>0</v>
      </c>
      <c r="AG236" s="16"/>
      <c r="AH236" s="17">
        <f>VLOOKUP(AG236,'DATABASE F&amp;B'!$C$3:$F$216,2,0)</f>
        <v>0</v>
      </c>
      <c r="AI236" s="18">
        <v>1</v>
      </c>
      <c r="AJ236" s="19">
        <f>VLOOKUP(AG236,'DATABASE F&amp;B'!$C$3:$F$216,4,0)</f>
        <v>0</v>
      </c>
      <c r="AK236" s="19">
        <f t="shared" si="228"/>
        <v>0</v>
      </c>
      <c r="AL236" s="16"/>
      <c r="AM236" s="17">
        <f>VLOOKUP(AL236,'DATABASE F&amp;B'!$C$3:$F$216,2,0)</f>
        <v>0</v>
      </c>
      <c r="AN236" s="18">
        <v>1</v>
      </c>
      <c r="AO236" s="19">
        <f>VLOOKUP(AL236,'DATABASE F&amp;B'!$C$3:$F$216,4,0)</f>
        <v>0</v>
      </c>
      <c r="AP236" s="19">
        <f t="shared" si="229"/>
        <v>0</v>
      </c>
      <c r="AQ236" s="16"/>
      <c r="AR236" s="17">
        <f>VLOOKUP(AQ236,'DATABASE F&amp;B'!$C$3:$F$216,2,0)</f>
        <v>0</v>
      </c>
      <c r="AS236" s="18">
        <v>1</v>
      </c>
      <c r="AT236" s="19">
        <f>VLOOKUP(AQ236,'DATABASE F&amp;B'!$C$3:$F$216,4,0)</f>
        <v>0</v>
      </c>
      <c r="AU236" s="19">
        <f t="shared" si="230"/>
        <v>0</v>
      </c>
      <c r="AV236" s="16"/>
      <c r="AW236" s="17">
        <f>VLOOKUP(AV236,'DATABASE F&amp;B'!$C$3:$F$216,2,0)</f>
        <v>0</v>
      </c>
      <c r="AX236" s="18"/>
      <c r="AY236" s="19">
        <f>VLOOKUP(AV236,'DATABASE F&amp;B'!$C$3:$F$216,4,0)</f>
        <v>0</v>
      </c>
      <c r="AZ236" s="19">
        <f t="shared" si="231"/>
        <v>0</v>
      </c>
      <c r="BA236" s="16"/>
      <c r="BB236" s="17">
        <f>VLOOKUP(BA236,'DATABASE F&amp;B'!$C$3:$F$216,2,0)</f>
        <v>0</v>
      </c>
      <c r="BC236" s="18"/>
      <c r="BD236" s="19">
        <f>VLOOKUP(BA236,'DATABASE F&amp;B'!$C$3:$F$216,4,0)</f>
        <v>0</v>
      </c>
      <c r="BE236" s="19">
        <f t="shared" si="232"/>
        <v>0</v>
      </c>
      <c r="BF236" s="16"/>
      <c r="BG236" s="17">
        <f>VLOOKUP(BF236,'DATABASE F&amp;B'!$C$3:$F$216,2,0)</f>
        <v>0</v>
      </c>
      <c r="BH236" s="18"/>
      <c r="BI236" s="19">
        <f>VLOOKUP(BF236,'DATABASE F&amp;B'!$C$3:$F$216,4,0)</f>
        <v>0</v>
      </c>
      <c r="BJ236" s="19">
        <f t="shared" si="233"/>
        <v>0</v>
      </c>
      <c r="BK236" s="16"/>
      <c r="BL236" s="17">
        <f>VLOOKUP(BK236,'DATABASE F&amp;B'!$C$3:$F$210,2,0)</f>
        <v>0</v>
      </c>
      <c r="BM236" s="18"/>
      <c r="BN236" s="19">
        <f>VLOOKUP(BK236,'DATABASE F&amp;B'!$C$3:$F$210,4,0)</f>
        <v>0</v>
      </c>
      <c r="BO236" s="19">
        <f t="shared" si="234"/>
        <v>0</v>
      </c>
      <c r="BP236" s="16"/>
      <c r="BQ236" s="17">
        <f>VLOOKUP(BP236,'DATABASE F&amp;B'!$C$3:$F$210,2,0)</f>
        <v>0</v>
      </c>
      <c r="BR236" s="18"/>
      <c r="BS236" s="19">
        <f>VLOOKUP(BP236,'DATABASE F&amp;B'!$C$3:$F$210,4,0)</f>
        <v>0</v>
      </c>
      <c r="BT236" s="19">
        <f t="shared" si="235"/>
        <v>0</v>
      </c>
      <c r="BU236" s="16"/>
      <c r="BV236" s="17">
        <f>VLOOKUP(BU236,'DATABASE F&amp;B'!$C$3:$F$210,2,0)</f>
        <v>0</v>
      </c>
      <c r="BW236" s="18"/>
      <c r="BX236" s="19">
        <f>VLOOKUP(BU236,'DATABASE F&amp;B'!$C$3:$F$210,4,0)</f>
        <v>0</v>
      </c>
      <c r="BY236" s="19">
        <f t="shared" si="236"/>
        <v>0</v>
      </c>
      <c r="BZ236" s="16"/>
      <c r="CA236" s="17">
        <f>VLOOKUP(BZ236,'DATABASE F&amp;B'!$C$3:$F$210,2,0)</f>
        <v>0</v>
      </c>
      <c r="CB236" s="18"/>
      <c r="CC236" s="19">
        <f>VLOOKUP(BZ236,'DATABASE F&amp;B'!$C$3:$F$210,4,0)</f>
        <v>0</v>
      </c>
      <c r="CD236" s="19">
        <f t="shared" si="237"/>
        <v>0</v>
      </c>
    </row>
    <row r="237" spans="1:82" ht="13.5" x14ac:dyDescent="0.25">
      <c r="A237" s="32" t="str">
        <f t="shared" si="218"/>
        <v>--20</v>
      </c>
      <c r="B237" s="22">
        <f t="shared" si="238"/>
        <v>233</v>
      </c>
      <c r="C237" s="22">
        <f t="shared" si="238"/>
        <v>233</v>
      </c>
      <c r="D237" s="34"/>
      <c r="E237" s="35"/>
      <c r="F237" s="35"/>
      <c r="G237" s="52"/>
      <c r="H237" s="36" t="str">
        <f t="shared" si="195"/>
        <v>RJ--233</v>
      </c>
      <c r="I237" s="36" t="str">
        <f t="shared" si="219"/>
        <v>--20</v>
      </c>
      <c r="J237" s="37" t="e">
        <f>VLOOKUP(D237,Laporan!$C$4:$D$34,2,0)</f>
        <v>#N/A</v>
      </c>
      <c r="K237" s="48"/>
      <c r="L237" s="13"/>
      <c r="M237" s="19">
        <f>SUMIF('DATABASE Room'!$B$3:$B$7,L237,'DATABASE Room'!$D$3:$D$7)</f>
        <v>0</v>
      </c>
      <c r="N237" s="13"/>
      <c r="O237" s="21">
        <f t="shared" si="220"/>
        <v>0</v>
      </c>
      <c r="P237" s="38"/>
      <c r="Q237" s="19">
        <f t="shared" si="221"/>
        <v>0</v>
      </c>
      <c r="R237" s="21">
        <f t="shared" si="222"/>
        <v>0</v>
      </c>
      <c r="S237" s="19">
        <f t="shared" si="223"/>
        <v>3</v>
      </c>
      <c r="T237" s="19">
        <f t="shared" si="224"/>
        <v>0</v>
      </c>
      <c r="U237" s="21">
        <f t="shared" si="225"/>
        <v>0</v>
      </c>
      <c r="V237" s="39"/>
      <c r="W237" s="16"/>
      <c r="X237" s="17">
        <f>VLOOKUP(W237,'DATABASE F&amp;B'!$C$3:$F$216,2,0)</f>
        <v>0</v>
      </c>
      <c r="Y237" s="18"/>
      <c r="Z237" s="19">
        <f>VLOOKUP(W237,'DATABASE F&amp;B'!$C$3:$F$216,4,0)</f>
        <v>0</v>
      </c>
      <c r="AA237" s="19">
        <f t="shared" si="226"/>
        <v>0</v>
      </c>
      <c r="AB237" s="16"/>
      <c r="AC237" s="17">
        <f>VLOOKUP(AB237,'DATABASE F&amp;B'!$C$3:$F$216,2,0)</f>
        <v>0</v>
      </c>
      <c r="AD237" s="18"/>
      <c r="AE237" s="19">
        <f>VLOOKUP(AB237,'DATABASE F&amp;B'!$C$3:$F$216,4,0)</f>
        <v>0</v>
      </c>
      <c r="AF237" s="19">
        <f t="shared" si="227"/>
        <v>0</v>
      </c>
      <c r="AG237" s="16"/>
      <c r="AH237" s="17">
        <f>VLOOKUP(AG237,'DATABASE F&amp;B'!$C$3:$F$216,2,0)</f>
        <v>0</v>
      </c>
      <c r="AI237" s="18">
        <v>1</v>
      </c>
      <c r="AJ237" s="19">
        <f>VLOOKUP(AG237,'DATABASE F&amp;B'!$C$3:$F$216,4,0)</f>
        <v>0</v>
      </c>
      <c r="AK237" s="19">
        <f t="shared" si="228"/>
        <v>0</v>
      </c>
      <c r="AL237" s="16"/>
      <c r="AM237" s="17">
        <f>VLOOKUP(AL237,'DATABASE F&amp;B'!$C$3:$F$216,2,0)</f>
        <v>0</v>
      </c>
      <c r="AN237" s="18">
        <v>1</v>
      </c>
      <c r="AO237" s="19">
        <f>VLOOKUP(AL237,'DATABASE F&amp;B'!$C$3:$F$216,4,0)</f>
        <v>0</v>
      </c>
      <c r="AP237" s="19">
        <f t="shared" si="229"/>
        <v>0</v>
      </c>
      <c r="AQ237" s="16"/>
      <c r="AR237" s="17">
        <f>VLOOKUP(AQ237,'DATABASE F&amp;B'!$C$3:$F$216,2,0)</f>
        <v>0</v>
      </c>
      <c r="AS237" s="18">
        <v>1</v>
      </c>
      <c r="AT237" s="19">
        <f>VLOOKUP(AQ237,'DATABASE F&amp;B'!$C$3:$F$216,4,0)</f>
        <v>0</v>
      </c>
      <c r="AU237" s="19">
        <f t="shared" si="230"/>
        <v>0</v>
      </c>
      <c r="AV237" s="16"/>
      <c r="AW237" s="17">
        <f>VLOOKUP(AV237,'DATABASE F&amp;B'!$C$3:$F$216,2,0)</f>
        <v>0</v>
      </c>
      <c r="AX237" s="18"/>
      <c r="AY237" s="19">
        <f>VLOOKUP(AV237,'DATABASE F&amp;B'!$C$3:$F$216,4,0)</f>
        <v>0</v>
      </c>
      <c r="AZ237" s="19">
        <f t="shared" si="231"/>
        <v>0</v>
      </c>
      <c r="BA237" s="16"/>
      <c r="BB237" s="17">
        <f>VLOOKUP(BA237,'DATABASE F&amp;B'!$C$3:$F$216,2,0)</f>
        <v>0</v>
      </c>
      <c r="BC237" s="18"/>
      <c r="BD237" s="19">
        <f>VLOOKUP(BA237,'DATABASE F&amp;B'!$C$3:$F$216,4,0)</f>
        <v>0</v>
      </c>
      <c r="BE237" s="19">
        <f t="shared" si="232"/>
        <v>0</v>
      </c>
      <c r="BF237" s="16"/>
      <c r="BG237" s="17">
        <f>VLOOKUP(BF237,'DATABASE F&amp;B'!$C$3:$F$216,2,0)</f>
        <v>0</v>
      </c>
      <c r="BH237" s="18"/>
      <c r="BI237" s="19">
        <f>VLOOKUP(BF237,'DATABASE F&amp;B'!$C$3:$F$216,4,0)</f>
        <v>0</v>
      </c>
      <c r="BJ237" s="19">
        <f t="shared" si="233"/>
        <v>0</v>
      </c>
      <c r="BK237" s="16"/>
      <c r="BL237" s="17">
        <f>VLOOKUP(BK237,'DATABASE F&amp;B'!$C$3:$F$210,2,0)</f>
        <v>0</v>
      </c>
      <c r="BM237" s="18"/>
      <c r="BN237" s="19">
        <f>VLOOKUP(BK237,'DATABASE F&amp;B'!$C$3:$F$210,4,0)</f>
        <v>0</v>
      </c>
      <c r="BO237" s="19">
        <f t="shared" si="234"/>
        <v>0</v>
      </c>
      <c r="BP237" s="16"/>
      <c r="BQ237" s="17">
        <f>VLOOKUP(BP237,'DATABASE F&amp;B'!$C$3:$F$210,2,0)</f>
        <v>0</v>
      </c>
      <c r="BR237" s="18"/>
      <c r="BS237" s="19">
        <f>VLOOKUP(BP237,'DATABASE F&amp;B'!$C$3:$F$210,4,0)</f>
        <v>0</v>
      </c>
      <c r="BT237" s="19">
        <f t="shared" si="235"/>
        <v>0</v>
      </c>
      <c r="BU237" s="16"/>
      <c r="BV237" s="17">
        <f>VLOOKUP(BU237,'DATABASE F&amp;B'!$C$3:$F$210,2,0)</f>
        <v>0</v>
      </c>
      <c r="BW237" s="18"/>
      <c r="BX237" s="19">
        <f>VLOOKUP(BU237,'DATABASE F&amp;B'!$C$3:$F$210,4,0)</f>
        <v>0</v>
      </c>
      <c r="BY237" s="19">
        <f t="shared" si="236"/>
        <v>0</v>
      </c>
      <c r="BZ237" s="16"/>
      <c r="CA237" s="17">
        <f>VLOOKUP(BZ237,'DATABASE F&amp;B'!$C$3:$F$210,2,0)</f>
        <v>0</v>
      </c>
      <c r="CB237" s="18"/>
      <c r="CC237" s="19">
        <f>VLOOKUP(BZ237,'DATABASE F&amp;B'!$C$3:$F$210,4,0)</f>
        <v>0</v>
      </c>
      <c r="CD237" s="19">
        <f t="shared" si="237"/>
        <v>0</v>
      </c>
    </row>
    <row r="238" spans="1:82" ht="13.5" x14ac:dyDescent="0.25">
      <c r="A238" s="32" t="str">
        <f t="shared" si="218"/>
        <v>--20</v>
      </c>
      <c r="B238" s="22">
        <f t="shared" si="238"/>
        <v>234</v>
      </c>
      <c r="C238" s="22">
        <f t="shared" si="238"/>
        <v>234</v>
      </c>
      <c r="D238" s="34"/>
      <c r="E238" s="35"/>
      <c r="F238" s="35"/>
      <c r="G238" s="52"/>
      <c r="H238" s="36" t="str">
        <f t="shared" si="195"/>
        <v>RJ--234</v>
      </c>
      <c r="I238" s="36" t="str">
        <f t="shared" si="219"/>
        <v>--20</v>
      </c>
      <c r="J238" s="37" t="e">
        <f>VLOOKUP(D238,Laporan!$C$4:$D$34,2,0)</f>
        <v>#N/A</v>
      </c>
      <c r="K238" s="48"/>
      <c r="L238" s="13"/>
      <c r="M238" s="19">
        <f>SUMIF('DATABASE Room'!$B$3:$B$7,L238,'DATABASE Room'!$D$3:$D$7)</f>
        <v>0</v>
      </c>
      <c r="N238" s="13"/>
      <c r="O238" s="21">
        <f t="shared" si="220"/>
        <v>0</v>
      </c>
      <c r="P238" s="38"/>
      <c r="Q238" s="19">
        <f t="shared" si="221"/>
        <v>0</v>
      </c>
      <c r="R238" s="21">
        <f t="shared" si="222"/>
        <v>0</v>
      </c>
      <c r="S238" s="19">
        <f t="shared" si="223"/>
        <v>3</v>
      </c>
      <c r="T238" s="19">
        <f t="shared" si="224"/>
        <v>0</v>
      </c>
      <c r="U238" s="21">
        <f t="shared" si="225"/>
        <v>0</v>
      </c>
      <c r="V238" s="39"/>
      <c r="W238" s="16"/>
      <c r="X238" s="17">
        <f>VLOOKUP(W238,'DATABASE F&amp;B'!$C$3:$F$216,2,0)</f>
        <v>0</v>
      </c>
      <c r="Y238" s="18"/>
      <c r="Z238" s="19">
        <f>VLOOKUP(W238,'DATABASE F&amp;B'!$C$3:$F$216,4,0)</f>
        <v>0</v>
      </c>
      <c r="AA238" s="19">
        <f t="shared" si="226"/>
        <v>0</v>
      </c>
      <c r="AB238" s="16"/>
      <c r="AC238" s="17">
        <f>VLOOKUP(AB238,'DATABASE F&amp;B'!$C$3:$F$216,2,0)</f>
        <v>0</v>
      </c>
      <c r="AD238" s="18"/>
      <c r="AE238" s="19">
        <f>VLOOKUP(AB238,'DATABASE F&amp;B'!$C$3:$F$216,4,0)</f>
        <v>0</v>
      </c>
      <c r="AF238" s="19">
        <f t="shared" si="227"/>
        <v>0</v>
      </c>
      <c r="AG238" s="16"/>
      <c r="AH238" s="17">
        <f>VLOOKUP(AG238,'DATABASE F&amp;B'!$C$3:$F$216,2,0)</f>
        <v>0</v>
      </c>
      <c r="AI238" s="18">
        <v>1</v>
      </c>
      <c r="AJ238" s="19">
        <f>VLOOKUP(AG238,'DATABASE F&amp;B'!$C$3:$F$216,4,0)</f>
        <v>0</v>
      </c>
      <c r="AK238" s="19">
        <f t="shared" si="228"/>
        <v>0</v>
      </c>
      <c r="AL238" s="16"/>
      <c r="AM238" s="17">
        <f>VLOOKUP(AL238,'DATABASE F&amp;B'!$C$3:$F$216,2,0)</f>
        <v>0</v>
      </c>
      <c r="AN238" s="18">
        <v>1</v>
      </c>
      <c r="AO238" s="19">
        <f>VLOOKUP(AL238,'DATABASE F&amp;B'!$C$3:$F$216,4,0)</f>
        <v>0</v>
      </c>
      <c r="AP238" s="19">
        <f t="shared" si="229"/>
        <v>0</v>
      </c>
      <c r="AQ238" s="16"/>
      <c r="AR238" s="17">
        <f>VLOOKUP(AQ238,'DATABASE F&amp;B'!$C$3:$F$216,2,0)</f>
        <v>0</v>
      </c>
      <c r="AS238" s="18">
        <v>1</v>
      </c>
      <c r="AT238" s="19">
        <f>VLOOKUP(AQ238,'DATABASE F&amp;B'!$C$3:$F$216,4,0)</f>
        <v>0</v>
      </c>
      <c r="AU238" s="19">
        <f t="shared" si="230"/>
        <v>0</v>
      </c>
      <c r="AV238" s="16"/>
      <c r="AW238" s="17">
        <f>VLOOKUP(AV238,'DATABASE F&amp;B'!$C$3:$F$216,2,0)</f>
        <v>0</v>
      </c>
      <c r="AX238" s="18"/>
      <c r="AY238" s="19">
        <f>VLOOKUP(AV238,'DATABASE F&amp;B'!$C$3:$F$216,4,0)</f>
        <v>0</v>
      </c>
      <c r="AZ238" s="19">
        <f t="shared" si="231"/>
        <v>0</v>
      </c>
      <c r="BA238" s="16"/>
      <c r="BB238" s="17">
        <f>VLOOKUP(BA238,'DATABASE F&amp;B'!$C$3:$F$216,2,0)</f>
        <v>0</v>
      </c>
      <c r="BC238" s="18"/>
      <c r="BD238" s="19">
        <f>VLOOKUP(BA238,'DATABASE F&amp;B'!$C$3:$F$216,4,0)</f>
        <v>0</v>
      </c>
      <c r="BE238" s="19">
        <f t="shared" si="232"/>
        <v>0</v>
      </c>
      <c r="BF238" s="16"/>
      <c r="BG238" s="17">
        <f>VLOOKUP(BF238,'DATABASE F&amp;B'!$C$3:$F$216,2,0)</f>
        <v>0</v>
      </c>
      <c r="BH238" s="18"/>
      <c r="BI238" s="19">
        <f>VLOOKUP(BF238,'DATABASE F&amp;B'!$C$3:$F$216,4,0)</f>
        <v>0</v>
      </c>
      <c r="BJ238" s="19">
        <f t="shared" si="233"/>
        <v>0</v>
      </c>
      <c r="BK238" s="16"/>
      <c r="BL238" s="17">
        <f>VLOOKUP(BK238,'DATABASE F&amp;B'!$C$3:$F$210,2,0)</f>
        <v>0</v>
      </c>
      <c r="BM238" s="18"/>
      <c r="BN238" s="19">
        <f>VLOOKUP(BK238,'DATABASE F&amp;B'!$C$3:$F$210,4,0)</f>
        <v>0</v>
      </c>
      <c r="BO238" s="19">
        <f t="shared" si="234"/>
        <v>0</v>
      </c>
      <c r="BP238" s="16"/>
      <c r="BQ238" s="17">
        <f>VLOOKUP(BP238,'DATABASE F&amp;B'!$C$3:$F$210,2,0)</f>
        <v>0</v>
      </c>
      <c r="BR238" s="18"/>
      <c r="BS238" s="19">
        <f>VLOOKUP(BP238,'DATABASE F&amp;B'!$C$3:$F$210,4,0)</f>
        <v>0</v>
      </c>
      <c r="BT238" s="19">
        <f t="shared" si="235"/>
        <v>0</v>
      </c>
      <c r="BU238" s="16"/>
      <c r="BV238" s="17">
        <f>VLOOKUP(BU238,'DATABASE F&amp;B'!$C$3:$F$210,2,0)</f>
        <v>0</v>
      </c>
      <c r="BW238" s="18"/>
      <c r="BX238" s="19">
        <f>VLOOKUP(BU238,'DATABASE F&amp;B'!$C$3:$F$210,4,0)</f>
        <v>0</v>
      </c>
      <c r="BY238" s="19">
        <f t="shared" si="236"/>
        <v>0</v>
      </c>
      <c r="BZ238" s="16"/>
      <c r="CA238" s="17">
        <f>VLOOKUP(BZ238,'DATABASE F&amp;B'!$C$3:$F$210,2,0)</f>
        <v>0</v>
      </c>
      <c r="CB238" s="18"/>
      <c r="CC238" s="19">
        <f>VLOOKUP(BZ238,'DATABASE F&amp;B'!$C$3:$F$210,4,0)</f>
        <v>0</v>
      </c>
      <c r="CD238" s="19">
        <f t="shared" si="237"/>
        <v>0</v>
      </c>
    </row>
    <row r="239" spans="1:82" ht="13.5" x14ac:dyDescent="0.25">
      <c r="A239" s="32" t="str">
        <f t="shared" si="218"/>
        <v>--20</v>
      </c>
      <c r="B239" s="22">
        <f t="shared" si="238"/>
        <v>235</v>
      </c>
      <c r="C239" s="22">
        <f t="shared" si="238"/>
        <v>235</v>
      </c>
      <c r="D239" s="34"/>
      <c r="E239" s="35"/>
      <c r="F239" s="35"/>
      <c r="G239" s="52"/>
      <c r="H239" s="36" t="str">
        <f t="shared" si="195"/>
        <v>RJ--235</v>
      </c>
      <c r="I239" s="36" t="str">
        <f t="shared" si="219"/>
        <v>--20</v>
      </c>
      <c r="J239" s="37" t="e">
        <f>VLOOKUP(D239,Laporan!$C$4:$D$34,2,0)</f>
        <v>#N/A</v>
      </c>
      <c r="K239" s="48"/>
      <c r="L239" s="13"/>
      <c r="M239" s="19">
        <f>SUMIF('DATABASE Room'!$B$3:$B$7,L239,'DATABASE Room'!$D$3:$D$7)</f>
        <v>0</v>
      </c>
      <c r="N239" s="13"/>
      <c r="O239" s="21">
        <f t="shared" si="220"/>
        <v>0</v>
      </c>
      <c r="P239" s="38"/>
      <c r="Q239" s="19">
        <f t="shared" si="221"/>
        <v>0</v>
      </c>
      <c r="R239" s="21">
        <f t="shared" si="222"/>
        <v>0</v>
      </c>
      <c r="S239" s="19">
        <f t="shared" si="223"/>
        <v>3</v>
      </c>
      <c r="T239" s="19">
        <f t="shared" si="224"/>
        <v>0</v>
      </c>
      <c r="U239" s="21">
        <f t="shared" si="225"/>
        <v>0</v>
      </c>
      <c r="V239" s="39"/>
      <c r="W239" s="16"/>
      <c r="X239" s="17">
        <f>VLOOKUP(W239,'DATABASE F&amp;B'!$C$3:$F$216,2,0)</f>
        <v>0</v>
      </c>
      <c r="Y239" s="18"/>
      <c r="Z239" s="19">
        <f>VLOOKUP(W239,'DATABASE F&amp;B'!$C$3:$F$216,4,0)</f>
        <v>0</v>
      </c>
      <c r="AA239" s="19">
        <f t="shared" si="226"/>
        <v>0</v>
      </c>
      <c r="AB239" s="16"/>
      <c r="AC239" s="17">
        <f>VLOOKUP(AB239,'DATABASE F&amp;B'!$C$3:$F$216,2,0)</f>
        <v>0</v>
      </c>
      <c r="AD239" s="18"/>
      <c r="AE239" s="19">
        <f>VLOOKUP(AB239,'DATABASE F&amp;B'!$C$3:$F$216,4,0)</f>
        <v>0</v>
      </c>
      <c r="AF239" s="19">
        <f t="shared" si="227"/>
        <v>0</v>
      </c>
      <c r="AG239" s="16"/>
      <c r="AH239" s="17">
        <f>VLOOKUP(AG239,'DATABASE F&amp;B'!$C$3:$F$216,2,0)</f>
        <v>0</v>
      </c>
      <c r="AI239" s="18">
        <v>1</v>
      </c>
      <c r="AJ239" s="19">
        <f>VLOOKUP(AG239,'DATABASE F&amp;B'!$C$3:$F$216,4,0)</f>
        <v>0</v>
      </c>
      <c r="AK239" s="19">
        <f t="shared" si="228"/>
        <v>0</v>
      </c>
      <c r="AL239" s="16"/>
      <c r="AM239" s="17">
        <f>VLOOKUP(AL239,'DATABASE F&amp;B'!$C$3:$F$216,2,0)</f>
        <v>0</v>
      </c>
      <c r="AN239" s="18">
        <v>1</v>
      </c>
      <c r="AO239" s="19">
        <f>VLOOKUP(AL239,'DATABASE F&amp;B'!$C$3:$F$216,4,0)</f>
        <v>0</v>
      </c>
      <c r="AP239" s="19">
        <f t="shared" si="229"/>
        <v>0</v>
      </c>
      <c r="AQ239" s="16"/>
      <c r="AR239" s="17">
        <f>VLOOKUP(AQ239,'DATABASE F&amp;B'!$C$3:$F$216,2,0)</f>
        <v>0</v>
      </c>
      <c r="AS239" s="18">
        <v>1</v>
      </c>
      <c r="AT239" s="19">
        <f>VLOOKUP(AQ239,'DATABASE F&amp;B'!$C$3:$F$216,4,0)</f>
        <v>0</v>
      </c>
      <c r="AU239" s="19">
        <f t="shared" si="230"/>
        <v>0</v>
      </c>
      <c r="AV239" s="16"/>
      <c r="AW239" s="17">
        <f>VLOOKUP(AV239,'DATABASE F&amp;B'!$C$3:$F$216,2,0)</f>
        <v>0</v>
      </c>
      <c r="AX239" s="18"/>
      <c r="AY239" s="19">
        <f>VLOOKUP(AV239,'DATABASE F&amp;B'!$C$3:$F$216,4,0)</f>
        <v>0</v>
      </c>
      <c r="AZ239" s="19">
        <f t="shared" si="231"/>
        <v>0</v>
      </c>
      <c r="BA239" s="16"/>
      <c r="BB239" s="17">
        <f>VLOOKUP(BA239,'DATABASE F&amp;B'!$C$3:$F$216,2,0)</f>
        <v>0</v>
      </c>
      <c r="BC239" s="18"/>
      <c r="BD239" s="19">
        <f>VLOOKUP(BA239,'DATABASE F&amp;B'!$C$3:$F$216,4,0)</f>
        <v>0</v>
      </c>
      <c r="BE239" s="19">
        <f t="shared" si="232"/>
        <v>0</v>
      </c>
      <c r="BF239" s="16"/>
      <c r="BG239" s="17">
        <f>VLOOKUP(BF239,'DATABASE F&amp;B'!$C$3:$F$216,2,0)</f>
        <v>0</v>
      </c>
      <c r="BH239" s="18"/>
      <c r="BI239" s="19">
        <f>VLOOKUP(BF239,'DATABASE F&amp;B'!$C$3:$F$216,4,0)</f>
        <v>0</v>
      </c>
      <c r="BJ239" s="19">
        <f t="shared" si="233"/>
        <v>0</v>
      </c>
      <c r="BK239" s="16"/>
      <c r="BL239" s="17">
        <f>VLOOKUP(BK239,'DATABASE F&amp;B'!$C$3:$F$210,2,0)</f>
        <v>0</v>
      </c>
      <c r="BM239" s="18"/>
      <c r="BN239" s="19">
        <f>VLOOKUP(BK239,'DATABASE F&amp;B'!$C$3:$F$210,4,0)</f>
        <v>0</v>
      </c>
      <c r="BO239" s="19">
        <f t="shared" si="234"/>
        <v>0</v>
      </c>
      <c r="BP239" s="16"/>
      <c r="BQ239" s="17">
        <f>VLOOKUP(BP239,'DATABASE F&amp;B'!$C$3:$F$210,2,0)</f>
        <v>0</v>
      </c>
      <c r="BR239" s="18"/>
      <c r="BS239" s="19">
        <f>VLOOKUP(BP239,'DATABASE F&amp;B'!$C$3:$F$210,4,0)</f>
        <v>0</v>
      </c>
      <c r="BT239" s="19">
        <f t="shared" si="235"/>
        <v>0</v>
      </c>
      <c r="BU239" s="16"/>
      <c r="BV239" s="17">
        <f>VLOOKUP(BU239,'DATABASE F&amp;B'!$C$3:$F$210,2,0)</f>
        <v>0</v>
      </c>
      <c r="BW239" s="18"/>
      <c r="BX239" s="19">
        <f>VLOOKUP(BU239,'DATABASE F&amp;B'!$C$3:$F$210,4,0)</f>
        <v>0</v>
      </c>
      <c r="BY239" s="19">
        <f t="shared" si="236"/>
        <v>0</v>
      </c>
      <c r="BZ239" s="16"/>
      <c r="CA239" s="17">
        <f>VLOOKUP(BZ239,'DATABASE F&amp;B'!$C$3:$F$210,2,0)</f>
        <v>0</v>
      </c>
      <c r="CB239" s="18"/>
      <c r="CC239" s="19">
        <f>VLOOKUP(BZ239,'DATABASE F&amp;B'!$C$3:$F$210,4,0)</f>
        <v>0</v>
      </c>
      <c r="CD239" s="19">
        <f t="shared" si="237"/>
        <v>0</v>
      </c>
    </row>
    <row r="240" spans="1:82" ht="13.5" x14ac:dyDescent="0.25">
      <c r="A240" s="32" t="str">
        <f t="shared" si="218"/>
        <v>--20</v>
      </c>
      <c r="B240" s="22">
        <f t="shared" si="238"/>
        <v>236</v>
      </c>
      <c r="C240" s="22">
        <f t="shared" si="238"/>
        <v>236</v>
      </c>
      <c r="D240" s="34"/>
      <c r="E240" s="35"/>
      <c r="F240" s="35"/>
      <c r="G240" s="52"/>
      <c r="H240" s="36" t="str">
        <f t="shared" si="195"/>
        <v>RJ--236</v>
      </c>
      <c r="I240" s="36" t="str">
        <f t="shared" si="219"/>
        <v>--20</v>
      </c>
      <c r="J240" s="37" t="e">
        <f>VLOOKUP(D240,Laporan!$C$4:$D$34,2,0)</f>
        <v>#N/A</v>
      </c>
      <c r="K240" s="48"/>
      <c r="L240" s="13"/>
      <c r="M240" s="19">
        <f>SUMIF('DATABASE Room'!$B$3:$B$7,L240,'DATABASE Room'!$D$3:$D$7)</f>
        <v>0</v>
      </c>
      <c r="N240" s="13"/>
      <c r="O240" s="21">
        <f t="shared" si="220"/>
        <v>0</v>
      </c>
      <c r="P240" s="38"/>
      <c r="Q240" s="19">
        <f t="shared" si="221"/>
        <v>0</v>
      </c>
      <c r="R240" s="21">
        <f t="shared" si="222"/>
        <v>0</v>
      </c>
      <c r="S240" s="19">
        <f t="shared" si="223"/>
        <v>3</v>
      </c>
      <c r="T240" s="19">
        <f t="shared" si="224"/>
        <v>0</v>
      </c>
      <c r="U240" s="21">
        <f t="shared" si="225"/>
        <v>0</v>
      </c>
      <c r="V240" s="39"/>
      <c r="W240" s="16"/>
      <c r="X240" s="17">
        <f>VLOOKUP(W240,'DATABASE F&amp;B'!$C$3:$F$216,2,0)</f>
        <v>0</v>
      </c>
      <c r="Y240" s="18"/>
      <c r="Z240" s="19">
        <f>VLOOKUP(W240,'DATABASE F&amp;B'!$C$3:$F$216,4,0)</f>
        <v>0</v>
      </c>
      <c r="AA240" s="19">
        <f t="shared" si="226"/>
        <v>0</v>
      </c>
      <c r="AB240" s="16"/>
      <c r="AC240" s="17">
        <f>VLOOKUP(AB240,'DATABASE F&amp;B'!$C$3:$F$216,2,0)</f>
        <v>0</v>
      </c>
      <c r="AD240" s="18"/>
      <c r="AE240" s="19">
        <f>VLOOKUP(AB240,'DATABASE F&amp;B'!$C$3:$F$216,4,0)</f>
        <v>0</v>
      </c>
      <c r="AF240" s="19">
        <f t="shared" si="227"/>
        <v>0</v>
      </c>
      <c r="AG240" s="16"/>
      <c r="AH240" s="17">
        <f>VLOOKUP(AG240,'DATABASE F&amp;B'!$C$3:$F$216,2,0)</f>
        <v>0</v>
      </c>
      <c r="AI240" s="18">
        <v>1</v>
      </c>
      <c r="AJ240" s="19">
        <f>VLOOKUP(AG240,'DATABASE F&amp;B'!$C$3:$F$216,4,0)</f>
        <v>0</v>
      </c>
      <c r="AK240" s="19">
        <f t="shared" si="228"/>
        <v>0</v>
      </c>
      <c r="AL240" s="16"/>
      <c r="AM240" s="17">
        <f>VLOOKUP(AL240,'DATABASE F&amp;B'!$C$3:$F$216,2,0)</f>
        <v>0</v>
      </c>
      <c r="AN240" s="18">
        <v>1</v>
      </c>
      <c r="AO240" s="19">
        <f>VLOOKUP(AL240,'DATABASE F&amp;B'!$C$3:$F$216,4,0)</f>
        <v>0</v>
      </c>
      <c r="AP240" s="19">
        <f t="shared" si="229"/>
        <v>0</v>
      </c>
      <c r="AQ240" s="16"/>
      <c r="AR240" s="17">
        <f>VLOOKUP(AQ240,'DATABASE F&amp;B'!$C$3:$F$216,2,0)</f>
        <v>0</v>
      </c>
      <c r="AS240" s="18">
        <v>1</v>
      </c>
      <c r="AT240" s="19">
        <f>VLOOKUP(AQ240,'DATABASE F&amp;B'!$C$3:$F$216,4,0)</f>
        <v>0</v>
      </c>
      <c r="AU240" s="19">
        <f t="shared" si="230"/>
        <v>0</v>
      </c>
      <c r="AV240" s="16"/>
      <c r="AW240" s="17">
        <f>VLOOKUP(AV240,'DATABASE F&amp;B'!$C$3:$F$216,2,0)</f>
        <v>0</v>
      </c>
      <c r="AX240" s="18"/>
      <c r="AY240" s="19">
        <f>VLOOKUP(AV240,'DATABASE F&amp;B'!$C$3:$F$216,4,0)</f>
        <v>0</v>
      </c>
      <c r="AZ240" s="19">
        <f t="shared" si="231"/>
        <v>0</v>
      </c>
      <c r="BA240" s="16"/>
      <c r="BB240" s="17">
        <f>VLOOKUP(BA240,'DATABASE F&amp;B'!$C$3:$F$216,2,0)</f>
        <v>0</v>
      </c>
      <c r="BC240" s="18"/>
      <c r="BD240" s="19">
        <f>VLOOKUP(BA240,'DATABASE F&amp;B'!$C$3:$F$216,4,0)</f>
        <v>0</v>
      </c>
      <c r="BE240" s="19">
        <f t="shared" si="232"/>
        <v>0</v>
      </c>
      <c r="BF240" s="16"/>
      <c r="BG240" s="17">
        <f>VLOOKUP(BF240,'DATABASE F&amp;B'!$C$3:$F$216,2,0)</f>
        <v>0</v>
      </c>
      <c r="BH240" s="18"/>
      <c r="BI240" s="19">
        <f>VLOOKUP(BF240,'DATABASE F&amp;B'!$C$3:$F$216,4,0)</f>
        <v>0</v>
      </c>
      <c r="BJ240" s="19">
        <f t="shared" si="233"/>
        <v>0</v>
      </c>
      <c r="BK240" s="16"/>
      <c r="BL240" s="17">
        <f>VLOOKUP(BK240,'DATABASE F&amp;B'!$C$3:$F$210,2,0)</f>
        <v>0</v>
      </c>
      <c r="BM240" s="18"/>
      <c r="BN240" s="19">
        <f>VLOOKUP(BK240,'DATABASE F&amp;B'!$C$3:$F$210,4,0)</f>
        <v>0</v>
      </c>
      <c r="BO240" s="19">
        <f t="shared" si="234"/>
        <v>0</v>
      </c>
      <c r="BP240" s="16"/>
      <c r="BQ240" s="17">
        <f>VLOOKUP(BP240,'DATABASE F&amp;B'!$C$3:$F$210,2,0)</f>
        <v>0</v>
      </c>
      <c r="BR240" s="18"/>
      <c r="BS240" s="19">
        <f>VLOOKUP(BP240,'DATABASE F&amp;B'!$C$3:$F$210,4,0)</f>
        <v>0</v>
      </c>
      <c r="BT240" s="19">
        <f t="shared" si="235"/>
        <v>0</v>
      </c>
      <c r="BU240" s="16"/>
      <c r="BV240" s="17">
        <f>VLOOKUP(BU240,'DATABASE F&amp;B'!$C$3:$F$210,2,0)</f>
        <v>0</v>
      </c>
      <c r="BW240" s="18"/>
      <c r="BX240" s="19">
        <f>VLOOKUP(BU240,'DATABASE F&amp;B'!$C$3:$F$210,4,0)</f>
        <v>0</v>
      </c>
      <c r="BY240" s="19">
        <f t="shared" si="236"/>
        <v>0</v>
      </c>
      <c r="BZ240" s="16"/>
      <c r="CA240" s="17">
        <f>VLOOKUP(BZ240,'DATABASE F&amp;B'!$C$3:$F$210,2,0)</f>
        <v>0</v>
      </c>
      <c r="CB240" s="18"/>
      <c r="CC240" s="19">
        <f>VLOOKUP(BZ240,'DATABASE F&amp;B'!$C$3:$F$210,4,0)</f>
        <v>0</v>
      </c>
      <c r="CD240" s="19">
        <f t="shared" si="237"/>
        <v>0</v>
      </c>
    </row>
    <row r="241" spans="1:82" ht="13.5" x14ac:dyDescent="0.25">
      <c r="A241" s="32" t="str">
        <f t="shared" si="218"/>
        <v>--20</v>
      </c>
      <c r="B241" s="22">
        <f t="shared" si="238"/>
        <v>237</v>
      </c>
      <c r="C241" s="22">
        <f t="shared" si="238"/>
        <v>237</v>
      </c>
      <c r="D241" s="34"/>
      <c r="E241" s="35"/>
      <c r="F241" s="35"/>
      <c r="G241" s="52"/>
      <c r="H241" s="36" t="str">
        <f t="shared" si="195"/>
        <v>RJ--237</v>
      </c>
      <c r="I241" s="36" t="str">
        <f t="shared" si="219"/>
        <v>--20</v>
      </c>
      <c r="J241" s="37" t="e">
        <f>VLOOKUP(D241,Laporan!$C$4:$D$34,2,0)</f>
        <v>#N/A</v>
      </c>
      <c r="K241" s="48"/>
      <c r="L241" s="13"/>
      <c r="M241" s="19">
        <f>SUMIF('DATABASE Room'!$B$3:$B$7,L241,'DATABASE Room'!$D$3:$D$7)</f>
        <v>0</v>
      </c>
      <c r="N241" s="13"/>
      <c r="O241" s="21">
        <f t="shared" si="220"/>
        <v>0</v>
      </c>
      <c r="P241" s="38"/>
      <c r="Q241" s="19">
        <f t="shared" si="221"/>
        <v>0</v>
      </c>
      <c r="R241" s="21">
        <f t="shared" si="222"/>
        <v>0</v>
      </c>
      <c r="S241" s="19">
        <f t="shared" si="223"/>
        <v>3</v>
      </c>
      <c r="T241" s="19">
        <f t="shared" si="224"/>
        <v>0</v>
      </c>
      <c r="U241" s="21">
        <f t="shared" si="225"/>
        <v>0</v>
      </c>
      <c r="V241" s="39"/>
      <c r="W241" s="16"/>
      <c r="X241" s="17">
        <f>VLOOKUP(W241,'DATABASE F&amp;B'!$C$3:$F$216,2,0)</f>
        <v>0</v>
      </c>
      <c r="Y241" s="18"/>
      <c r="Z241" s="19">
        <f>VLOOKUP(W241,'DATABASE F&amp;B'!$C$3:$F$216,4,0)</f>
        <v>0</v>
      </c>
      <c r="AA241" s="19">
        <f t="shared" si="226"/>
        <v>0</v>
      </c>
      <c r="AB241" s="16"/>
      <c r="AC241" s="17">
        <f>VLOOKUP(AB241,'DATABASE F&amp;B'!$C$3:$F$216,2,0)</f>
        <v>0</v>
      </c>
      <c r="AD241" s="18"/>
      <c r="AE241" s="19">
        <f>VLOOKUP(AB241,'DATABASE F&amp;B'!$C$3:$F$216,4,0)</f>
        <v>0</v>
      </c>
      <c r="AF241" s="19">
        <f t="shared" si="227"/>
        <v>0</v>
      </c>
      <c r="AG241" s="16"/>
      <c r="AH241" s="17">
        <f>VLOOKUP(AG241,'DATABASE F&amp;B'!$C$3:$F$216,2,0)</f>
        <v>0</v>
      </c>
      <c r="AI241" s="18">
        <v>1</v>
      </c>
      <c r="AJ241" s="19">
        <f>VLOOKUP(AG241,'DATABASE F&amp;B'!$C$3:$F$216,4,0)</f>
        <v>0</v>
      </c>
      <c r="AK241" s="19">
        <f t="shared" si="228"/>
        <v>0</v>
      </c>
      <c r="AL241" s="16"/>
      <c r="AM241" s="17">
        <f>VLOOKUP(AL241,'DATABASE F&amp;B'!$C$3:$F$216,2,0)</f>
        <v>0</v>
      </c>
      <c r="AN241" s="18">
        <v>1</v>
      </c>
      <c r="AO241" s="19">
        <f>VLOOKUP(AL241,'DATABASE F&amp;B'!$C$3:$F$216,4,0)</f>
        <v>0</v>
      </c>
      <c r="AP241" s="19">
        <f t="shared" si="229"/>
        <v>0</v>
      </c>
      <c r="AQ241" s="16"/>
      <c r="AR241" s="17">
        <f>VLOOKUP(AQ241,'DATABASE F&amp;B'!$C$3:$F$216,2,0)</f>
        <v>0</v>
      </c>
      <c r="AS241" s="18">
        <v>1</v>
      </c>
      <c r="AT241" s="19">
        <f>VLOOKUP(AQ241,'DATABASE F&amp;B'!$C$3:$F$216,4,0)</f>
        <v>0</v>
      </c>
      <c r="AU241" s="19">
        <f t="shared" si="230"/>
        <v>0</v>
      </c>
      <c r="AV241" s="16"/>
      <c r="AW241" s="17">
        <f>VLOOKUP(AV241,'DATABASE F&amp;B'!$C$3:$F$216,2,0)</f>
        <v>0</v>
      </c>
      <c r="AX241" s="18"/>
      <c r="AY241" s="19">
        <f>VLOOKUP(AV241,'DATABASE F&amp;B'!$C$3:$F$216,4,0)</f>
        <v>0</v>
      </c>
      <c r="AZ241" s="19">
        <f t="shared" si="231"/>
        <v>0</v>
      </c>
      <c r="BA241" s="16"/>
      <c r="BB241" s="17">
        <f>VLOOKUP(BA241,'DATABASE F&amp;B'!$C$3:$F$216,2,0)</f>
        <v>0</v>
      </c>
      <c r="BC241" s="18"/>
      <c r="BD241" s="19">
        <f>VLOOKUP(BA241,'DATABASE F&amp;B'!$C$3:$F$216,4,0)</f>
        <v>0</v>
      </c>
      <c r="BE241" s="19">
        <f t="shared" si="232"/>
        <v>0</v>
      </c>
      <c r="BF241" s="16"/>
      <c r="BG241" s="17">
        <f>VLOOKUP(BF241,'DATABASE F&amp;B'!$C$3:$F$216,2,0)</f>
        <v>0</v>
      </c>
      <c r="BH241" s="18"/>
      <c r="BI241" s="19">
        <f>VLOOKUP(BF241,'DATABASE F&amp;B'!$C$3:$F$216,4,0)</f>
        <v>0</v>
      </c>
      <c r="BJ241" s="19">
        <f t="shared" si="233"/>
        <v>0</v>
      </c>
      <c r="BK241" s="16"/>
      <c r="BL241" s="17">
        <f>VLOOKUP(BK241,'DATABASE F&amp;B'!$C$3:$F$210,2,0)</f>
        <v>0</v>
      </c>
      <c r="BM241" s="18"/>
      <c r="BN241" s="19">
        <f>VLOOKUP(BK241,'DATABASE F&amp;B'!$C$3:$F$210,4,0)</f>
        <v>0</v>
      </c>
      <c r="BO241" s="19">
        <f t="shared" si="234"/>
        <v>0</v>
      </c>
      <c r="BP241" s="16"/>
      <c r="BQ241" s="17">
        <f>VLOOKUP(BP241,'DATABASE F&amp;B'!$C$3:$F$210,2,0)</f>
        <v>0</v>
      </c>
      <c r="BR241" s="18"/>
      <c r="BS241" s="19">
        <f>VLOOKUP(BP241,'DATABASE F&amp;B'!$C$3:$F$210,4,0)</f>
        <v>0</v>
      </c>
      <c r="BT241" s="19">
        <f t="shared" si="235"/>
        <v>0</v>
      </c>
      <c r="BU241" s="16"/>
      <c r="BV241" s="17">
        <f>VLOOKUP(BU241,'DATABASE F&amp;B'!$C$3:$F$210,2,0)</f>
        <v>0</v>
      </c>
      <c r="BW241" s="18"/>
      <c r="BX241" s="19">
        <f>VLOOKUP(BU241,'DATABASE F&amp;B'!$C$3:$F$210,4,0)</f>
        <v>0</v>
      </c>
      <c r="BY241" s="19">
        <f t="shared" si="236"/>
        <v>0</v>
      </c>
      <c r="BZ241" s="16"/>
      <c r="CA241" s="17">
        <f>VLOOKUP(BZ241,'DATABASE F&amp;B'!$C$3:$F$210,2,0)</f>
        <v>0</v>
      </c>
      <c r="CB241" s="18"/>
      <c r="CC241" s="19">
        <f>VLOOKUP(BZ241,'DATABASE F&amp;B'!$C$3:$F$210,4,0)</f>
        <v>0</v>
      </c>
      <c r="CD241" s="19">
        <f t="shared" si="237"/>
        <v>0</v>
      </c>
    </row>
    <row r="242" spans="1:82" ht="13.5" x14ac:dyDescent="0.25">
      <c r="A242" s="32" t="str">
        <f t="shared" si="218"/>
        <v>--20</v>
      </c>
      <c r="B242" s="22">
        <f t="shared" si="238"/>
        <v>238</v>
      </c>
      <c r="C242" s="22">
        <f t="shared" si="238"/>
        <v>238</v>
      </c>
      <c r="D242" s="34"/>
      <c r="E242" s="35"/>
      <c r="F242" s="35"/>
      <c r="G242" s="52"/>
      <c r="H242" s="36" t="str">
        <f t="shared" si="195"/>
        <v>RJ--238</v>
      </c>
      <c r="I242" s="36" t="str">
        <f t="shared" si="219"/>
        <v>--20</v>
      </c>
      <c r="J242" s="37" t="e">
        <f>VLOOKUP(D242,Laporan!$C$4:$D$34,2,0)</f>
        <v>#N/A</v>
      </c>
      <c r="K242" s="48"/>
      <c r="L242" s="13"/>
      <c r="M242" s="19">
        <f>SUMIF('DATABASE Room'!$B$3:$B$7,L242,'DATABASE Room'!$D$3:$D$7)</f>
        <v>0</v>
      </c>
      <c r="N242" s="13"/>
      <c r="O242" s="21">
        <f t="shared" si="220"/>
        <v>0</v>
      </c>
      <c r="P242" s="38"/>
      <c r="Q242" s="19">
        <f t="shared" si="221"/>
        <v>0</v>
      </c>
      <c r="R242" s="21">
        <f t="shared" si="222"/>
        <v>0</v>
      </c>
      <c r="S242" s="19">
        <f t="shared" si="223"/>
        <v>3</v>
      </c>
      <c r="T242" s="19">
        <f t="shared" si="224"/>
        <v>0</v>
      </c>
      <c r="U242" s="21">
        <f t="shared" si="225"/>
        <v>0</v>
      </c>
      <c r="V242" s="39"/>
      <c r="W242" s="16"/>
      <c r="X242" s="17">
        <f>VLOOKUP(W242,'DATABASE F&amp;B'!$C$3:$F$216,2,0)</f>
        <v>0</v>
      </c>
      <c r="Y242" s="18"/>
      <c r="Z242" s="19">
        <f>VLOOKUP(W242,'DATABASE F&amp;B'!$C$3:$F$216,4,0)</f>
        <v>0</v>
      </c>
      <c r="AA242" s="19">
        <f t="shared" si="226"/>
        <v>0</v>
      </c>
      <c r="AB242" s="16"/>
      <c r="AC242" s="17">
        <f>VLOOKUP(AB242,'DATABASE F&amp;B'!$C$3:$F$216,2,0)</f>
        <v>0</v>
      </c>
      <c r="AD242" s="18"/>
      <c r="AE242" s="19">
        <f>VLOOKUP(AB242,'DATABASE F&amp;B'!$C$3:$F$216,4,0)</f>
        <v>0</v>
      </c>
      <c r="AF242" s="19">
        <f t="shared" si="227"/>
        <v>0</v>
      </c>
      <c r="AG242" s="16"/>
      <c r="AH242" s="17">
        <f>VLOOKUP(AG242,'DATABASE F&amp;B'!$C$3:$F$216,2,0)</f>
        <v>0</v>
      </c>
      <c r="AI242" s="18">
        <v>1</v>
      </c>
      <c r="AJ242" s="19">
        <f>VLOOKUP(AG242,'DATABASE F&amp;B'!$C$3:$F$216,4,0)</f>
        <v>0</v>
      </c>
      <c r="AK242" s="19">
        <f t="shared" si="228"/>
        <v>0</v>
      </c>
      <c r="AL242" s="16"/>
      <c r="AM242" s="17">
        <f>VLOOKUP(AL242,'DATABASE F&amp;B'!$C$3:$F$216,2,0)</f>
        <v>0</v>
      </c>
      <c r="AN242" s="18">
        <v>1</v>
      </c>
      <c r="AO242" s="19">
        <f>VLOOKUP(AL242,'DATABASE F&amp;B'!$C$3:$F$216,4,0)</f>
        <v>0</v>
      </c>
      <c r="AP242" s="19">
        <f t="shared" si="229"/>
        <v>0</v>
      </c>
      <c r="AQ242" s="16"/>
      <c r="AR242" s="17">
        <f>VLOOKUP(AQ242,'DATABASE F&amp;B'!$C$3:$F$216,2,0)</f>
        <v>0</v>
      </c>
      <c r="AS242" s="18">
        <v>1</v>
      </c>
      <c r="AT242" s="19">
        <f>VLOOKUP(AQ242,'DATABASE F&amp;B'!$C$3:$F$216,4,0)</f>
        <v>0</v>
      </c>
      <c r="AU242" s="19">
        <f t="shared" si="230"/>
        <v>0</v>
      </c>
      <c r="AV242" s="16"/>
      <c r="AW242" s="17">
        <f>VLOOKUP(AV242,'DATABASE F&amp;B'!$C$3:$F$216,2,0)</f>
        <v>0</v>
      </c>
      <c r="AX242" s="18"/>
      <c r="AY242" s="19">
        <f>VLOOKUP(AV242,'DATABASE F&amp;B'!$C$3:$F$216,4,0)</f>
        <v>0</v>
      </c>
      <c r="AZ242" s="19">
        <f t="shared" si="231"/>
        <v>0</v>
      </c>
      <c r="BA242" s="16"/>
      <c r="BB242" s="17">
        <f>VLOOKUP(BA242,'DATABASE F&amp;B'!$C$3:$F$216,2,0)</f>
        <v>0</v>
      </c>
      <c r="BC242" s="18"/>
      <c r="BD242" s="19">
        <f>VLOOKUP(BA242,'DATABASE F&amp;B'!$C$3:$F$216,4,0)</f>
        <v>0</v>
      </c>
      <c r="BE242" s="19">
        <f t="shared" si="232"/>
        <v>0</v>
      </c>
      <c r="BF242" s="16"/>
      <c r="BG242" s="17">
        <f>VLOOKUP(BF242,'DATABASE F&amp;B'!$C$3:$F$216,2,0)</f>
        <v>0</v>
      </c>
      <c r="BH242" s="18"/>
      <c r="BI242" s="19">
        <f>VLOOKUP(BF242,'DATABASE F&amp;B'!$C$3:$F$216,4,0)</f>
        <v>0</v>
      </c>
      <c r="BJ242" s="19">
        <f t="shared" si="233"/>
        <v>0</v>
      </c>
      <c r="BK242" s="16"/>
      <c r="BL242" s="17">
        <f>VLOOKUP(BK242,'DATABASE F&amp;B'!$C$3:$F$210,2,0)</f>
        <v>0</v>
      </c>
      <c r="BM242" s="18"/>
      <c r="BN242" s="19">
        <f>VLOOKUP(BK242,'DATABASE F&amp;B'!$C$3:$F$210,4,0)</f>
        <v>0</v>
      </c>
      <c r="BO242" s="19">
        <f t="shared" si="234"/>
        <v>0</v>
      </c>
      <c r="BP242" s="16"/>
      <c r="BQ242" s="17">
        <f>VLOOKUP(BP242,'DATABASE F&amp;B'!$C$3:$F$210,2,0)</f>
        <v>0</v>
      </c>
      <c r="BR242" s="18"/>
      <c r="BS242" s="19">
        <f>VLOOKUP(BP242,'DATABASE F&amp;B'!$C$3:$F$210,4,0)</f>
        <v>0</v>
      </c>
      <c r="BT242" s="19">
        <f t="shared" si="235"/>
        <v>0</v>
      </c>
      <c r="BU242" s="16"/>
      <c r="BV242" s="17">
        <f>VLOOKUP(BU242,'DATABASE F&amp;B'!$C$3:$F$210,2,0)</f>
        <v>0</v>
      </c>
      <c r="BW242" s="18"/>
      <c r="BX242" s="19">
        <f>VLOOKUP(BU242,'DATABASE F&amp;B'!$C$3:$F$210,4,0)</f>
        <v>0</v>
      </c>
      <c r="BY242" s="19">
        <f t="shared" si="236"/>
        <v>0</v>
      </c>
      <c r="BZ242" s="16"/>
      <c r="CA242" s="17">
        <f>VLOOKUP(BZ242,'DATABASE F&amp;B'!$C$3:$F$210,2,0)</f>
        <v>0</v>
      </c>
      <c r="CB242" s="18"/>
      <c r="CC242" s="19">
        <f>VLOOKUP(BZ242,'DATABASE F&amp;B'!$C$3:$F$210,4,0)</f>
        <v>0</v>
      </c>
      <c r="CD242" s="19">
        <f t="shared" si="237"/>
        <v>0</v>
      </c>
    </row>
    <row r="243" spans="1:82" ht="13.5" x14ac:dyDescent="0.25">
      <c r="A243" s="32" t="str">
        <f t="shared" si="218"/>
        <v>--20</v>
      </c>
      <c r="B243" s="22">
        <f t="shared" si="238"/>
        <v>239</v>
      </c>
      <c r="C243" s="22">
        <f t="shared" si="238"/>
        <v>239</v>
      </c>
      <c r="D243" s="34"/>
      <c r="E243" s="35"/>
      <c r="F243" s="35"/>
      <c r="G243" s="52"/>
      <c r="H243" s="36" t="str">
        <f t="shared" si="195"/>
        <v>RJ--239</v>
      </c>
      <c r="I243" s="36" t="str">
        <f t="shared" si="219"/>
        <v>--20</v>
      </c>
      <c r="J243" s="37" t="e">
        <f>VLOOKUP(D243,Laporan!$C$4:$D$34,2,0)</f>
        <v>#N/A</v>
      </c>
      <c r="K243" s="48"/>
      <c r="L243" s="13"/>
      <c r="M243" s="19">
        <f>SUMIF('DATABASE Room'!$B$3:$B$7,L243,'DATABASE Room'!$D$3:$D$7)</f>
        <v>0</v>
      </c>
      <c r="N243" s="13"/>
      <c r="O243" s="21">
        <f t="shared" si="220"/>
        <v>0</v>
      </c>
      <c r="P243" s="38"/>
      <c r="Q243" s="19">
        <f t="shared" si="221"/>
        <v>0</v>
      </c>
      <c r="R243" s="21">
        <f t="shared" si="222"/>
        <v>0</v>
      </c>
      <c r="S243" s="19">
        <f t="shared" si="223"/>
        <v>3</v>
      </c>
      <c r="T243" s="19">
        <f t="shared" si="224"/>
        <v>0</v>
      </c>
      <c r="U243" s="21">
        <f t="shared" si="225"/>
        <v>0</v>
      </c>
      <c r="V243" s="39"/>
      <c r="W243" s="16"/>
      <c r="X243" s="17">
        <f>VLOOKUP(W243,'DATABASE F&amp;B'!$C$3:$F$216,2,0)</f>
        <v>0</v>
      </c>
      <c r="Y243" s="18"/>
      <c r="Z243" s="19">
        <f>VLOOKUP(W243,'DATABASE F&amp;B'!$C$3:$F$216,4,0)</f>
        <v>0</v>
      </c>
      <c r="AA243" s="19">
        <f t="shared" si="226"/>
        <v>0</v>
      </c>
      <c r="AB243" s="16"/>
      <c r="AC243" s="17">
        <f>VLOOKUP(AB243,'DATABASE F&amp;B'!$C$3:$F$216,2,0)</f>
        <v>0</v>
      </c>
      <c r="AD243" s="18"/>
      <c r="AE243" s="19">
        <f>VLOOKUP(AB243,'DATABASE F&amp;B'!$C$3:$F$216,4,0)</f>
        <v>0</v>
      </c>
      <c r="AF243" s="19">
        <f t="shared" si="227"/>
        <v>0</v>
      </c>
      <c r="AG243" s="16"/>
      <c r="AH243" s="17">
        <f>VLOOKUP(AG243,'DATABASE F&amp;B'!$C$3:$F$216,2,0)</f>
        <v>0</v>
      </c>
      <c r="AI243" s="18">
        <v>1</v>
      </c>
      <c r="AJ243" s="19">
        <f>VLOOKUP(AG243,'DATABASE F&amp;B'!$C$3:$F$216,4,0)</f>
        <v>0</v>
      </c>
      <c r="AK243" s="19">
        <f t="shared" si="228"/>
        <v>0</v>
      </c>
      <c r="AL243" s="16"/>
      <c r="AM243" s="17">
        <f>VLOOKUP(AL243,'DATABASE F&amp;B'!$C$3:$F$216,2,0)</f>
        <v>0</v>
      </c>
      <c r="AN243" s="18">
        <v>1</v>
      </c>
      <c r="AO243" s="19">
        <f>VLOOKUP(AL243,'DATABASE F&amp;B'!$C$3:$F$216,4,0)</f>
        <v>0</v>
      </c>
      <c r="AP243" s="19">
        <f t="shared" si="229"/>
        <v>0</v>
      </c>
      <c r="AQ243" s="16"/>
      <c r="AR243" s="17">
        <f>VLOOKUP(AQ243,'DATABASE F&amp;B'!$C$3:$F$216,2,0)</f>
        <v>0</v>
      </c>
      <c r="AS243" s="18">
        <v>1</v>
      </c>
      <c r="AT243" s="19">
        <f>VLOOKUP(AQ243,'DATABASE F&amp;B'!$C$3:$F$216,4,0)</f>
        <v>0</v>
      </c>
      <c r="AU243" s="19">
        <f t="shared" si="230"/>
        <v>0</v>
      </c>
      <c r="AV243" s="16"/>
      <c r="AW243" s="17">
        <f>VLOOKUP(AV243,'DATABASE F&amp;B'!$C$3:$F$216,2,0)</f>
        <v>0</v>
      </c>
      <c r="AX243" s="18"/>
      <c r="AY243" s="19">
        <f>VLOOKUP(AV243,'DATABASE F&amp;B'!$C$3:$F$216,4,0)</f>
        <v>0</v>
      </c>
      <c r="AZ243" s="19">
        <f t="shared" si="231"/>
        <v>0</v>
      </c>
      <c r="BA243" s="16"/>
      <c r="BB243" s="17">
        <f>VLOOKUP(BA243,'DATABASE F&amp;B'!$C$3:$F$216,2,0)</f>
        <v>0</v>
      </c>
      <c r="BC243" s="18"/>
      <c r="BD243" s="19">
        <f>VLOOKUP(BA243,'DATABASE F&amp;B'!$C$3:$F$216,4,0)</f>
        <v>0</v>
      </c>
      <c r="BE243" s="19">
        <f t="shared" si="232"/>
        <v>0</v>
      </c>
      <c r="BF243" s="16"/>
      <c r="BG243" s="17">
        <f>VLOOKUP(BF243,'DATABASE F&amp;B'!$C$3:$F$216,2,0)</f>
        <v>0</v>
      </c>
      <c r="BH243" s="18"/>
      <c r="BI243" s="19">
        <f>VLOOKUP(BF243,'DATABASE F&amp;B'!$C$3:$F$216,4,0)</f>
        <v>0</v>
      </c>
      <c r="BJ243" s="19">
        <f t="shared" si="233"/>
        <v>0</v>
      </c>
      <c r="BK243" s="16"/>
      <c r="BL243" s="17">
        <f>VLOOKUP(BK243,'DATABASE F&amp;B'!$C$3:$F$210,2,0)</f>
        <v>0</v>
      </c>
      <c r="BM243" s="18"/>
      <c r="BN243" s="19">
        <f>VLOOKUP(BK243,'DATABASE F&amp;B'!$C$3:$F$210,4,0)</f>
        <v>0</v>
      </c>
      <c r="BO243" s="19">
        <f t="shared" si="234"/>
        <v>0</v>
      </c>
      <c r="BP243" s="16"/>
      <c r="BQ243" s="17">
        <f>VLOOKUP(BP243,'DATABASE F&amp;B'!$C$3:$F$210,2,0)</f>
        <v>0</v>
      </c>
      <c r="BR243" s="18"/>
      <c r="BS243" s="19">
        <f>VLOOKUP(BP243,'DATABASE F&amp;B'!$C$3:$F$210,4,0)</f>
        <v>0</v>
      </c>
      <c r="BT243" s="19">
        <f t="shared" si="235"/>
        <v>0</v>
      </c>
      <c r="BU243" s="16"/>
      <c r="BV243" s="17">
        <f>VLOOKUP(BU243,'DATABASE F&amp;B'!$C$3:$F$210,2,0)</f>
        <v>0</v>
      </c>
      <c r="BW243" s="18"/>
      <c r="BX243" s="19">
        <f>VLOOKUP(BU243,'DATABASE F&amp;B'!$C$3:$F$210,4,0)</f>
        <v>0</v>
      </c>
      <c r="BY243" s="19">
        <f t="shared" si="236"/>
        <v>0</v>
      </c>
      <c r="BZ243" s="16"/>
      <c r="CA243" s="17">
        <f>VLOOKUP(BZ243,'DATABASE F&amp;B'!$C$3:$F$210,2,0)</f>
        <v>0</v>
      </c>
      <c r="CB243" s="18"/>
      <c r="CC243" s="19">
        <f>VLOOKUP(BZ243,'DATABASE F&amp;B'!$C$3:$F$210,4,0)</f>
        <v>0</v>
      </c>
      <c r="CD243" s="19">
        <f t="shared" si="237"/>
        <v>0</v>
      </c>
    </row>
    <row r="244" spans="1:82" ht="13.5" x14ac:dyDescent="0.25">
      <c r="A244" s="32" t="str">
        <f t="shared" si="218"/>
        <v>--20</v>
      </c>
      <c r="B244" s="22">
        <f t="shared" si="238"/>
        <v>240</v>
      </c>
      <c r="C244" s="22">
        <f t="shared" si="238"/>
        <v>240</v>
      </c>
      <c r="D244" s="34"/>
      <c r="E244" s="35"/>
      <c r="F244" s="35"/>
      <c r="G244" s="52"/>
      <c r="H244" s="36" t="str">
        <f t="shared" si="195"/>
        <v>RJ--240</v>
      </c>
      <c r="I244" s="36" t="str">
        <f t="shared" si="219"/>
        <v>--20</v>
      </c>
      <c r="J244" s="37" t="e">
        <f>VLOOKUP(D244,Laporan!$C$4:$D$34,2,0)</f>
        <v>#N/A</v>
      </c>
      <c r="K244" s="48"/>
      <c r="L244" s="13"/>
      <c r="M244" s="19">
        <f>SUMIF('DATABASE Room'!$B$3:$B$7,L244,'DATABASE Room'!$D$3:$D$7)</f>
        <v>0</v>
      </c>
      <c r="N244" s="13"/>
      <c r="O244" s="21">
        <f t="shared" si="220"/>
        <v>0</v>
      </c>
      <c r="P244" s="38"/>
      <c r="Q244" s="19">
        <f t="shared" si="221"/>
        <v>0</v>
      </c>
      <c r="R244" s="21">
        <f t="shared" si="222"/>
        <v>0</v>
      </c>
      <c r="S244" s="19">
        <f t="shared" si="223"/>
        <v>3</v>
      </c>
      <c r="T244" s="19">
        <f t="shared" si="224"/>
        <v>0</v>
      </c>
      <c r="U244" s="21">
        <f t="shared" si="225"/>
        <v>0</v>
      </c>
      <c r="V244" s="39"/>
      <c r="W244" s="16"/>
      <c r="X244" s="17">
        <f>VLOOKUP(W244,'DATABASE F&amp;B'!$C$3:$F$216,2,0)</f>
        <v>0</v>
      </c>
      <c r="Y244" s="18"/>
      <c r="Z244" s="19">
        <f>VLOOKUP(W244,'DATABASE F&amp;B'!$C$3:$F$216,4,0)</f>
        <v>0</v>
      </c>
      <c r="AA244" s="19">
        <f t="shared" si="226"/>
        <v>0</v>
      </c>
      <c r="AB244" s="16"/>
      <c r="AC244" s="17">
        <f>VLOOKUP(AB244,'DATABASE F&amp;B'!$C$3:$F$216,2,0)</f>
        <v>0</v>
      </c>
      <c r="AD244" s="18"/>
      <c r="AE244" s="19">
        <f>VLOOKUP(AB244,'DATABASE F&amp;B'!$C$3:$F$216,4,0)</f>
        <v>0</v>
      </c>
      <c r="AF244" s="19">
        <f t="shared" si="227"/>
        <v>0</v>
      </c>
      <c r="AG244" s="16"/>
      <c r="AH244" s="17">
        <f>VLOOKUP(AG244,'DATABASE F&amp;B'!$C$3:$F$216,2,0)</f>
        <v>0</v>
      </c>
      <c r="AI244" s="18">
        <v>1</v>
      </c>
      <c r="AJ244" s="19">
        <f>VLOOKUP(AG244,'DATABASE F&amp;B'!$C$3:$F$216,4,0)</f>
        <v>0</v>
      </c>
      <c r="AK244" s="19">
        <f t="shared" si="228"/>
        <v>0</v>
      </c>
      <c r="AL244" s="16"/>
      <c r="AM244" s="17">
        <f>VLOOKUP(AL244,'DATABASE F&amp;B'!$C$3:$F$216,2,0)</f>
        <v>0</v>
      </c>
      <c r="AN244" s="18">
        <v>1</v>
      </c>
      <c r="AO244" s="19">
        <f>VLOOKUP(AL244,'DATABASE F&amp;B'!$C$3:$F$216,4,0)</f>
        <v>0</v>
      </c>
      <c r="AP244" s="19">
        <f t="shared" si="229"/>
        <v>0</v>
      </c>
      <c r="AQ244" s="16"/>
      <c r="AR244" s="17">
        <f>VLOOKUP(AQ244,'DATABASE F&amp;B'!$C$3:$F$216,2,0)</f>
        <v>0</v>
      </c>
      <c r="AS244" s="18">
        <v>1</v>
      </c>
      <c r="AT244" s="19">
        <f>VLOOKUP(AQ244,'DATABASE F&amp;B'!$C$3:$F$216,4,0)</f>
        <v>0</v>
      </c>
      <c r="AU244" s="19">
        <f t="shared" si="230"/>
        <v>0</v>
      </c>
      <c r="AV244" s="16"/>
      <c r="AW244" s="17">
        <f>VLOOKUP(AV244,'DATABASE F&amp;B'!$C$3:$F$216,2,0)</f>
        <v>0</v>
      </c>
      <c r="AX244" s="18"/>
      <c r="AY244" s="19">
        <f>VLOOKUP(AV244,'DATABASE F&amp;B'!$C$3:$F$216,4,0)</f>
        <v>0</v>
      </c>
      <c r="AZ244" s="19">
        <f t="shared" si="231"/>
        <v>0</v>
      </c>
      <c r="BA244" s="16"/>
      <c r="BB244" s="17">
        <f>VLOOKUP(BA244,'DATABASE F&amp;B'!$C$3:$F$216,2,0)</f>
        <v>0</v>
      </c>
      <c r="BC244" s="18"/>
      <c r="BD244" s="19">
        <f>VLOOKUP(BA244,'DATABASE F&amp;B'!$C$3:$F$216,4,0)</f>
        <v>0</v>
      </c>
      <c r="BE244" s="19">
        <f t="shared" si="232"/>
        <v>0</v>
      </c>
      <c r="BF244" s="16"/>
      <c r="BG244" s="17">
        <f>VLOOKUP(BF244,'DATABASE F&amp;B'!$C$3:$F$216,2,0)</f>
        <v>0</v>
      </c>
      <c r="BH244" s="18"/>
      <c r="BI244" s="19">
        <f>VLOOKUP(BF244,'DATABASE F&amp;B'!$C$3:$F$216,4,0)</f>
        <v>0</v>
      </c>
      <c r="BJ244" s="19">
        <f t="shared" si="233"/>
        <v>0</v>
      </c>
      <c r="BK244" s="16"/>
      <c r="BL244" s="17">
        <f>VLOOKUP(BK244,'DATABASE F&amp;B'!$C$3:$F$210,2,0)</f>
        <v>0</v>
      </c>
      <c r="BM244" s="18"/>
      <c r="BN244" s="19">
        <f>VLOOKUP(BK244,'DATABASE F&amp;B'!$C$3:$F$210,4,0)</f>
        <v>0</v>
      </c>
      <c r="BO244" s="19">
        <f t="shared" si="234"/>
        <v>0</v>
      </c>
      <c r="BP244" s="16"/>
      <c r="BQ244" s="17">
        <f>VLOOKUP(BP244,'DATABASE F&amp;B'!$C$3:$F$210,2,0)</f>
        <v>0</v>
      </c>
      <c r="BR244" s="18"/>
      <c r="BS244" s="19">
        <f>VLOOKUP(BP244,'DATABASE F&amp;B'!$C$3:$F$210,4,0)</f>
        <v>0</v>
      </c>
      <c r="BT244" s="19">
        <f t="shared" si="235"/>
        <v>0</v>
      </c>
      <c r="BU244" s="16"/>
      <c r="BV244" s="17">
        <f>VLOOKUP(BU244,'DATABASE F&amp;B'!$C$3:$F$210,2,0)</f>
        <v>0</v>
      </c>
      <c r="BW244" s="18"/>
      <c r="BX244" s="19">
        <f>VLOOKUP(BU244,'DATABASE F&amp;B'!$C$3:$F$210,4,0)</f>
        <v>0</v>
      </c>
      <c r="BY244" s="19">
        <f t="shared" si="236"/>
        <v>0</v>
      </c>
      <c r="BZ244" s="16"/>
      <c r="CA244" s="17">
        <f>VLOOKUP(BZ244,'DATABASE F&amp;B'!$C$3:$F$210,2,0)</f>
        <v>0</v>
      </c>
      <c r="CB244" s="18"/>
      <c r="CC244" s="19">
        <f>VLOOKUP(BZ244,'DATABASE F&amp;B'!$C$3:$F$210,4,0)</f>
        <v>0</v>
      </c>
      <c r="CD244" s="19">
        <f t="shared" si="237"/>
        <v>0</v>
      </c>
    </row>
    <row r="245" spans="1:82" ht="13.5" x14ac:dyDescent="0.25">
      <c r="A245" s="32" t="str">
        <f t="shared" si="218"/>
        <v>--20</v>
      </c>
      <c r="B245" s="22">
        <f t="shared" si="238"/>
        <v>241</v>
      </c>
      <c r="C245" s="22">
        <f t="shared" si="238"/>
        <v>241</v>
      </c>
      <c r="D245" s="34"/>
      <c r="E245" s="35"/>
      <c r="F245" s="35"/>
      <c r="G245" s="52"/>
      <c r="H245" s="36" t="str">
        <f t="shared" si="195"/>
        <v>RJ--241</v>
      </c>
      <c r="I245" s="36" t="str">
        <f t="shared" si="219"/>
        <v>--20</v>
      </c>
      <c r="J245" s="37" t="e">
        <f>VLOOKUP(D245,Laporan!$C$4:$D$34,2,0)</f>
        <v>#N/A</v>
      </c>
      <c r="K245" s="48"/>
      <c r="L245" s="13"/>
      <c r="M245" s="19">
        <f>SUMIF('DATABASE Room'!$B$3:$B$7,L245,'DATABASE Room'!$D$3:$D$7)</f>
        <v>0</v>
      </c>
      <c r="N245" s="13"/>
      <c r="O245" s="21">
        <f t="shared" si="220"/>
        <v>0</v>
      </c>
      <c r="P245" s="38"/>
      <c r="Q245" s="19">
        <f t="shared" si="221"/>
        <v>0</v>
      </c>
      <c r="R245" s="21">
        <f t="shared" si="222"/>
        <v>0</v>
      </c>
      <c r="S245" s="19">
        <f t="shared" si="223"/>
        <v>3</v>
      </c>
      <c r="T245" s="19">
        <f t="shared" si="224"/>
        <v>0</v>
      </c>
      <c r="U245" s="21">
        <f t="shared" si="225"/>
        <v>0</v>
      </c>
      <c r="V245" s="39"/>
      <c r="W245" s="16"/>
      <c r="X245" s="17">
        <f>VLOOKUP(W245,'DATABASE F&amp;B'!$C$3:$F$216,2,0)</f>
        <v>0</v>
      </c>
      <c r="Y245" s="18"/>
      <c r="Z245" s="19">
        <f>VLOOKUP(W245,'DATABASE F&amp;B'!$C$3:$F$216,4,0)</f>
        <v>0</v>
      </c>
      <c r="AA245" s="19">
        <f t="shared" si="226"/>
        <v>0</v>
      </c>
      <c r="AB245" s="16"/>
      <c r="AC245" s="17">
        <f>VLOOKUP(AB245,'DATABASE F&amp;B'!$C$3:$F$216,2,0)</f>
        <v>0</v>
      </c>
      <c r="AD245" s="18"/>
      <c r="AE245" s="19">
        <f>VLOOKUP(AB245,'DATABASE F&amp;B'!$C$3:$F$216,4,0)</f>
        <v>0</v>
      </c>
      <c r="AF245" s="19">
        <f t="shared" si="227"/>
        <v>0</v>
      </c>
      <c r="AG245" s="16"/>
      <c r="AH245" s="17">
        <f>VLOOKUP(AG245,'DATABASE F&amp;B'!$C$3:$F$216,2,0)</f>
        <v>0</v>
      </c>
      <c r="AI245" s="18">
        <v>1</v>
      </c>
      <c r="AJ245" s="19">
        <f>VLOOKUP(AG245,'DATABASE F&amp;B'!$C$3:$F$216,4,0)</f>
        <v>0</v>
      </c>
      <c r="AK245" s="19">
        <f t="shared" si="228"/>
        <v>0</v>
      </c>
      <c r="AL245" s="16"/>
      <c r="AM245" s="17">
        <f>VLOOKUP(AL245,'DATABASE F&amp;B'!$C$3:$F$216,2,0)</f>
        <v>0</v>
      </c>
      <c r="AN245" s="18">
        <v>1</v>
      </c>
      <c r="AO245" s="19">
        <f>VLOOKUP(AL245,'DATABASE F&amp;B'!$C$3:$F$216,4,0)</f>
        <v>0</v>
      </c>
      <c r="AP245" s="19">
        <f t="shared" si="229"/>
        <v>0</v>
      </c>
      <c r="AQ245" s="16"/>
      <c r="AR245" s="17">
        <f>VLOOKUP(AQ245,'DATABASE F&amp;B'!$C$3:$F$216,2,0)</f>
        <v>0</v>
      </c>
      <c r="AS245" s="18">
        <v>1</v>
      </c>
      <c r="AT245" s="19">
        <f>VLOOKUP(AQ245,'DATABASE F&amp;B'!$C$3:$F$216,4,0)</f>
        <v>0</v>
      </c>
      <c r="AU245" s="19">
        <f t="shared" si="230"/>
        <v>0</v>
      </c>
      <c r="AV245" s="16"/>
      <c r="AW245" s="17">
        <f>VLOOKUP(AV245,'DATABASE F&amp;B'!$C$3:$F$216,2,0)</f>
        <v>0</v>
      </c>
      <c r="AX245" s="18"/>
      <c r="AY245" s="19">
        <f>VLOOKUP(AV245,'DATABASE F&amp;B'!$C$3:$F$216,4,0)</f>
        <v>0</v>
      </c>
      <c r="AZ245" s="19">
        <f t="shared" si="231"/>
        <v>0</v>
      </c>
      <c r="BA245" s="16"/>
      <c r="BB245" s="17">
        <f>VLOOKUP(BA245,'DATABASE F&amp;B'!$C$3:$F$216,2,0)</f>
        <v>0</v>
      </c>
      <c r="BC245" s="18"/>
      <c r="BD245" s="19">
        <f>VLOOKUP(BA245,'DATABASE F&amp;B'!$C$3:$F$216,4,0)</f>
        <v>0</v>
      </c>
      <c r="BE245" s="19">
        <f t="shared" si="232"/>
        <v>0</v>
      </c>
      <c r="BF245" s="16"/>
      <c r="BG245" s="17">
        <f>VLOOKUP(BF245,'DATABASE F&amp;B'!$C$3:$F$216,2,0)</f>
        <v>0</v>
      </c>
      <c r="BH245" s="18"/>
      <c r="BI245" s="19">
        <f>VLOOKUP(BF245,'DATABASE F&amp;B'!$C$3:$F$216,4,0)</f>
        <v>0</v>
      </c>
      <c r="BJ245" s="19">
        <f t="shared" si="233"/>
        <v>0</v>
      </c>
      <c r="BK245" s="16"/>
      <c r="BL245" s="17">
        <f>VLOOKUP(BK245,'DATABASE F&amp;B'!$C$3:$F$210,2,0)</f>
        <v>0</v>
      </c>
      <c r="BM245" s="18"/>
      <c r="BN245" s="19">
        <f>VLOOKUP(BK245,'DATABASE F&amp;B'!$C$3:$F$210,4,0)</f>
        <v>0</v>
      </c>
      <c r="BO245" s="19">
        <f t="shared" si="234"/>
        <v>0</v>
      </c>
      <c r="BP245" s="16"/>
      <c r="BQ245" s="17">
        <f>VLOOKUP(BP245,'DATABASE F&amp;B'!$C$3:$F$210,2,0)</f>
        <v>0</v>
      </c>
      <c r="BR245" s="18"/>
      <c r="BS245" s="19">
        <f>VLOOKUP(BP245,'DATABASE F&amp;B'!$C$3:$F$210,4,0)</f>
        <v>0</v>
      </c>
      <c r="BT245" s="19">
        <f t="shared" si="235"/>
        <v>0</v>
      </c>
      <c r="BU245" s="16"/>
      <c r="BV245" s="17">
        <f>VLOOKUP(BU245,'DATABASE F&amp;B'!$C$3:$F$210,2,0)</f>
        <v>0</v>
      </c>
      <c r="BW245" s="18"/>
      <c r="BX245" s="19">
        <f>VLOOKUP(BU245,'DATABASE F&amp;B'!$C$3:$F$210,4,0)</f>
        <v>0</v>
      </c>
      <c r="BY245" s="19">
        <f t="shared" si="236"/>
        <v>0</v>
      </c>
      <c r="BZ245" s="16"/>
      <c r="CA245" s="17">
        <f>VLOOKUP(BZ245,'DATABASE F&amp;B'!$C$3:$F$210,2,0)</f>
        <v>0</v>
      </c>
      <c r="CB245" s="18"/>
      <c r="CC245" s="19">
        <f>VLOOKUP(BZ245,'DATABASE F&amp;B'!$C$3:$F$210,4,0)</f>
        <v>0</v>
      </c>
      <c r="CD245" s="19">
        <f t="shared" si="237"/>
        <v>0</v>
      </c>
    </row>
    <row r="246" spans="1:82" ht="13.5" x14ac:dyDescent="0.25">
      <c r="A246" s="32" t="str">
        <f t="shared" si="218"/>
        <v>--20</v>
      </c>
      <c r="B246" s="22">
        <f t="shared" si="238"/>
        <v>242</v>
      </c>
      <c r="C246" s="22">
        <f t="shared" si="238"/>
        <v>242</v>
      </c>
      <c r="D246" s="34"/>
      <c r="E246" s="35"/>
      <c r="F246" s="35"/>
      <c r="G246" s="52"/>
      <c r="H246" s="36" t="str">
        <f t="shared" si="195"/>
        <v>RJ--242</v>
      </c>
      <c r="I246" s="36" t="str">
        <f t="shared" si="219"/>
        <v>--20</v>
      </c>
      <c r="J246" s="37" t="e">
        <f>VLOOKUP(D246,Laporan!$C$4:$D$34,2,0)</f>
        <v>#N/A</v>
      </c>
      <c r="K246" s="48"/>
      <c r="L246" s="13"/>
      <c r="M246" s="19">
        <f>SUMIF('DATABASE Room'!$B$3:$B$7,L246,'DATABASE Room'!$D$3:$D$7)</f>
        <v>0</v>
      </c>
      <c r="N246" s="13"/>
      <c r="O246" s="21">
        <f t="shared" si="220"/>
        <v>0</v>
      </c>
      <c r="P246" s="38"/>
      <c r="Q246" s="19">
        <f t="shared" si="221"/>
        <v>0</v>
      </c>
      <c r="R246" s="21">
        <f t="shared" si="222"/>
        <v>0</v>
      </c>
      <c r="S246" s="19">
        <f t="shared" si="223"/>
        <v>3</v>
      </c>
      <c r="T246" s="19">
        <f t="shared" si="224"/>
        <v>0</v>
      </c>
      <c r="U246" s="21">
        <f t="shared" si="225"/>
        <v>0</v>
      </c>
      <c r="V246" s="39"/>
      <c r="W246" s="16"/>
      <c r="X246" s="17">
        <f>VLOOKUP(W246,'DATABASE F&amp;B'!$C$3:$F$216,2,0)</f>
        <v>0</v>
      </c>
      <c r="Y246" s="18"/>
      <c r="Z246" s="19">
        <f>VLOOKUP(W246,'DATABASE F&amp;B'!$C$3:$F$216,4,0)</f>
        <v>0</v>
      </c>
      <c r="AA246" s="19">
        <f t="shared" si="226"/>
        <v>0</v>
      </c>
      <c r="AB246" s="16"/>
      <c r="AC246" s="17">
        <f>VLOOKUP(AB246,'DATABASE F&amp;B'!$C$3:$F$216,2,0)</f>
        <v>0</v>
      </c>
      <c r="AD246" s="18"/>
      <c r="AE246" s="19">
        <f>VLOOKUP(AB246,'DATABASE F&amp;B'!$C$3:$F$216,4,0)</f>
        <v>0</v>
      </c>
      <c r="AF246" s="19">
        <f t="shared" si="227"/>
        <v>0</v>
      </c>
      <c r="AG246" s="16"/>
      <c r="AH246" s="17">
        <f>VLOOKUP(AG246,'DATABASE F&amp;B'!$C$3:$F$216,2,0)</f>
        <v>0</v>
      </c>
      <c r="AI246" s="18">
        <v>1</v>
      </c>
      <c r="AJ246" s="19">
        <f>VLOOKUP(AG246,'DATABASE F&amp;B'!$C$3:$F$216,4,0)</f>
        <v>0</v>
      </c>
      <c r="AK246" s="19">
        <f t="shared" si="228"/>
        <v>0</v>
      </c>
      <c r="AL246" s="16"/>
      <c r="AM246" s="17">
        <f>VLOOKUP(AL246,'DATABASE F&amp;B'!$C$3:$F$216,2,0)</f>
        <v>0</v>
      </c>
      <c r="AN246" s="18">
        <v>1</v>
      </c>
      <c r="AO246" s="19">
        <f>VLOOKUP(AL246,'DATABASE F&amp;B'!$C$3:$F$216,4,0)</f>
        <v>0</v>
      </c>
      <c r="AP246" s="19">
        <f t="shared" si="229"/>
        <v>0</v>
      </c>
      <c r="AQ246" s="16"/>
      <c r="AR246" s="17">
        <f>VLOOKUP(AQ246,'DATABASE F&amp;B'!$C$3:$F$216,2,0)</f>
        <v>0</v>
      </c>
      <c r="AS246" s="18">
        <v>1</v>
      </c>
      <c r="AT246" s="19">
        <f>VLOOKUP(AQ246,'DATABASE F&amp;B'!$C$3:$F$216,4,0)</f>
        <v>0</v>
      </c>
      <c r="AU246" s="19">
        <f t="shared" si="230"/>
        <v>0</v>
      </c>
      <c r="AV246" s="16"/>
      <c r="AW246" s="17">
        <f>VLOOKUP(AV246,'DATABASE F&amp;B'!$C$3:$F$216,2,0)</f>
        <v>0</v>
      </c>
      <c r="AX246" s="18"/>
      <c r="AY246" s="19">
        <f>VLOOKUP(AV246,'DATABASE F&amp;B'!$C$3:$F$216,4,0)</f>
        <v>0</v>
      </c>
      <c r="AZ246" s="19">
        <f t="shared" si="231"/>
        <v>0</v>
      </c>
      <c r="BA246" s="16"/>
      <c r="BB246" s="17">
        <f>VLOOKUP(BA246,'DATABASE F&amp;B'!$C$3:$F$216,2,0)</f>
        <v>0</v>
      </c>
      <c r="BC246" s="18"/>
      <c r="BD246" s="19">
        <f>VLOOKUP(BA246,'DATABASE F&amp;B'!$C$3:$F$216,4,0)</f>
        <v>0</v>
      </c>
      <c r="BE246" s="19">
        <f t="shared" si="232"/>
        <v>0</v>
      </c>
      <c r="BF246" s="16"/>
      <c r="BG246" s="17">
        <f>VLOOKUP(BF246,'DATABASE F&amp;B'!$C$3:$F$216,2,0)</f>
        <v>0</v>
      </c>
      <c r="BH246" s="18"/>
      <c r="BI246" s="19">
        <f>VLOOKUP(BF246,'DATABASE F&amp;B'!$C$3:$F$216,4,0)</f>
        <v>0</v>
      </c>
      <c r="BJ246" s="19">
        <f t="shared" si="233"/>
        <v>0</v>
      </c>
      <c r="BK246" s="16"/>
      <c r="BL246" s="17">
        <f>VLOOKUP(BK246,'DATABASE F&amp;B'!$C$3:$F$210,2,0)</f>
        <v>0</v>
      </c>
      <c r="BM246" s="18"/>
      <c r="BN246" s="19">
        <f>VLOOKUP(BK246,'DATABASE F&amp;B'!$C$3:$F$210,4,0)</f>
        <v>0</v>
      </c>
      <c r="BO246" s="19">
        <f t="shared" si="234"/>
        <v>0</v>
      </c>
      <c r="BP246" s="16"/>
      <c r="BQ246" s="17">
        <f>VLOOKUP(BP246,'DATABASE F&amp;B'!$C$3:$F$210,2,0)</f>
        <v>0</v>
      </c>
      <c r="BR246" s="18"/>
      <c r="BS246" s="19">
        <f>VLOOKUP(BP246,'DATABASE F&amp;B'!$C$3:$F$210,4,0)</f>
        <v>0</v>
      </c>
      <c r="BT246" s="19">
        <f t="shared" si="235"/>
        <v>0</v>
      </c>
      <c r="BU246" s="16"/>
      <c r="BV246" s="17">
        <f>VLOOKUP(BU246,'DATABASE F&amp;B'!$C$3:$F$210,2,0)</f>
        <v>0</v>
      </c>
      <c r="BW246" s="18"/>
      <c r="BX246" s="19">
        <f>VLOOKUP(BU246,'DATABASE F&amp;B'!$C$3:$F$210,4,0)</f>
        <v>0</v>
      </c>
      <c r="BY246" s="19">
        <f t="shared" si="236"/>
        <v>0</v>
      </c>
      <c r="BZ246" s="16"/>
      <c r="CA246" s="17">
        <f>VLOOKUP(BZ246,'DATABASE F&amp;B'!$C$3:$F$210,2,0)</f>
        <v>0</v>
      </c>
      <c r="CB246" s="18"/>
      <c r="CC246" s="19">
        <f>VLOOKUP(BZ246,'DATABASE F&amp;B'!$C$3:$F$210,4,0)</f>
        <v>0</v>
      </c>
      <c r="CD246" s="19">
        <f t="shared" si="237"/>
        <v>0</v>
      </c>
    </row>
    <row r="247" spans="1:82" ht="13.5" x14ac:dyDescent="0.25">
      <c r="A247" s="32" t="str">
        <f t="shared" si="218"/>
        <v>--20</v>
      </c>
      <c r="B247" s="22">
        <f t="shared" ref="B247:C262" si="239">B246+1</f>
        <v>243</v>
      </c>
      <c r="C247" s="22">
        <f t="shared" si="239"/>
        <v>243</v>
      </c>
      <c r="D247" s="34"/>
      <c r="E247" s="35"/>
      <c r="F247" s="35"/>
      <c r="G247" s="52"/>
      <c r="H247" s="36" t="str">
        <f t="shared" si="195"/>
        <v>RJ--243</v>
      </c>
      <c r="I247" s="36" t="str">
        <f t="shared" si="219"/>
        <v>--20</v>
      </c>
      <c r="J247" s="37" t="e">
        <f>VLOOKUP(D247,Laporan!$C$4:$D$34,2,0)</f>
        <v>#N/A</v>
      </c>
      <c r="K247" s="48"/>
      <c r="L247" s="13"/>
      <c r="M247" s="19">
        <f>SUMIF('DATABASE Room'!$B$3:$B$7,L247,'DATABASE Room'!$D$3:$D$7)</f>
        <v>0</v>
      </c>
      <c r="N247" s="13"/>
      <c r="O247" s="21">
        <f t="shared" si="220"/>
        <v>0</v>
      </c>
      <c r="P247" s="38"/>
      <c r="Q247" s="19">
        <f t="shared" si="221"/>
        <v>0</v>
      </c>
      <c r="R247" s="21">
        <f t="shared" si="222"/>
        <v>0</v>
      </c>
      <c r="S247" s="19">
        <f t="shared" si="223"/>
        <v>3</v>
      </c>
      <c r="T247" s="19">
        <f t="shared" si="224"/>
        <v>0</v>
      </c>
      <c r="U247" s="21">
        <f t="shared" si="225"/>
        <v>0</v>
      </c>
      <c r="V247" s="39"/>
      <c r="W247" s="16"/>
      <c r="X247" s="17">
        <f>VLOOKUP(W247,'DATABASE F&amp;B'!$C$3:$F$216,2,0)</f>
        <v>0</v>
      </c>
      <c r="Y247" s="18"/>
      <c r="Z247" s="19">
        <f>VLOOKUP(W247,'DATABASE F&amp;B'!$C$3:$F$216,4,0)</f>
        <v>0</v>
      </c>
      <c r="AA247" s="19">
        <f t="shared" si="226"/>
        <v>0</v>
      </c>
      <c r="AB247" s="16"/>
      <c r="AC247" s="17">
        <f>VLOOKUP(AB247,'DATABASE F&amp;B'!$C$3:$F$216,2,0)</f>
        <v>0</v>
      </c>
      <c r="AD247" s="18"/>
      <c r="AE247" s="19">
        <f>VLOOKUP(AB247,'DATABASE F&amp;B'!$C$3:$F$216,4,0)</f>
        <v>0</v>
      </c>
      <c r="AF247" s="19">
        <f t="shared" si="227"/>
        <v>0</v>
      </c>
      <c r="AG247" s="16"/>
      <c r="AH247" s="17">
        <f>VLOOKUP(AG247,'DATABASE F&amp;B'!$C$3:$F$216,2,0)</f>
        <v>0</v>
      </c>
      <c r="AI247" s="18">
        <v>1</v>
      </c>
      <c r="AJ247" s="19">
        <f>VLOOKUP(AG247,'DATABASE F&amp;B'!$C$3:$F$216,4,0)</f>
        <v>0</v>
      </c>
      <c r="AK247" s="19">
        <f t="shared" si="228"/>
        <v>0</v>
      </c>
      <c r="AL247" s="16"/>
      <c r="AM247" s="17">
        <f>VLOOKUP(AL247,'DATABASE F&amp;B'!$C$3:$F$216,2,0)</f>
        <v>0</v>
      </c>
      <c r="AN247" s="18">
        <v>1</v>
      </c>
      <c r="AO247" s="19">
        <f>VLOOKUP(AL247,'DATABASE F&amp;B'!$C$3:$F$216,4,0)</f>
        <v>0</v>
      </c>
      <c r="AP247" s="19">
        <f t="shared" si="229"/>
        <v>0</v>
      </c>
      <c r="AQ247" s="16"/>
      <c r="AR247" s="17">
        <f>VLOOKUP(AQ247,'DATABASE F&amp;B'!$C$3:$F$216,2,0)</f>
        <v>0</v>
      </c>
      <c r="AS247" s="18">
        <v>1</v>
      </c>
      <c r="AT247" s="19">
        <f>VLOOKUP(AQ247,'DATABASE F&amp;B'!$C$3:$F$216,4,0)</f>
        <v>0</v>
      </c>
      <c r="AU247" s="19">
        <f t="shared" si="230"/>
        <v>0</v>
      </c>
      <c r="AV247" s="16"/>
      <c r="AW247" s="17">
        <f>VLOOKUP(AV247,'DATABASE F&amp;B'!$C$3:$F$216,2,0)</f>
        <v>0</v>
      </c>
      <c r="AX247" s="18"/>
      <c r="AY247" s="19">
        <f>VLOOKUP(AV247,'DATABASE F&amp;B'!$C$3:$F$216,4,0)</f>
        <v>0</v>
      </c>
      <c r="AZ247" s="19">
        <f t="shared" si="231"/>
        <v>0</v>
      </c>
      <c r="BA247" s="16"/>
      <c r="BB247" s="17">
        <f>VLOOKUP(BA247,'DATABASE F&amp;B'!$C$3:$F$216,2,0)</f>
        <v>0</v>
      </c>
      <c r="BC247" s="18"/>
      <c r="BD247" s="19">
        <f>VLOOKUP(BA247,'DATABASE F&amp;B'!$C$3:$F$216,4,0)</f>
        <v>0</v>
      </c>
      <c r="BE247" s="19">
        <f t="shared" si="232"/>
        <v>0</v>
      </c>
      <c r="BF247" s="16"/>
      <c r="BG247" s="17">
        <f>VLOOKUP(BF247,'DATABASE F&amp;B'!$C$3:$F$216,2,0)</f>
        <v>0</v>
      </c>
      <c r="BH247" s="18"/>
      <c r="BI247" s="19">
        <f>VLOOKUP(BF247,'DATABASE F&amp;B'!$C$3:$F$216,4,0)</f>
        <v>0</v>
      </c>
      <c r="BJ247" s="19">
        <f t="shared" si="233"/>
        <v>0</v>
      </c>
      <c r="BK247" s="16"/>
      <c r="BL247" s="17">
        <f>VLOOKUP(BK247,'DATABASE F&amp;B'!$C$3:$F$210,2,0)</f>
        <v>0</v>
      </c>
      <c r="BM247" s="18"/>
      <c r="BN247" s="19">
        <f>VLOOKUP(BK247,'DATABASE F&amp;B'!$C$3:$F$210,4,0)</f>
        <v>0</v>
      </c>
      <c r="BO247" s="19">
        <f t="shared" si="234"/>
        <v>0</v>
      </c>
      <c r="BP247" s="16"/>
      <c r="BQ247" s="17">
        <f>VLOOKUP(BP247,'DATABASE F&amp;B'!$C$3:$F$210,2,0)</f>
        <v>0</v>
      </c>
      <c r="BR247" s="18"/>
      <c r="BS247" s="19">
        <f>VLOOKUP(BP247,'DATABASE F&amp;B'!$C$3:$F$210,4,0)</f>
        <v>0</v>
      </c>
      <c r="BT247" s="19">
        <f t="shared" si="235"/>
        <v>0</v>
      </c>
      <c r="BU247" s="16"/>
      <c r="BV247" s="17">
        <f>VLOOKUP(BU247,'DATABASE F&amp;B'!$C$3:$F$210,2,0)</f>
        <v>0</v>
      </c>
      <c r="BW247" s="18"/>
      <c r="BX247" s="19">
        <f>VLOOKUP(BU247,'DATABASE F&amp;B'!$C$3:$F$210,4,0)</f>
        <v>0</v>
      </c>
      <c r="BY247" s="19">
        <f t="shared" si="236"/>
        <v>0</v>
      </c>
      <c r="BZ247" s="16"/>
      <c r="CA247" s="17">
        <f>VLOOKUP(BZ247,'DATABASE F&amp;B'!$C$3:$F$210,2,0)</f>
        <v>0</v>
      </c>
      <c r="CB247" s="18"/>
      <c r="CC247" s="19">
        <f>VLOOKUP(BZ247,'DATABASE F&amp;B'!$C$3:$F$210,4,0)</f>
        <v>0</v>
      </c>
      <c r="CD247" s="19">
        <f t="shared" si="237"/>
        <v>0</v>
      </c>
    </row>
    <row r="248" spans="1:82" ht="13.5" x14ac:dyDescent="0.25">
      <c r="A248" s="32" t="str">
        <f t="shared" si="218"/>
        <v>--20</v>
      </c>
      <c r="B248" s="22">
        <f t="shared" si="239"/>
        <v>244</v>
      </c>
      <c r="C248" s="22">
        <f t="shared" si="239"/>
        <v>244</v>
      </c>
      <c r="D248" s="34"/>
      <c r="E248" s="35"/>
      <c r="F248" s="35"/>
      <c r="G248" s="52"/>
      <c r="H248" s="36" t="str">
        <f t="shared" si="195"/>
        <v>RJ--244</v>
      </c>
      <c r="I248" s="36" t="str">
        <f t="shared" si="219"/>
        <v>--20</v>
      </c>
      <c r="J248" s="37" t="e">
        <f>VLOOKUP(D248,Laporan!$C$4:$D$34,2,0)</f>
        <v>#N/A</v>
      </c>
      <c r="K248" s="48"/>
      <c r="L248" s="13"/>
      <c r="M248" s="19">
        <f>SUMIF('DATABASE Room'!$B$3:$B$7,L248,'DATABASE Room'!$D$3:$D$7)</f>
        <v>0</v>
      </c>
      <c r="N248" s="13"/>
      <c r="O248" s="21">
        <f t="shared" si="220"/>
        <v>0</v>
      </c>
      <c r="P248" s="38"/>
      <c r="Q248" s="19">
        <f t="shared" si="221"/>
        <v>0</v>
      </c>
      <c r="R248" s="21">
        <f t="shared" si="222"/>
        <v>0</v>
      </c>
      <c r="S248" s="19">
        <f t="shared" si="223"/>
        <v>3</v>
      </c>
      <c r="T248" s="19">
        <f t="shared" si="224"/>
        <v>0</v>
      </c>
      <c r="U248" s="21">
        <f t="shared" si="225"/>
        <v>0</v>
      </c>
      <c r="V248" s="39"/>
      <c r="W248" s="16"/>
      <c r="X248" s="17">
        <f>VLOOKUP(W248,'DATABASE F&amp;B'!$C$3:$F$216,2,0)</f>
        <v>0</v>
      </c>
      <c r="Y248" s="18"/>
      <c r="Z248" s="19">
        <f>VLOOKUP(W248,'DATABASE F&amp;B'!$C$3:$F$216,4,0)</f>
        <v>0</v>
      </c>
      <c r="AA248" s="19">
        <f t="shared" si="226"/>
        <v>0</v>
      </c>
      <c r="AB248" s="16"/>
      <c r="AC248" s="17">
        <f>VLOOKUP(AB248,'DATABASE F&amp;B'!$C$3:$F$216,2,0)</f>
        <v>0</v>
      </c>
      <c r="AD248" s="18"/>
      <c r="AE248" s="19">
        <f>VLOOKUP(AB248,'DATABASE F&amp;B'!$C$3:$F$216,4,0)</f>
        <v>0</v>
      </c>
      <c r="AF248" s="19">
        <f t="shared" si="227"/>
        <v>0</v>
      </c>
      <c r="AG248" s="16"/>
      <c r="AH248" s="17">
        <f>VLOOKUP(AG248,'DATABASE F&amp;B'!$C$3:$F$216,2,0)</f>
        <v>0</v>
      </c>
      <c r="AI248" s="18">
        <v>1</v>
      </c>
      <c r="AJ248" s="19">
        <f>VLOOKUP(AG248,'DATABASE F&amp;B'!$C$3:$F$216,4,0)</f>
        <v>0</v>
      </c>
      <c r="AK248" s="19">
        <f t="shared" si="228"/>
        <v>0</v>
      </c>
      <c r="AL248" s="16"/>
      <c r="AM248" s="17">
        <f>VLOOKUP(AL248,'DATABASE F&amp;B'!$C$3:$F$216,2,0)</f>
        <v>0</v>
      </c>
      <c r="AN248" s="18">
        <v>1</v>
      </c>
      <c r="AO248" s="19">
        <f>VLOOKUP(AL248,'DATABASE F&amp;B'!$C$3:$F$216,4,0)</f>
        <v>0</v>
      </c>
      <c r="AP248" s="19">
        <f t="shared" si="229"/>
        <v>0</v>
      </c>
      <c r="AQ248" s="16"/>
      <c r="AR248" s="17">
        <f>VLOOKUP(AQ248,'DATABASE F&amp;B'!$C$3:$F$216,2,0)</f>
        <v>0</v>
      </c>
      <c r="AS248" s="18">
        <v>1</v>
      </c>
      <c r="AT248" s="19">
        <f>VLOOKUP(AQ248,'DATABASE F&amp;B'!$C$3:$F$216,4,0)</f>
        <v>0</v>
      </c>
      <c r="AU248" s="19">
        <f t="shared" si="230"/>
        <v>0</v>
      </c>
      <c r="AV248" s="16"/>
      <c r="AW248" s="17">
        <f>VLOOKUP(AV248,'DATABASE F&amp;B'!$C$3:$F$216,2,0)</f>
        <v>0</v>
      </c>
      <c r="AX248" s="18"/>
      <c r="AY248" s="19">
        <f>VLOOKUP(AV248,'DATABASE F&amp;B'!$C$3:$F$216,4,0)</f>
        <v>0</v>
      </c>
      <c r="AZ248" s="19">
        <f t="shared" si="231"/>
        <v>0</v>
      </c>
      <c r="BA248" s="16"/>
      <c r="BB248" s="17">
        <f>VLOOKUP(BA248,'DATABASE F&amp;B'!$C$3:$F$216,2,0)</f>
        <v>0</v>
      </c>
      <c r="BC248" s="18"/>
      <c r="BD248" s="19">
        <f>VLOOKUP(BA248,'DATABASE F&amp;B'!$C$3:$F$216,4,0)</f>
        <v>0</v>
      </c>
      <c r="BE248" s="19">
        <f t="shared" si="232"/>
        <v>0</v>
      </c>
      <c r="BF248" s="16"/>
      <c r="BG248" s="17">
        <f>VLOOKUP(BF248,'DATABASE F&amp;B'!$C$3:$F$216,2,0)</f>
        <v>0</v>
      </c>
      <c r="BH248" s="18"/>
      <c r="BI248" s="19">
        <f>VLOOKUP(BF248,'DATABASE F&amp;B'!$C$3:$F$216,4,0)</f>
        <v>0</v>
      </c>
      <c r="BJ248" s="19">
        <f t="shared" si="233"/>
        <v>0</v>
      </c>
      <c r="BK248" s="16"/>
      <c r="BL248" s="17">
        <f>VLOOKUP(BK248,'DATABASE F&amp;B'!$C$3:$F$210,2,0)</f>
        <v>0</v>
      </c>
      <c r="BM248" s="18"/>
      <c r="BN248" s="19">
        <f>VLOOKUP(BK248,'DATABASE F&amp;B'!$C$3:$F$210,4,0)</f>
        <v>0</v>
      </c>
      <c r="BO248" s="19">
        <f t="shared" si="234"/>
        <v>0</v>
      </c>
      <c r="BP248" s="16"/>
      <c r="BQ248" s="17">
        <f>VLOOKUP(BP248,'DATABASE F&amp;B'!$C$3:$F$210,2,0)</f>
        <v>0</v>
      </c>
      <c r="BR248" s="18"/>
      <c r="BS248" s="19">
        <f>VLOOKUP(BP248,'DATABASE F&amp;B'!$C$3:$F$210,4,0)</f>
        <v>0</v>
      </c>
      <c r="BT248" s="19">
        <f t="shared" si="235"/>
        <v>0</v>
      </c>
      <c r="BU248" s="16"/>
      <c r="BV248" s="17">
        <f>VLOOKUP(BU248,'DATABASE F&amp;B'!$C$3:$F$210,2,0)</f>
        <v>0</v>
      </c>
      <c r="BW248" s="18"/>
      <c r="BX248" s="19">
        <f>VLOOKUP(BU248,'DATABASE F&amp;B'!$C$3:$F$210,4,0)</f>
        <v>0</v>
      </c>
      <c r="BY248" s="19">
        <f t="shared" si="236"/>
        <v>0</v>
      </c>
      <c r="BZ248" s="16"/>
      <c r="CA248" s="17">
        <f>VLOOKUP(BZ248,'DATABASE F&amp;B'!$C$3:$F$210,2,0)</f>
        <v>0</v>
      </c>
      <c r="CB248" s="18"/>
      <c r="CC248" s="19">
        <f>VLOOKUP(BZ248,'DATABASE F&amp;B'!$C$3:$F$210,4,0)</f>
        <v>0</v>
      </c>
      <c r="CD248" s="19">
        <f t="shared" si="237"/>
        <v>0</v>
      </c>
    </row>
    <row r="249" spans="1:82" ht="13.5" x14ac:dyDescent="0.25">
      <c r="A249" s="32" t="str">
        <f t="shared" si="218"/>
        <v>--20</v>
      </c>
      <c r="B249" s="22">
        <f t="shared" si="239"/>
        <v>245</v>
      </c>
      <c r="C249" s="22">
        <f t="shared" si="239"/>
        <v>245</v>
      </c>
      <c r="D249" s="34"/>
      <c r="E249" s="35"/>
      <c r="F249" s="35"/>
      <c r="G249" s="52"/>
      <c r="H249" s="36" t="str">
        <f t="shared" si="195"/>
        <v>RJ--245</v>
      </c>
      <c r="I249" s="36" t="str">
        <f t="shared" si="219"/>
        <v>--20</v>
      </c>
      <c r="J249" s="37" t="e">
        <f>VLOOKUP(D249,Laporan!$C$4:$D$34,2,0)</f>
        <v>#N/A</v>
      </c>
      <c r="K249" s="48"/>
      <c r="L249" s="13"/>
      <c r="M249" s="19">
        <f>SUMIF('DATABASE Room'!$B$3:$B$7,L249,'DATABASE Room'!$D$3:$D$7)</f>
        <v>0</v>
      </c>
      <c r="N249" s="13"/>
      <c r="O249" s="21">
        <f t="shared" si="220"/>
        <v>0</v>
      </c>
      <c r="P249" s="38"/>
      <c r="Q249" s="19">
        <f t="shared" si="221"/>
        <v>0</v>
      </c>
      <c r="R249" s="21">
        <f t="shared" si="222"/>
        <v>0</v>
      </c>
      <c r="S249" s="19">
        <f t="shared" si="223"/>
        <v>3</v>
      </c>
      <c r="T249" s="19">
        <f t="shared" si="224"/>
        <v>0</v>
      </c>
      <c r="U249" s="21">
        <f t="shared" si="225"/>
        <v>0</v>
      </c>
      <c r="V249" s="39"/>
      <c r="W249" s="16"/>
      <c r="X249" s="17">
        <f>VLOOKUP(W249,'DATABASE F&amp;B'!$C$3:$F$216,2,0)</f>
        <v>0</v>
      </c>
      <c r="Y249" s="18"/>
      <c r="Z249" s="19">
        <f>VLOOKUP(W249,'DATABASE F&amp;B'!$C$3:$F$216,4,0)</f>
        <v>0</v>
      </c>
      <c r="AA249" s="19">
        <f t="shared" si="226"/>
        <v>0</v>
      </c>
      <c r="AB249" s="16"/>
      <c r="AC249" s="17">
        <f>VLOOKUP(AB249,'DATABASE F&amp;B'!$C$3:$F$216,2,0)</f>
        <v>0</v>
      </c>
      <c r="AD249" s="18"/>
      <c r="AE249" s="19">
        <f>VLOOKUP(AB249,'DATABASE F&amp;B'!$C$3:$F$216,4,0)</f>
        <v>0</v>
      </c>
      <c r="AF249" s="19">
        <f t="shared" si="227"/>
        <v>0</v>
      </c>
      <c r="AG249" s="16"/>
      <c r="AH249" s="17">
        <f>VLOOKUP(AG249,'DATABASE F&amp;B'!$C$3:$F$216,2,0)</f>
        <v>0</v>
      </c>
      <c r="AI249" s="18">
        <v>1</v>
      </c>
      <c r="AJ249" s="19">
        <f>VLOOKUP(AG249,'DATABASE F&amp;B'!$C$3:$F$216,4,0)</f>
        <v>0</v>
      </c>
      <c r="AK249" s="19">
        <f t="shared" si="228"/>
        <v>0</v>
      </c>
      <c r="AL249" s="16"/>
      <c r="AM249" s="17">
        <f>VLOOKUP(AL249,'DATABASE F&amp;B'!$C$3:$F$216,2,0)</f>
        <v>0</v>
      </c>
      <c r="AN249" s="18">
        <v>1</v>
      </c>
      <c r="AO249" s="19">
        <f>VLOOKUP(AL249,'DATABASE F&amp;B'!$C$3:$F$216,4,0)</f>
        <v>0</v>
      </c>
      <c r="AP249" s="19">
        <f t="shared" si="229"/>
        <v>0</v>
      </c>
      <c r="AQ249" s="16"/>
      <c r="AR249" s="17">
        <f>VLOOKUP(AQ249,'DATABASE F&amp;B'!$C$3:$F$216,2,0)</f>
        <v>0</v>
      </c>
      <c r="AS249" s="18">
        <v>1</v>
      </c>
      <c r="AT249" s="19">
        <f>VLOOKUP(AQ249,'DATABASE F&amp;B'!$C$3:$F$216,4,0)</f>
        <v>0</v>
      </c>
      <c r="AU249" s="19">
        <f t="shared" si="230"/>
        <v>0</v>
      </c>
      <c r="AV249" s="16"/>
      <c r="AW249" s="17">
        <f>VLOOKUP(AV249,'DATABASE F&amp;B'!$C$3:$F$216,2,0)</f>
        <v>0</v>
      </c>
      <c r="AX249" s="18"/>
      <c r="AY249" s="19">
        <f>VLOOKUP(AV249,'DATABASE F&amp;B'!$C$3:$F$216,4,0)</f>
        <v>0</v>
      </c>
      <c r="AZ249" s="19">
        <f t="shared" si="231"/>
        <v>0</v>
      </c>
      <c r="BA249" s="16"/>
      <c r="BB249" s="17">
        <f>VLOOKUP(BA249,'DATABASE F&amp;B'!$C$3:$F$216,2,0)</f>
        <v>0</v>
      </c>
      <c r="BC249" s="18"/>
      <c r="BD249" s="19">
        <f>VLOOKUP(BA249,'DATABASE F&amp;B'!$C$3:$F$216,4,0)</f>
        <v>0</v>
      </c>
      <c r="BE249" s="19">
        <f t="shared" si="232"/>
        <v>0</v>
      </c>
      <c r="BF249" s="16"/>
      <c r="BG249" s="17">
        <f>VLOOKUP(BF249,'DATABASE F&amp;B'!$C$3:$F$216,2,0)</f>
        <v>0</v>
      </c>
      <c r="BH249" s="18"/>
      <c r="BI249" s="19">
        <f>VLOOKUP(BF249,'DATABASE F&amp;B'!$C$3:$F$216,4,0)</f>
        <v>0</v>
      </c>
      <c r="BJ249" s="19">
        <f t="shared" si="233"/>
        <v>0</v>
      </c>
      <c r="BK249" s="16"/>
      <c r="BL249" s="17">
        <f>VLOOKUP(BK249,'DATABASE F&amp;B'!$C$3:$F$210,2,0)</f>
        <v>0</v>
      </c>
      <c r="BM249" s="18"/>
      <c r="BN249" s="19">
        <f>VLOOKUP(BK249,'DATABASE F&amp;B'!$C$3:$F$210,4,0)</f>
        <v>0</v>
      </c>
      <c r="BO249" s="19">
        <f t="shared" si="234"/>
        <v>0</v>
      </c>
      <c r="BP249" s="16"/>
      <c r="BQ249" s="17">
        <f>VLOOKUP(BP249,'DATABASE F&amp;B'!$C$3:$F$210,2,0)</f>
        <v>0</v>
      </c>
      <c r="BR249" s="18"/>
      <c r="BS249" s="19">
        <f>VLOOKUP(BP249,'DATABASE F&amp;B'!$C$3:$F$210,4,0)</f>
        <v>0</v>
      </c>
      <c r="BT249" s="19">
        <f t="shared" si="235"/>
        <v>0</v>
      </c>
      <c r="BU249" s="16"/>
      <c r="BV249" s="17">
        <f>VLOOKUP(BU249,'DATABASE F&amp;B'!$C$3:$F$210,2,0)</f>
        <v>0</v>
      </c>
      <c r="BW249" s="18"/>
      <c r="BX249" s="19">
        <f>VLOOKUP(BU249,'DATABASE F&amp;B'!$C$3:$F$210,4,0)</f>
        <v>0</v>
      </c>
      <c r="BY249" s="19">
        <f t="shared" si="236"/>
        <v>0</v>
      </c>
      <c r="BZ249" s="16"/>
      <c r="CA249" s="17">
        <f>VLOOKUP(BZ249,'DATABASE F&amp;B'!$C$3:$F$210,2,0)</f>
        <v>0</v>
      </c>
      <c r="CB249" s="18"/>
      <c r="CC249" s="19">
        <f>VLOOKUP(BZ249,'DATABASE F&amp;B'!$C$3:$F$210,4,0)</f>
        <v>0</v>
      </c>
      <c r="CD249" s="19">
        <f t="shared" si="237"/>
        <v>0</v>
      </c>
    </row>
    <row r="250" spans="1:82" ht="13.5" x14ac:dyDescent="0.25">
      <c r="A250" s="32" t="str">
        <f t="shared" si="218"/>
        <v>--20</v>
      </c>
      <c r="B250" s="22">
        <f t="shared" si="239"/>
        <v>246</v>
      </c>
      <c r="C250" s="22">
        <f t="shared" si="239"/>
        <v>246</v>
      </c>
      <c r="D250" s="34"/>
      <c r="E250" s="35"/>
      <c r="F250" s="35"/>
      <c r="G250" s="52"/>
      <c r="H250" s="36" t="str">
        <f t="shared" si="195"/>
        <v>RJ--246</v>
      </c>
      <c r="I250" s="36" t="str">
        <f t="shared" si="219"/>
        <v>--20</v>
      </c>
      <c r="J250" s="37" t="e">
        <f>VLOOKUP(D250,Laporan!$C$4:$D$34,2,0)</f>
        <v>#N/A</v>
      </c>
      <c r="K250" s="48"/>
      <c r="L250" s="13"/>
      <c r="M250" s="19">
        <f>SUMIF('DATABASE Room'!$B$3:$B$7,L250,'DATABASE Room'!$D$3:$D$7)</f>
        <v>0</v>
      </c>
      <c r="N250" s="13"/>
      <c r="O250" s="21">
        <f t="shared" si="220"/>
        <v>0</v>
      </c>
      <c r="P250" s="38"/>
      <c r="Q250" s="19">
        <f t="shared" si="221"/>
        <v>0</v>
      </c>
      <c r="R250" s="21">
        <f t="shared" si="222"/>
        <v>0</v>
      </c>
      <c r="S250" s="19">
        <f t="shared" si="223"/>
        <v>3</v>
      </c>
      <c r="T250" s="19">
        <f t="shared" si="224"/>
        <v>0</v>
      </c>
      <c r="U250" s="21">
        <f t="shared" si="225"/>
        <v>0</v>
      </c>
      <c r="V250" s="39"/>
      <c r="W250" s="16"/>
      <c r="X250" s="17">
        <f>VLOOKUP(W250,'DATABASE F&amp;B'!$C$3:$F$216,2,0)</f>
        <v>0</v>
      </c>
      <c r="Y250" s="18"/>
      <c r="Z250" s="19">
        <f>VLOOKUP(W250,'DATABASE F&amp;B'!$C$3:$F$216,4,0)</f>
        <v>0</v>
      </c>
      <c r="AA250" s="19">
        <f t="shared" si="226"/>
        <v>0</v>
      </c>
      <c r="AB250" s="16"/>
      <c r="AC250" s="17">
        <f>VLOOKUP(AB250,'DATABASE F&amp;B'!$C$3:$F$216,2,0)</f>
        <v>0</v>
      </c>
      <c r="AD250" s="18"/>
      <c r="AE250" s="19">
        <f>VLOOKUP(AB250,'DATABASE F&amp;B'!$C$3:$F$216,4,0)</f>
        <v>0</v>
      </c>
      <c r="AF250" s="19">
        <f t="shared" si="227"/>
        <v>0</v>
      </c>
      <c r="AG250" s="16"/>
      <c r="AH250" s="17">
        <f>VLOOKUP(AG250,'DATABASE F&amp;B'!$C$3:$F$216,2,0)</f>
        <v>0</v>
      </c>
      <c r="AI250" s="18">
        <v>1</v>
      </c>
      <c r="AJ250" s="19">
        <f>VLOOKUP(AG250,'DATABASE F&amp;B'!$C$3:$F$216,4,0)</f>
        <v>0</v>
      </c>
      <c r="AK250" s="19">
        <f t="shared" si="228"/>
        <v>0</v>
      </c>
      <c r="AL250" s="16"/>
      <c r="AM250" s="17">
        <f>VLOOKUP(AL250,'DATABASE F&amp;B'!$C$3:$F$216,2,0)</f>
        <v>0</v>
      </c>
      <c r="AN250" s="18">
        <v>1</v>
      </c>
      <c r="AO250" s="19">
        <f>VLOOKUP(AL250,'DATABASE F&amp;B'!$C$3:$F$216,4,0)</f>
        <v>0</v>
      </c>
      <c r="AP250" s="19">
        <f t="shared" si="229"/>
        <v>0</v>
      </c>
      <c r="AQ250" s="16"/>
      <c r="AR250" s="17">
        <f>VLOOKUP(AQ250,'DATABASE F&amp;B'!$C$3:$F$216,2,0)</f>
        <v>0</v>
      </c>
      <c r="AS250" s="18">
        <v>1</v>
      </c>
      <c r="AT250" s="19">
        <f>VLOOKUP(AQ250,'DATABASE F&amp;B'!$C$3:$F$216,4,0)</f>
        <v>0</v>
      </c>
      <c r="AU250" s="19">
        <f t="shared" si="230"/>
        <v>0</v>
      </c>
      <c r="AV250" s="16"/>
      <c r="AW250" s="17">
        <f>VLOOKUP(AV250,'DATABASE F&amp;B'!$C$3:$F$216,2,0)</f>
        <v>0</v>
      </c>
      <c r="AX250" s="18"/>
      <c r="AY250" s="19">
        <f>VLOOKUP(AV250,'DATABASE F&amp;B'!$C$3:$F$216,4,0)</f>
        <v>0</v>
      </c>
      <c r="AZ250" s="19">
        <f t="shared" si="231"/>
        <v>0</v>
      </c>
      <c r="BA250" s="16"/>
      <c r="BB250" s="17">
        <f>VLOOKUP(BA250,'DATABASE F&amp;B'!$C$3:$F$216,2,0)</f>
        <v>0</v>
      </c>
      <c r="BC250" s="18"/>
      <c r="BD250" s="19">
        <f>VLOOKUP(BA250,'DATABASE F&amp;B'!$C$3:$F$216,4,0)</f>
        <v>0</v>
      </c>
      <c r="BE250" s="19">
        <f t="shared" si="232"/>
        <v>0</v>
      </c>
      <c r="BF250" s="16"/>
      <c r="BG250" s="17">
        <f>VLOOKUP(BF250,'DATABASE F&amp;B'!$C$3:$F$216,2,0)</f>
        <v>0</v>
      </c>
      <c r="BH250" s="18"/>
      <c r="BI250" s="19">
        <f>VLOOKUP(BF250,'DATABASE F&amp;B'!$C$3:$F$216,4,0)</f>
        <v>0</v>
      </c>
      <c r="BJ250" s="19">
        <f t="shared" si="233"/>
        <v>0</v>
      </c>
      <c r="BK250" s="16"/>
      <c r="BL250" s="17">
        <f>VLOOKUP(BK250,'DATABASE F&amp;B'!$C$3:$F$210,2,0)</f>
        <v>0</v>
      </c>
      <c r="BM250" s="18"/>
      <c r="BN250" s="19">
        <f>VLOOKUP(BK250,'DATABASE F&amp;B'!$C$3:$F$210,4,0)</f>
        <v>0</v>
      </c>
      <c r="BO250" s="19">
        <f t="shared" si="234"/>
        <v>0</v>
      </c>
      <c r="BP250" s="16"/>
      <c r="BQ250" s="17">
        <f>VLOOKUP(BP250,'DATABASE F&amp;B'!$C$3:$F$210,2,0)</f>
        <v>0</v>
      </c>
      <c r="BR250" s="18"/>
      <c r="BS250" s="19">
        <f>VLOOKUP(BP250,'DATABASE F&amp;B'!$C$3:$F$210,4,0)</f>
        <v>0</v>
      </c>
      <c r="BT250" s="19">
        <f t="shared" si="235"/>
        <v>0</v>
      </c>
      <c r="BU250" s="16"/>
      <c r="BV250" s="17">
        <f>VLOOKUP(BU250,'DATABASE F&amp;B'!$C$3:$F$210,2,0)</f>
        <v>0</v>
      </c>
      <c r="BW250" s="18"/>
      <c r="BX250" s="19">
        <f>VLOOKUP(BU250,'DATABASE F&amp;B'!$C$3:$F$210,4,0)</f>
        <v>0</v>
      </c>
      <c r="BY250" s="19">
        <f t="shared" si="236"/>
        <v>0</v>
      </c>
      <c r="BZ250" s="16"/>
      <c r="CA250" s="17">
        <f>VLOOKUP(BZ250,'DATABASE F&amp;B'!$C$3:$F$210,2,0)</f>
        <v>0</v>
      </c>
      <c r="CB250" s="18"/>
      <c r="CC250" s="19">
        <f>VLOOKUP(BZ250,'DATABASE F&amp;B'!$C$3:$F$210,4,0)</f>
        <v>0</v>
      </c>
      <c r="CD250" s="19">
        <f t="shared" si="237"/>
        <v>0</v>
      </c>
    </row>
    <row r="251" spans="1:82" ht="13.5" x14ac:dyDescent="0.25">
      <c r="A251" s="32" t="str">
        <f t="shared" si="218"/>
        <v>--20</v>
      </c>
      <c r="B251" s="22">
        <f t="shared" si="239"/>
        <v>247</v>
      </c>
      <c r="C251" s="22">
        <f t="shared" si="239"/>
        <v>247</v>
      </c>
      <c r="D251" s="34"/>
      <c r="E251" s="35"/>
      <c r="F251" s="35"/>
      <c r="G251" s="52"/>
      <c r="H251" s="36" t="str">
        <f t="shared" si="195"/>
        <v>RJ--247</v>
      </c>
      <c r="I251" s="36" t="str">
        <f t="shared" si="219"/>
        <v>--20</v>
      </c>
      <c r="J251" s="37" t="e">
        <f>VLOOKUP(D251,Laporan!$C$4:$D$34,2,0)</f>
        <v>#N/A</v>
      </c>
      <c r="K251" s="48"/>
      <c r="L251" s="13"/>
      <c r="M251" s="19">
        <f>SUMIF('DATABASE Room'!$B$3:$B$7,L251,'DATABASE Room'!$D$3:$D$7)</f>
        <v>0</v>
      </c>
      <c r="N251" s="13"/>
      <c r="O251" s="21">
        <f t="shared" si="220"/>
        <v>0</v>
      </c>
      <c r="P251" s="38"/>
      <c r="Q251" s="19">
        <f t="shared" si="221"/>
        <v>0</v>
      </c>
      <c r="R251" s="21">
        <f t="shared" si="222"/>
        <v>0</v>
      </c>
      <c r="S251" s="19">
        <f t="shared" si="223"/>
        <v>3</v>
      </c>
      <c r="T251" s="19">
        <f t="shared" si="224"/>
        <v>0</v>
      </c>
      <c r="U251" s="21">
        <f t="shared" si="225"/>
        <v>0</v>
      </c>
      <c r="V251" s="39"/>
      <c r="W251" s="16"/>
      <c r="X251" s="17">
        <f>VLOOKUP(W251,'DATABASE F&amp;B'!$C$3:$F$216,2,0)</f>
        <v>0</v>
      </c>
      <c r="Y251" s="18"/>
      <c r="Z251" s="19">
        <f>VLOOKUP(W251,'DATABASE F&amp;B'!$C$3:$F$216,4,0)</f>
        <v>0</v>
      </c>
      <c r="AA251" s="19">
        <f t="shared" si="226"/>
        <v>0</v>
      </c>
      <c r="AB251" s="16"/>
      <c r="AC251" s="17">
        <f>VLOOKUP(AB251,'DATABASE F&amp;B'!$C$3:$F$216,2,0)</f>
        <v>0</v>
      </c>
      <c r="AD251" s="18"/>
      <c r="AE251" s="19">
        <f>VLOOKUP(AB251,'DATABASE F&amp;B'!$C$3:$F$216,4,0)</f>
        <v>0</v>
      </c>
      <c r="AF251" s="19">
        <f t="shared" si="227"/>
        <v>0</v>
      </c>
      <c r="AG251" s="16"/>
      <c r="AH251" s="17">
        <f>VLOOKUP(AG251,'DATABASE F&amp;B'!$C$3:$F$216,2,0)</f>
        <v>0</v>
      </c>
      <c r="AI251" s="18">
        <v>1</v>
      </c>
      <c r="AJ251" s="19">
        <f>VLOOKUP(AG251,'DATABASE F&amp;B'!$C$3:$F$216,4,0)</f>
        <v>0</v>
      </c>
      <c r="AK251" s="19">
        <f t="shared" si="228"/>
        <v>0</v>
      </c>
      <c r="AL251" s="16"/>
      <c r="AM251" s="17">
        <f>VLOOKUP(AL251,'DATABASE F&amp;B'!$C$3:$F$216,2,0)</f>
        <v>0</v>
      </c>
      <c r="AN251" s="18">
        <v>1</v>
      </c>
      <c r="AO251" s="19">
        <f>VLOOKUP(AL251,'DATABASE F&amp;B'!$C$3:$F$216,4,0)</f>
        <v>0</v>
      </c>
      <c r="AP251" s="19">
        <f t="shared" si="229"/>
        <v>0</v>
      </c>
      <c r="AQ251" s="16"/>
      <c r="AR251" s="17">
        <f>VLOOKUP(AQ251,'DATABASE F&amp;B'!$C$3:$F$216,2,0)</f>
        <v>0</v>
      </c>
      <c r="AS251" s="18">
        <v>1</v>
      </c>
      <c r="AT251" s="19">
        <f>VLOOKUP(AQ251,'DATABASE F&amp;B'!$C$3:$F$216,4,0)</f>
        <v>0</v>
      </c>
      <c r="AU251" s="19">
        <f t="shared" si="230"/>
        <v>0</v>
      </c>
      <c r="AV251" s="16"/>
      <c r="AW251" s="17">
        <f>VLOOKUP(AV251,'DATABASE F&amp;B'!$C$3:$F$216,2,0)</f>
        <v>0</v>
      </c>
      <c r="AX251" s="18"/>
      <c r="AY251" s="19">
        <f>VLOOKUP(AV251,'DATABASE F&amp;B'!$C$3:$F$216,4,0)</f>
        <v>0</v>
      </c>
      <c r="AZ251" s="19">
        <f t="shared" si="231"/>
        <v>0</v>
      </c>
      <c r="BA251" s="16"/>
      <c r="BB251" s="17">
        <f>VLOOKUP(BA251,'DATABASE F&amp;B'!$C$3:$F$216,2,0)</f>
        <v>0</v>
      </c>
      <c r="BC251" s="18"/>
      <c r="BD251" s="19">
        <f>VLOOKUP(BA251,'DATABASE F&amp;B'!$C$3:$F$216,4,0)</f>
        <v>0</v>
      </c>
      <c r="BE251" s="19">
        <f t="shared" si="232"/>
        <v>0</v>
      </c>
      <c r="BF251" s="16"/>
      <c r="BG251" s="17">
        <f>VLOOKUP(BF251,'DATABASE F&amp;B'!$C$3:$F$216,2,0)</f>
        <v>0</v>
      </c>
      <c r="BH251" s="18"/>
      <c r="BI251" s="19">
        <f>VLOOKUP(BF251,'DATABASE F&amp;B'!$C$3:$F$216,4,0)</f>
        <v>0</v>
      </c>
      <c r="BJ251" s="19">
        <f t="shared" si="233"/>
        <v>0</v>
      </c>
      <c r="BK251" s="16"/>
      <c r="BL251" s="17">
        <f>VLOOKUP(BK251,'DATABASE F&amp;B'!$C$3:$F$210,2,0)</f>
        <v>0</v>
      </c>
      <c r="BM251" s="18"/>
      <c r="BN251" s="19">
        <f>VLOOKUP(BK251,'DATABASE F&amp;B'!$C$3:$F$210,4,0)</f>
        <v>0</v>
      </c>
      <c r="BO251" s="19">
        <f t="shared" si="234"/>
        <v>0</v>
      </c>
      <c r="BP251" s="16"/>
      <c r="BQ251" s="17">
        <f>VLOOKUP(BP251,'DATABASE F&amp;B'!$C$3:$F$210,2,0)</f>
        <v>0</v>
      </c>
      <c r="BR251" s="18"/>
      <c r="BS251" s="19">
        <f>VLOOKUP(BP251,'DATABASE F&amp;B'!$C$3:$F$210,4,0)</f>
        <v>0</v>
      </c>
      <c r="BT251" s="19">
        <f t="shared" si="235"/>
        <v>0</v>
      </c>
      <c r="BU251" s="16"/>
      <c r="BV251" s="17">
        <f>VLOOKUP(BU251,'DATABASE F&amp;B'!$C$3:$F$210,2,0)</f>
        <v>0</v>
      </c>
      <c r="BW251" s="18"/>
      <c r="BX251" s="19">
        <f>VLOOKUP(BU251,'DATABASE F&amp;B'!$C$3:$F$210,4,0)</f>
        <v>0</v>
      </c>
      <c r="BY251" s="19">
        <f t="shared" si="236"/>
        <v>0</v>
      </c>
      <c r="BZ251" s="16"/>
      <c r="CA251" s="17">
        <f>VLOOKUP(BZ251,'DATABASE F&amp;B'!$C$3:$F$210,2,0)</f>
        <v>0</v>
      </c>
      <c r="CB251" s="18"/>
      <c r="CC251" s="19">
        <f>VLOOKUP(BZ251,'DATABASE F&amp;B'!$C$3:$F$210,4,0)</f>
        <v>0</v>
      </c>
      <c r="CD251" s="19">
        <f t="shared" si="237"/>
        <v>0</v>
      </c>
    </row>
    <row r="252" spans="1:82" ht="13.5" x14ac:dyDescent="0.25">
      <c r="A252" s="32" t="str">
        <f t="shared" si="218"/>
        <v>--20</v>
      </c>
      <c r="B252" s="22">
        <f t="shared" si="239"/>
        <v>248</v>
      </c>
      <c r="C252" s="22">
        <f t="shared" si="239"/>
        <v>248</v>
      </c>
      <c r="D252" s="34"/>
      <c r="E252" s="35"/>
      <c r="F252" s="35"/>
      <c r="G252" s="52"/>
      <c r="H252" s="36" t="str">
        <f t="shared" si="195"/>
        <v>RJ--248</v>
      </c>
      <c r="I252" s="36" t="str">
        <f t="shared" si="219"/>
        <v>--20</v>
      </c>
      <c r="J252" s="37" t="e">
        <f>VLOOKUP(D252,Laporan!$C$4:$D$34,2,0)</f>
        <v>#N/A</v>
      </c>
      <c r="K252" s="48"/>
      <c r="L252" s="13"/>
      <c r="M252" s="19">
        <f>SUMIF('DATABASE Room'!$B$3:$B$7,L252,'DATABASE Room'!$D$3:$D$7)</f>
        <v>0</v>
      </c>
      <c r="N252" s="13"/>
      <c r="O252" s="21">
        <f t="shared" si="220"/>
        <v>0</v>
      </c>
      <c r="P252" s="38"/>
      <c r="Q252" s="19">
        <f t="shared" si="221"/>
        <v>0</v>
      </c>
      <c r="R252" s="21">
        <f t="shared" si="222"/>
        <v>0</v>
      </c>
      <c r="S252" s="19">
        <f t="shared" si="223"/>
        <v>3</v>
      </c>
      <c r="T252" s="19">
        <f t="shared" si="224"/>
        <v>0</v>
      </c>
      <c r="U252" s="21">
        <f t="shared" si="225"/>
        <v>0</v>
      </c>
      <c r="V252" s="39"/>
      <c r="W252" s="16"/>
      <c r="X252" s="17">
        <f>VLOOKUP(W252,'DATABASE F&amp;B'!$C$3:$F$216,2,0)</f>
        <v>0</v>
      </c>
      <c r="Y252" s="18"/>
      <c r="Z252" s="19">
        <f>VLOOKUP(W252,'DATABASE F&amp;B'!$C$3:$F$216,4,0)</f>
        <v>0</v>
      </c>
      <c r="AA252" s="19">
        <f t="shared" si="226"/>
        <v>0</v>
      </c>
      <c r="AB252" s="16"/>
      <c r="AC252" s="17">
        <f>VLOOKUP(AB252,'DATABASE F&amp;B'!$C$3:$F$216,2,0)</f>
        <v>0</v>
      </c>
      <c r="AD252" s="18"/>
      <c r="AE252" s="19">
        <f>VLOOKUP(AB252,'DATABASE F&amp;B'!$C$3:$F$216,4,0)</f>
        <v>0</v>
      </c>
      <c r="AF252" s="19">
        <f t="shared" si="227"/>
        <v>0</v>
      </c>
      <c r="AG252" s="16"/>
      <c r="AH252" s="17">
        <f>VLOOKUP(AG252,'DATABASE F&amp;B'!$C$3:$F$216,2,0)</f>
        <v>0</v>
      </c>
      <c r="AI252" s="18">
        <v>1</v>
      </c>
      <c r="AJ252" s="19">
        <f>VLOOKUP(AG252,'DATABASE F&amp;B'!$C$3:$F$216,4,0)</f>
        <v>0</v>
      </c>
      <c r="AK252" s="19">
        <f t="shared" si="228"/>
        <v>0</v>
      </c>
      <c r="AL252" s="16"/>
      <c r="AM252" s="17">
        <f>VLOOKUP(AL252,'DATABASE F&amp;B'!$C$3:$F$216,2,0)</f>
        <v>0</v>
      </c>
      <c r="AN252" s="18">
        <v>1</v>
      </c>
      <c r="AO252" s="19">
        <f>VLOOKUP(AL252,'DATABASE F&amp;B'!$C$3:$F$216,4,0)</f>
        <v>0</v>
      </c>
      <c r="AP252" s="19">
        <f t="shared" si="229"/>
        <v>0</v>
      </c>
      <c r="AQ252" s="16"/>
      <c r="AR252" s="17">
        <f>VLOOKUP(AQ252,'DATABASE F&amp;B'!$C$3:$F$216,2,0)</f>
        <v>0</v>
      </c>
      <c r="AS252" s="18">
        <v>1</v>
      </c>
      <c r="AT252" s="19">
        <f>VLOOKUP(AQ252,'DATABASE F&amp;B'!$C$3:$F$216,4,0)</f>
        <v>0</v>
      </c>
      <c r="AU252" s="19">
        <f t="shared" si="230"/>
        <v>0</v>
      </c>
      <c r="AV252" s="16"/>
      <c r="AW252" s="17">
        <f>VLOOKUP(AV252,'DATABASE F&amp;B'!$C$3:$F$216,2,0)</f>
        <v>0</v>
      </c>
      <c r="AX252" s="18"/>
      <c r="AY252" s="19">
        <f>VLOOKUP(AV252,'DATABASE F&amp;B'!$C$3:$F$216,4,0)</f>
        <v>0</v>
      </c>
      <c r="AZ252" s="19">
        <f t="shared" si="231"/>
        <v>0</v>
      </c>
      <c r="BA252" s="16"/>
      <c r="BB252" s="17">
        <f>VLOOKUP(BA252,'DATABASE F&amp;B'!$C$3:$F$216,2,0)</f>
        <v>0</v>
      </c>
      <c r="BC252" s="18"/>
      <c r="BD252" s="19">
        <f>VLOOKUP(BA252,'DATABASE F&amp;B'!$C$3:$F$216,4,0)</f>
        <v>0</v>
      </c>
      <c r="BE252" s="19">
        <f t="shared" si="232"/>
        <v>0</v>
      </c>
      <c r="BF252" s="16"/>
      <c r="BG252" s="17">
        <f>VLOOKUP(BF252,'DATABASE F&amp;B'!$C$3:$F$216,2,0)</f>
        <v>0</v>
      </c>
      <c r="BH252" s="18"/>
      <c r="BI252" s="19">
        <f>VLOOKUP(BF252,'DATABASE F&amp;B'!$C$3:$F$216,4,0)</f>
        <v>0</v>
      </c>
      <c r="BJ252" s="19">
        <f t="shared" si="233"/>
        <v>0</v>
      </c>
      <c r="BK252" s="16"/>
      <c r="BL252" s="17">
        <f>VLOOKUP(BK252,'DATABASE F&amp;B'!$C$3:$F$210,2,0)</f>
        <v>0</v>
      </c>
      <c r="BM252" s="18"/>
      <c r="BN252" s="19">
        <f>VLOOKUP(BK252,'DATABASE F&amp;B'!$C$3:$F$210,4,0)</f>
        <v>0</v>
      </c>
      <c r="BO252" s="19">
        <f t="shared" si="234"/>
        <v>0</v>
      </c>
      <c r="BP252" s="16"/>
      <c r="BQ252" s="17">
        <f>VLOOKUP(BP252,'DATABASE F&amp;B'!$C$3:$F$210,2,0)</f>
        <v>0</v>
      </c>
      <c r="BR252" s="18"/>
      <c r="BS252" s="19">
        <f>VLOOKUP(BP252,'DATABASE F&amp;B'!$C$3:$F$210,4,0)</f>
        <v>0</v>
      </c>
      <c r="BT252" s="19">
        <f t="shared" si="235"/>
        <v>0</v>
      </c>
      <c r="BU252" s="16"/>
      <c r="BV252" s="17">
        <f>VLOOKUP(BU252,'DATABASE F&amp;B'!$C$3:$F$210,2,0)</f>
        <v>0</v>
      </c>
      <c r="BW252" s="18"/>
      <c r="BX252" s="19">
        <f>VLOOKUP(BU252,'DATABASE F&amp;B'!$C$3:$F$210,4,0)</f>
        <v>0</v>
      </c>
      <c r="BY252" s="19">
        <f t="shared" si="236"/>
        <v>0</v>
      </c>
      <c r="BZ252" s="16"/>
      <c r="CA252" s="17">
        <f>VLOOKUP(BZ252,'DATABASE F&amp;B'!$C$3:$F$210,2,0)</f>
        <v>0</v>
      </c>
      <c r="CB252" s="18"/>
      <c r="CC252" s="19">
        <f>VLOOKUP(BZ252,'DATABASE F&amp;B'!$C$3:$F$210,4,0)</f>
        <v>0</v>
      </c>
      <c r="CD252" s="19">
        <f t="shared" si="237"/>
        <v>0</v>
      </c>
    </row>
    <row r="253" spans="1:82" ht="13.5" x14ac:dyDescent="0.25">
      <c r="A253" s="32" t="str">
        <f t="shared" si="218"/>
        <v>--20</v>
      </c>
      <c r="B253" s="22">
        <f t="shared" si="239"/>
        <v>249</v>
      </c>
      <c r="C253" s="22">
        <f t="shared" si="239"/>
        <v>249</v>
      </c>
      <c r="D253" s="34"/>
      <c r="E253" s="35"/>
      <c r="F253" s="35"/>
      <c r="G253" s="52"/>
      <c r="H253" s="36" t="str">
        <f t="shared" si="195"/>
        <v>RJ--249</v>
      </c>
      <c r="I253" s="36" t="str">
        <f t="shared" si="219"/>
        <v>--20</v>
      </c>
      <c r="J253" s="37" t="e">
        <f>VLOOKUP(D253,Laporan!$C$4:$D$34,2,0)</f>
        <v>#N/A</v>
      </c>
      <c r="K253" s="48"/>
      <c r="L253" s="13"/>
      <c r="M253" s="19">
        <f>SUMIF('DATABASE Room'!$B$3:$B$7,L253,'DATABASE Room'!$D$3:$D$7)</f>
        <v>0</v>
      </c>
      <c r="N253" s="13"/>
      <c r="O253" s="21">
        <f t="shared" si="220"/>
        <v>0</v>
      </c>
      <c r="P253" s="38"/>
      <c r="Q253" s="19">
        <f t="shared" si="221"/>
        <v>0</v>
      </c>
      <c r="R253" s="21">
        <f t="shared" si="222"/>
        <v>0</v>
      </c>
      <c r="S253" s="19">
        <f t="shared" si="223"/>
        <v>3</v>
      </c>
      <c r="T253" s="19">
        <f t="shared" si="224"/>
        <v>0</v>
      </c>
      <c r="U253" s="21">
        <f t="shared" si="225"/>
        <v>0</v>
      </c>
      <c r="V253" s="39"/>
      <c r="W253" s="16"/>
      <c r="X253" s="17">
        <f>VLOOKUP(W253,'DATABASE F&amp;B'!$C$3:$F$216,2,0)</f>
        <v>0</v>
      </c>
      <c r="Y253" s="18"/>
      <c r="Z253" s="19">
        <f>VLOOKUP(W253,'DATABASE F&amp;B'!$C$3:$F$216,4,0)</f>
        <v>0</v>
      </c>
      <c r="AA253" s="19">
        <f t="shared" si="226"/>
        <v>0</v>
      </c>
      <c r="AB253" s="16"/>
      <c r="AC253" s="17">
        <f>VLOOKUP(AB253,'DATABASE F&amp;B'!$C$3:$F$216,2,0)</f>
        <v>0</v>
      </c>
      <c r="AD253" s="18"/>
      <c r="AE253" s="19">
        <f>VLOOKUP(AB253,'DATABASE F&amp;B'!$C$3:$F$216,4,0)</f>
        <v>0</v>
      </c>
      <c r="AF253" s="19">
        <f t="shared" si="227"/>
        <v>0</v>
      </c>
      <c r="AG253" s="16"/>
      <c r="AH253" s="17">
        <f>VLOOKUP(AG253,'DATABASE F&amp;B'!$C$3:$F$216,2,0)</f>
        <v>0</v>
      </c>
      <c r="AI253" s="18">
        <v>1</v>
      </c>
      <c r="AJ253" s="19">
        <f>VLOOKUP(AG253,'DATABASE F&amp;B'!$C$3:$F$216,4,0)</f>
        <v>0</v>
      </c>
      <c r="AK253" s="19">
        <f t="shared" si="228"/>
        <v>0</v>
      </c>
      <c r="AL253" s="16"/>
      <c r="AM253" s="17">
        <f>VLOOKUP(AL253,'DATABASE F&amp;B'!$C$3:$F$216,2,0)</f>
        <v>0</v>
      </c>
      <c r="AN253" s="18">
        <v>1</v>
      </c>
      <c r="AO253" s="19">
        <f>VLOOKUP(AL253,'DATABASE F&amp;B'!$C$3:$F$216,4,0)</f>
        <v>0</v>
      </c>
      <c r="AP253" s="19">
        <f t="shared" si="229"/>
        <v>0</v>
      </c>
      <c r="AQ253" s="16"/>
      <c r="AR253" s="17">
        <f>VLOOKUP(AQ253,'DATABASE F&amp;B'!$C$3:$F$216,2,0)</f>
        <v>0</v>
      </c>
      <c r="AS253" s="18">
        <v>1</v>
      </c>
      <c r="AT253" s="19">
        <f>VLOOKUP(AQ253,'DATABASE F&amp;B'!$C$3:$F$216,4,0)</f>
        <v>0</v>
      </c>
      <c r="AU253" s="19">
        <f t="shared" si="230"/>
        <v>0</v>
      </c>
      <c r="AV253" s="16"/>
      <c r="AW253" s="17">
        <f>VLOOKUP(AV253,'DATABASE F&amp;B'!$C$3:$F$216,2,0)</f>
        <v>0</v>
      </c>
      <c r="AX253" s="18"/>
      <c r="AY253" s="19">
        <f>VLOOKUP(AV253,'DATABASE F&amp;B'!$C$3:$F$216,4,0)</f>
        <v>0</v>
      </c>
      <c r="AZ253" s="19">
        <f t="shared" si="231"/>
        <v>0</v>
      </c>
      <c r="BA253" s="16"/>
      <c r="BB253" s="17">
        <f>VLOOKUP(BA253,'DATABASE F&amp;B'!$C$3:$F$216,2,0)</f>
        <v>0</v>
      </c>
      <c r="BC253" s="18"/>
      <c r="BD253" s="19">
        <f>VLOOKUP(BA253,'DATABASE F&amp;B'!$C$3:$F$216,4,0)</f>
        <v>0</v>
      </c>
      <c r="BE253" s="19">
        <f t="shared" si="232"/>
        <v>0</v>
      </c>
      <c r="BF253" s="16"/>
      <c r="BG253" s="17">
        <f>VLOOKUP(BF253,'DATABASE F&amp;B'!$C$3:$F$216,2,0)</f>
        <v>0</v>
      </c>
      <c r="BH253" s="18"/>
      <c r="BI253" s="19">
        <f>VLOOKUP(BF253,'DATABASE F&amp;B'!$C$3:$F$216,4,0)</f>
        <v>0</v>
      </c>
      <c r="BJ253" s="19">
        <f t="shared" si="233"/>
        <v>0</v>
      </c>
      <c r="BK253" s="16"/>
      <c r="BL253" s="17">
        <f>VLOOKUP(BK253,'DATABASE F&amp;B'!$C$3:$F$210,2,0)</f>
        <v>0</v>
      </c>
      <c r="BM253" s="18"/>
      <c r="BN253" s="19">
        <f>VLOOKUP(BK253,'DATABASE F&amp;B'!$C$3:$F$210,4,0)</f>
        <v>0</v>
      </c>
      <c r="BO253" s="19">
        <f t="shared" si="234"/>
        <v>0</v>
      </c>
      <c r="BP253" s="16"/>
      <c r="BQ253" s="17">
        <f>VLOOKUP(BP253,'DATABASE F&amp;B'!$C$3:$F$210,2,0)</f>
        <v>0</v>
      </c>
      <c r="BR253" s="18"/>
      <c r="BS253" s="19">
        <f>VLOOKUP(BP253,'DATABASE F&amp;B'!$C$3:$F$210,4,0)</f>
        <v>0</v>
      </c>
      <c r="BT253" s="19">
        <f t="shared" si="235"/>
        <v>0</v>
      </c>
      <c r="BU253" s="16"/>
      <c r="BV253" s="17">
        <f>VLOOKUP(BU253,'DATABASE F&amp;B'!$C$3:$F$210,2,0)</f>
        <v>0</v>
      </c>
      <c r="BW253" s="18"/>
      <c r="BX253" s="19">
        <f>VLOOKUP(BU253,'DATABASE F&amp;B'!$C$3:$F$210,4,0)</f>
        <v>0</v>
      </c>
      <c r="BY253" s="19">
        <f t="shared" si="236"/>
        <v>0</v>
      </c>
      <c r="BZ253" s="16"/>
      <c r="CA253" s="17">
        <f>VLOOKUP(BZ253,'DATABASE F&amp;B'!$C$3:$F$210,2,0)</f>
        <v>0</v>
      </c>
      <c r="CB253" s="18"/>
      <c r="CC253" s="19">
        <f>VLOOKUP(BZ253,'DATABASE F&amp;B'!$C$3:$F$210,4,0)</f>
        <v>0</v>
      </c>
      <c r="CD253" s="19">
        <f t="shared" si="237"/>
        <v>0</v>
      </c>
    </row>
    <row r="254" spans="1:82" ht="13.5" x14ac:dyDescent="0.25">
      <c r="A254" s="32" t="str">
        <f t="shared" si="218"/>
        <v>--20</v>
      </c>
      <c r="B254" s="22">
        <f t="shared" si="239"/>
        <v>250</v>
      </c>
      <c r="C254" s="22">
        <f t="shared" si="239"/>
        <v>250</v>
      </c>
      <c r="D254" s="34"/>
      <c r="E254" s="35"/>
      <c r="F254" s="35"/>
      <c r="G254" s="52"/>
      <c r="H254" s="36" t="str">
        <f t="shared" si="195"/>
        <v>RJ--250</v>
      </c>
      <c r="I254" s="36" t="str">
        <f t="shared" si="219"/>
        <v>--20</v>
      </c>
      <c r="J254" s="37" t="e">
        <f>VLOOKUP(D254,Laporan!$C$4:$D$34,2,0)</f>
        <v>#N/A</v>
      </c>
      <c r="K254" s="48"/>
      <c r="L254" s="13"/>
      <c r="M254" s="19">
        <f>SUMIF('DATABASE Room'!$B$3:$B$7,L254,'DATABASE Room'!$D$3:$D$7)</f>
        <v>0</v>
      </c>
      <c r="N254" s="13"/>
      <c r="O254" s="21">
        <f t="shared" si="220"/>
        <v>0</v>
      </c>
      <c r="P254" s="38"/>
      <c r="Q254" s="19">
        <f t="shared" si="221"/>
        <v>0</v>
      </c>
      <c r="R254" s="21">
        <f t="shared" si="222"/>
        <v>0</v>
      </c>
      <c r="S254" s="19">
        <f t="shared" si="223"/>
        <v>3</v>
      </c>
      <c r="T254" s="19">
        <f t="shared" si="224"/>
        <v>0</v>
      </c>
      <c r="U254" s="21">
        <f t="shared" si="225"/>
        <v>0</v>
      </c>
      <c r="V254" s="39"/>
      <c r="W254" s="16"/>
      <c r="X254" s="17">
        <f>VLOOKUP(W254,'DATABASE F&amp;B'!$C$3:$F$216,2,0)</f>
        <v>0</v>
      </c>
      <c r="Y254" s="18"/>
      <c r="Z254" s="19">
        <f>VLOOKUP(W254,'DATABASE F&amp;B'!$C$3:$F$216,4,0)</f>
        <v>0</v>
      </c>
      <c r="AA254" s="19">
        <f t="shared" si="226"/>
        <v>0</v>
      </c>
      <c r="AB254" s="16"/>
      <c r="AC254" s="17">
        <f>VLOOKUP(AB254,'DATABASE F&amp;B'!$C$3:$F$216,2,0)</f>
        <v>0</v>
      </c>
      <c r="AD254" s="18"/>
      <c r="AE254" s="19">
        <f>VLOOKUP(AB254,'DATABASE F&amp;B'!$C$3:$F$216,4,0)</f>
        <v>0</v>
      </c>
      <c r="AF254" s="19">
        <f t="shared" si="227"/>
        <v>0</v>
      </c>
      <c r="AG254" s="16"/>
      <c r="AH254" s="17">
        <f>VLOOKUP(AG254,'DATABASE F&amp;B'!$C$3:$F$216,2,0)</f>
        <v>0</v>
      </c>
      <c r="AI254" s="18">
        <v>1</v>
      </c>
      <c r="AJ254" s="19">
        <f>VLOOKUP(AG254,'DATABASE F&amp;B'!$C$3:$F$216,4,0)</f>
        <v>0</v>
      </c>
      <c r="AK254" s="19">
        <f t="shared" si="228"/>
        <v>0</v>
      </c>
      <c r="AL254" s="16"/>
      <c r="AM254" s="17">
        <f>VLOOKUP(AL254,'DATABASE F&amp;B'!$C$3:$F$216,2,0)</f>
        <v>0</v>
      </c>
      <c r="AN254" s="18">
        <v>1</v>
      </c>
      <c r="AO254" s="19">
        <f>VLOOKUP(AL254,'DATABASE F&amp;B'!$C$3:$F$216,4,0)</f>
        <v>0</v>
      </c>
      <c r="AP254" s="19">
        <f t="shared" si="229"/>
        <v>0</v>
      </c>
      <c r="AQ254" s="16"/>
      <c r="AR254" s="17">
        <f>VLOOKUP(AQ254,'DATABASE F&amp;B'!$C$3:$F$216,2,0)</f>
        <v>0</v>
      </c>
      <c r="AS254" s="18">
        <v>1</v>
      </c>
      <c r="AT254" s="19">
        <f>VLOOKUP(AQ254,'DATABASE F&amp;B'!$C$3:$F$216,4,0)</f>
        <v>0</v>
      </c>
      <c r="AU254" s="19">
        <f t="shared" si="230"/>
        <v>0</v>
      </c>
      <c r="AV254" s="16"/>
      <c r="AW254" s="17">
        <f>VLOOKUP(AV254,'DATABASE F&amp;B'!$C$3:$F$216,2,0)</f>
        <v>0</v>
      </c>
      <c r="AX254" s="18"/>
      <c r="AY254" s="19">
        <f>VLOOKUP(AV254,'DATABASE F&amp;B'!$C$3:$F$216,4,0)</f>
        <v>0</v>
      </c>
      <c r="AZ254" s="19">
        <f t="shared" si="231"/>
        <v>0</v>
      </c>
      <c r="BA254" s="16"/>
      <c r="BB254" s="17">
        <f>VLOOKUP(BA254,'DATABASE F&amp;B'!$C$3:$F$216,2,0)</f>
        <v>0</v>
      </c>
      <c r="BC254" s="18"/>
      <c r="BD254" s="19">
        <f>VLOOKUP(BA254,'DATABASE F&amp;B'!$C$3:$F$216,4,0)</f>
        <v>0</v>
      </c>
      <c r="BE254" s="19">
        <f t="shared" si="232"/>
        <v>0</v>
      </c>
      <c r="BF254" s="16"/>
      <c r="BG254" s="17">
        <f>VLOOKUP(BF254,'DATABASE F&amp;B'!$C$3:$F$216,2,0)</f>
        <v>0</v>
      </c>
      <c r="BH254" s="18"/>
      <c r="BI254" s="19">
        <f>VLOOKUP(BF254,'DATABASE F&amp;B'!$C$3:$F$216,4,0)</f>
        <v>0</v>
      </c>
      <c r="BJ254" s="19">
        <f t="shared" si="233"/>
        <v>0</v>
      </c>
      <c r="BK254" s="16"/>
      <c r="BL254" s="17">
        <f>VLOOKUP(BK254,'DATABASE F&amp;B'!$C$3:$F$210,2,0)</f>
        <v>0</v>
      </c>
      <c r="BM254" s="18"/>
      <c r="BN254" s="19">
        <f>VLOOKUP(BK254,'DATABASE F&amp;B'!$C$3:$F$210,4,0)</f>
        <v>0</v>
      </c>
      <c r="BO254" s="19">
        <f t="shared" si="234"/>
        <v>0</v>
      </c>
      <c r="BP254" s="16"/>
      <c r="BQ254" s="17">
        <f>VLOOKUP(BP254,'DATABASE F&amp;B'!$C$3:$F$210,2,0)</f>
        <v>0</v>
      </c>
      <c r="BR254" s="18"/>
      <c r="BS254" s="19">
        <f>VLOOKUP(BP254,'DATABASE F&amp;B'!$C$3:$F$210,4,0)</f>
        <v>0</v>
      </c>
      <c r="BT254" s="19">
        <f t="shared" si="235"/>
        <v>0</v>
      </c>
      <c r="BU254" s="16"/>
      <c r="BV254" s="17">
        <f>VLOOKUP(BU254,'DATABASE F&amp;B'!$C$3:$F$210,2,0)</f>
        <v>0</v>
      </c>
      <c r="BW254" s="18"/>
      <c r="BX254" s="19">
        <f>VLOOKUP(BU254,'DATABASE F&amp;B'!$C$3:$F$210,4,0)</f>
        <v>0</v>
      </c>
      <c r="BY254" s="19">
        <f t="shared" si="236"/>
        <v>0</v>
      </c>
      <c r="BZ254" s="16"/>
      <c r="CA254" s="17">
        <f>VLOOKUP(BZ254,'DATABASE F&amp;B'!$C$3:$F$210,2,0)</f>
        <v>0</v>
      </c>
      <c r="CB254" s="18"/>
      <c r="CC254" s="19">
        <f>VLOOKUP(BZ254,'DATABASE F&amp;B'!$C$3:$F$210,4,0)</f>
        <v>0</v>
      </c>
      <c r="CD254" s="19">
        <f t="shared" si="237"/>
        <v>0</v>
      </c>
    </row>
    <row r="255" spans="1:82" ht="13.5" x14ac:dyDescent="0.25">
      <c r="A255" s="32" t="str">
        <f t="shared" si="218"/>
        <v>--20</v>
      </c>
      <c r="B255" s="22">
        <f t="shared" si="239"/>
        <v>251</v>
      </c>
      <c r="C255" s="22">
        <f t="shared" si="239"/>
        <v>251</v>
      </c>
      <c r="D255" s="34"/>
      <c r="E255" s="35"/>
      <c r="F255" s="35"/>
      <c r="G255" s="52"/>
      <c r="H255" s="36" t="str">
        <f t="shared" si="195"/>
        <v>RJ--251</v>
      </c>
      <c r="I255" s="36" t="str">
        <f t="shared" si="219"/>
        <v>--20</v>
      </c>
      <c r="J255" s="37" t="e">
        <f>VLOOKUP(D255,Laporan!$C$4:$D$34,2,0)</f>
        <v>#N/A</v>
      </c>
      <c r="K255" s="48"/>
      <c r="L255" s="13"/>
      <c r="M255" s="19">
        <f>SUMIF('DATABASE Room'!$B$3:$B$7,L255,'DATABASE Room'!$D$3:$D$7)</f>
        <v>0</v>
      </c>
      <c r="N255" s="13"/>
      <c r="O255" s="21">
        <f t="shared" si="220"/>
        <v>0</v>
      </c>
      <c r="P255" s="38"/>
      <c r="Q255" s="19">
        <f t="shared" si="221"/>
        <v>0</v>
      </c>
      <c r="R255" s="21">
        <f t="shared" si="222"/>
        <v>0</v>
      </c>
      <c r="S255" s="19">
        <f t="shared" si="223"/>
        <v>3</v>
      </c>
      <c r="T255" s="19">
        <f t="shared" si="224"/>
        <v>0</v>
      </c>
      <c r="U255" s="21">
        <f t="shared" si="225"/>
        <v>0</v>
      </c>
      <c r="V255" s="39"/>
      <c r="W255" s="16"/>
      <c r="X255" s="17">
        <f>VLOOKUP(W255,'DATABASE F&amp;B'!$C$3:$F$216,2,0)</f>
        <v>0</v>
      </c>
      <c r="Y255" s="18"/>
      <c r="Z255" s="19">
        <f>VLOOKUP(W255,'DATABASE F&amp;B'!$C$3:$F$216,4,0)</f>
        <v>0</v>
      </c>
      <c r="AA255" s="19">
        <f t="shared" si="226"/>
        <v>0</v>
      </c>
      <c r="AB255" s="16"/>
      <c r="AC255" s="17">
        <f>VLOOKUP(AB255,'DATABASE F&amp;B'!$C$3:$F$216,2,0)</f>
        <v>0</v>
      </c>
      <c r="AD255" s="18"/>
      <c r="AE255" s="19">
        <f>VLOOKUP(AB255,'DATABASE F&amp;B'!$C$3:$F$216,4,0)</f>
        <v>0</v>
      </c>
      <c r="AF255" s="19">
        <f t="shared" si="227"/>
        <v>0</v>
      </c>
      <c r="AG255" s="16"/>
      <c r="AH255" s="17">
        <f>VLOOKUP(AG255,'DATABASE F&amp;B'!$C$3:$F$216,2,0)</f>
        <v>0</v>
      </c>
      <c r="AI255" s="18">
        <v>1</v>
      </c>
      <c r="AJ255" s="19">
        <f>VLOOKUP(AG255,'DATABASE F&amp;B'!$C$3:$F$216,4,0)</f>
        <v>0</v>
      </c>
      <c r="AK255" s="19">
        <f t="shared" si="228"/>
        <v>0</v>
      </c>
      <c r="AL255" s="16"/>
      <c r="AM255" s="17">
        <f>VLOOKUP(AL255,'DATABASE F&amp;B'!$C$3:$F$216,2,0)</f>
        <v>0</v>
      </c>
      <c r="AN255" s="18">
        <v>1</v>
      </c>
      <c r="AO255" s="19">
        <f>VLOOKUP(AL255,'DATABASE F&amp;B'!$C$3:$F$216,4,0)</f>
        <v>0</v>
      </c>
      <c r="AP255" s="19">
        <f t="shared" si="229"/>
        <v>0</v>
      </c>
      <c r="AQ255" s="16"/>
      <c r="AR255" s="17">
        <f>VLOOKUP(AQ255,'DATABASE F&amp;B'!$C$3:$F$216,2,0)</f>
        <v>0</v>
      </c>
      <c r="AS255" s="18">
        <v>1</v>
      </c>
      <c r="AT255" s="19">
        <f>VLOOKUP(AQ255,'DATABASE F&amp;B'!$C$3:$F$216,4,0)</f>
        <v>0</v>
      </c>
      <c r="AU255" s="19">
        <f t="shared" si="230"/>
        <v>0</v>
      </c>
      <c r="AV255" s="16"/>
      <c r="AW255" s="17">
        <f>VLOOKUP(AV255,'DATABASE F&amp;B'!$C$3:$F$216,2,0)</f>
        <v>0</v>
      </c>
      <c r="AX255" s="18"/>
      <c r="AY255" s="19">
        <f>VLOOKUP(AV255,'DATABASE F&amp;B'!$C$3:$F$216,4,0)</f>
        <v>0</v>
      </c>
      <c r="AZ255" s="19">
        <f t="shared" si="231"/>
        <v>0</v>
      </c>
      <c r="BA255" s="16"/>
      <c r="BB255" s="17">
        <f>VLOOKUP(BA255,'DATABASE F&amp;B'!$C$3:$F$216,2,0)</f>
        <v>0</v>
      </c>
      <c r="BC255" s="18"/>
      <c r="BD255" s="19">
        <f>VLOOKUP(BA255,'DATABASE F&amp;B'!$C$3:$F$216,4,0)</f>
        <v>0</v>
      </c>
      <c r="BE255" s="19">
        <f t="shared" si="232"/>
        <v>0</v>
      </c>
      <c r="BF255" s="16"/>
      <c r="BG255" s="17">
        <f>VLOOKUP(BF255,'DATABASE F&amp;B'!$C$3:$F$216,2,0)</f>
        <v>0</v>
      </c>
      <c r="BH255" s="18"/>
      <c r="BI255" s="19">
        <f>VLOOKUP(BF255,'DATABASE F&amp;B'!$C$3:$F$216,4,0)</f>
        <v>0</v>
      </c>
      <c r="BJ255" s="19">
        <f t="shared" si="233"/>
        <v>0</v>
      </c>
      <c r="BK255" s="16"/>
      <c r="BL255" s="17">
        <f>VLOOKUP(BK255,'DATABASE F&amp;B'!$C$3:$F$210,2,0)</f>
        <v>0</v>
      </c>
      <c r="BM255" s="18"/>
      <c r="BN255" s="19">
        <f>VLOOKUP(BK255,'DATABASE F&amp;B'!$C$3:$F$210,4,0)</f>
        <v>0</v>
      </c>
      <c r="BO255" s="19">
        <f t="shared" si="234"/>
        <v>0</v>
      </c>
      <c r="BP255" s="16"/>
      <c r="BQ255" s="17">
        <f>VLOOKUP(BP255,'DATABASE F&amp;B'!$C$3:$F$210,2,0)</f>
        <v>0</v>
      </c>
      <c r="BR255" s="18"/>
      <c r="BS255" s="19">
        <f>VLOOKUP(BP255,'DATABASE F&amp;B'!$C$3:$F$210,4,0)</f>
        <v>0</v>
      </c>
      <c r="BT255" s="19">
        <f t="shared" si="235"/>
        <v>0</v>
      </c>
      <c r="BU255" s="16"/>
      <c r="BV255" s="17">
        <f>VLOOKUP(BU255,'DATABASE F&amp;B'!$C$3:$F$210,2,0)</f>
        <v>0</v>
      </c>
      <c r="BW255" s="18"/>
      <c r="BX255" s="19">
        <f>VLOOKUP(BU255,'DATABASE F&amp;B'!$C$3:$F$210,4,0)</f>
        <v>0</v>
      </c>
      <c r="BY255" s="19">
        <f t="shared" si="236"/>
        <v>0</v>
      </c>
      <c r="BZ255" s="16"/>
      <c r="CA255" s="17">
        <f>VLOOKUP(BZ255,'DATABASE F&amp;B'!$C$3:$F$210,2,0)</f>
        <v>0</v>
      </c>
      <c r="CB255" s="18"/>
      <c r="CC255" s="19">
        <f>VLOOKUP(BZ255,'DATABASE F&amp;B'!$C$3:$F$210,4,0)</f>
        <v>0</v>
      </c>
      <c r="CD255" s="19">
        <f t="shared" si="237"/>
        <v>0</v>
      </c>
    </row>
    <row r="256" spans="1:82" ht="13.5" x14ac:dyDescent="0.25">
      <c r="A256" s="32" t="str">
        <f t="shared" si="218"/>
        <v>--20</v>
      </c>
      <c r="B256" s="22">
        <f t="shared" si="239"/>
        <v>252</v>
      </c>
      <c r="C256" s="22">
        <f t="shared" si="239"/>
        <v>252</v>
      </c>
      <c r="D256" s="34"/>
      <c r="E256" s="35"/>
      <c r="F256" s="35"/>
      <c r="G256" s="52"/>
      <c r="H256" s="36" t="str">
        <f t="shared" si="195"/>
        <v>RJ--252</v>
      </c>
      <c r="I256" s="36" t="str">
        <f t="shared" si="219"/>
        <v>--20</v>
      </c>
      <c r="J256" s="37" t="e">
        <f>VLOOKUP(D256,Laporan!$C$4:$D$34,2,0)</f>
        <v>#N/A</v>
      </c>
      <c r="K256" s="48"/>
      <c r="L256" s="13"/>
      <c r="M256" s="19">
        <f>SUMIF('DATABASE Room'!$B$3:$B$7,L256,'DATABASE Room'!$D$3:$D$7)</f>
        <v>0</v>
      </c>
      <c r="N256" s="13"/>
      <c r="O256" s="21">
        <f t="shared" si="220"/>
        <v>0</v>
      </c>
      <c r="P256" s="38"/>
      <c r="Q256" s="19">
        <f t="shared" si="221"/>
        <v>0</v>
      </c>
      <c r="R256" s="21">
        <f t="shared" si="222"/>
        <v>0</v>
      </c>
      <c r="S256" s="19">
        <f t="shared" si="223"/>
        <v>3</v>
      </c>
      <c r="T256" s="19">
        <f t="shared" si="224"/>
        <v>0</v>
      </c>
      <c r="U256" s="21">
        <f t="shared" si="225"/>
        <v>0</v>
      </c>
      <c r="V256" s="39"/>
      <c r="W256" s="16"/>
      <c r="X256" s="17">
        <f>VLOOKUP(W256,'DATABASE F&amp;B'!$C$3:$F$216,2,0)</f>
        <v>0</v>
      </c>
      <c r="Y256" s="18"/>
      <c r="Z256" s="19">
        <f>VLOOKUP(W256,'DATABASE F&amp;B'!$C$3:$F$216,4,0)</f>
        <v>0</v>
      </c>
      <c r="AA256" s="19">
        <f t="shared" si="226"/>
        <v>0</v>
      </c>
      <c r="AB256" s="16"/>
      <c r="AC256" s="17">
        <f>VLOOKUP(AB256,'DATABASE F&amp;B'!$C$3:$F$216,2,0)</f>
        <v>0</v>
      </c>
      <c r="AD256" s="18"/>
      <c r="AE256" s="19">
        <f>VLOOKUP(AB256,'DATABASE F&amp;B'!$C$3:$F$216,4,0)</f>
        <v>0</v>
      </c>
      <c r="AF256" s="19">
        <f t="shared" si="227"/>
        <v>0</v>
      </c>
      <c r="AG256" s="16"/>
      <c r="AH256" s="17">
        <f>VLOOKUP(AG256,'DATABASE F&amp;B'!$C$3:$F$216,2,0)</f>
        <v>0</v>
      </c>
      <c r="AI256" s="18">
        <v>1</v>
      </c>
      <c r="AJ256" s="19">
        <f>VLOOKUP(AG256,'DATABASE F&amp;B'!$C$3:$F$216,4,0)</f>
        <v>0</v>
      </c>
      <c r="AK256" s="19">
        <f t="shared" si="228"/>
        <v>0</v>
      </c>
      <c r="AL256" s="16"/>
      <c r="AM256" s="17">
        <f>VLOOKUP(AL256,'DATABASE F&amp;B'!$C$3:$F$216,2,0)</f>
        <v>0</v>
      </c>
      <c r="AN256" s="18">
        <v>1</v>
      </c>
      <c r="AO256" s="19">
        <f>VLOOKUP(AL256,'DATABASE F&amp;B'!$C$3:$F$216,4,0)</f>
        <v>0</v>
      </c>
      <c r="AP256" s="19">
        <f t="shared" si="229"/>
        <v>0</v>
      </c>
      <c r="AQ256" s="16"/>
      <c r="AR256" s="17">
        <f>VLOOKUP(AQ256,'DATABASE F&amp;B'!$C$3:$F$216,2,0)</f>
        <v>0</v>
      </c>
      <c r="AS256" s="18">
        <v>1</v>
      </c>
      <c r="AT256" s="19">
        <f>VLOOKUP(AQ256,'DATABASE F&amp;B'!$C$3:$F$216,4,0)</f>
        <v>0</v>
      </c>
      <c r="AU256" s="19">
        <f t="shared" si="230"/>
        <v>0</v>
      </c>
      <c r="AV256" s="16"/>
      <c r="AW256" s="17">
        <f>VLOOKUP(AV256,'DATABASE F&amp;B'!$C$3:$F$216,2,0)</f>
        <v>0</v>
      </c>
      <c r="AX256" s="18"/>
      <c r="AY256" s="19">
        <f>VLOOKUP(AV256,'DATABASE F&amp;B'!$C$3:$F$216,4,0)</f>
        <v>0</v>
      </c>
      <c r="AZ256" s="19">
        <f t="shared" si="231"/>
        <v>0</v>
      </c>
      <c r="BA256" s="16"/>
      <c r="BB256" s="17">
        <f>VLOOKUP(BA256,'DATABASE F&amp;B'!$C$3:$F$216,2,0)</f>
        <v>0</v>
      </c>
      <c r="BC256" s="18"/>
      <c r="BD256" s="19">
        <f>VLOOKUP(BA256,'DATABASE F&amp;B'!$C$3:$F$216,4,0)</f>
        <v>0</v>
      </c>
      <c r="BE256" s="19">
        <f t="shared" si="232"/>
        <v>0</v>
      </c>
      <c r="BF256" s="16"/>
      <c r="BG256" s="17">
        <f>VLOOKUP(BF256,'DATABASE F&amp;B'!$C$3:$F$216,2,0)</f>
        <v>0</v>
      </c>
      <c r="BH256" s="18"/>
      <c r="BI256" s="19">
        <f>VLOOKUP(BF256,'DATABASE F&amp;B'!$C$3:$F$216,4,0)</f>
        <v>0</v>
      </c>
      <c r="BJ256" s="19">
        <f t="shared" si="233"/>
        <v>0</v>
      </c>
      <c r="BK256" s="16"/>
      <c r="BL256" s="17">
        <f>VLOOKUP(BK256,'DATABASE F&amp;B'!$C$3:$F$210,2,0)</f>
        <v>0</v>
      </c>
      <c r="BM256" s="18"/>
      <c r="BN256" s="19">
        <f>VLOOKUP(BK256,'DATABASE F&amp;B'!$C$3:$F$210,4,0)</f>
        <v>0</v>
      </c>
      <c r="BO256" s="19">
        <f t="shared" si="234"/>
        <v>0</v>
      </c>
      <c r="BP256" s="16"/>
      <c r="BQ256" s="17">
        <f>VLOOKUP(BP256,'DATABASE F&amp;B'!$C$3:$F$210,2,0)</f>
        <v>0</v>
      </c>
      <c r="BR256" s="18"/>
      <c r="BS256" s="19">
        <f>VLOOKUP(BP256,'DATABASE F&amp;B'!$C$3:$F$210,4,0)</f>
        <v>0</v>
      </c>
      <c r="BT256" s="19">
        <f t="shared" si="235"/>
        <v>0</v>
      </c>
      <c r="BU256" s="16"/>
      <c r="BV256" s="17">
        <f>VLOOKUP(BU256,'DATABASE F&amp;B'!$C$3:$F$210,2,0)</f>
        <v>0</v>
      </c>
      <c r="BW256" s="18"/>
      <c r="BX256" s="19">
        <f>VLOOKUP(BU256,'DATABASE F&amp;B'!$C$3:$F$210,4,0)</f>
        <v>0</v>
      </c>
      <c r="BY256" s="19">
        <f t="shared" si="236"/>
        <v>0</v>
      </c>
      <c r="BZ256" s="16"/>
      <c r="CA256" s="17">
        <f>VLOOKUP(BZ256,'DATABASE F&amp;B'!$C$3:$F$210,2,0)</f>
        <v>0</v>
      </c>
      <c r="CB256" s="18"/>
      <c r="CC256" s="19">
        <f>VLOOKUP(BZ256,'DATABASE F&amp;B'!$C$3:$F$210,4,0)</f>
        <v>0</v>
      </c>
      <c r="CD256" s="19">
        <f t="shared" si="237"/>
        <v>0</v>
      </c>
    </row>
    <row r="257" spans="1:82" ht="13.5" x14ac:dyDescent="0.25">
      <c r="A257" s="32" t="str">
        <f t="shared" si="218"/>
        <v>--20</v>
      </c>
      <c r="B257" s="22">
        <f t="shared" si="239"/>
        <v>253</v>
      </c>
      <c r="C257" s="22">
        <f t="shared" si="239"/>
        <v>253</v>
      </c>
      <c r="D257" s="34"/>
      <c r="E257" s="35"/>
      <c r="F257" s="35"/>
      <c r="G257" s="52"/>
      <c r="H257" s="36" t="str">
        <f t="shared" si="195"/>
        <v>RJ--253</v>
      </c>
      <c r="I257" s="36" t="str">
        <f t="shared" si="219"/>
        <v>--20</v>
      </c>
      <c r="J257" s="37" t="e">
        <f>VLOOKUP(D257,Laporan!$C$4:$D$34,2,0)</f>
        <v>#N/A</v>
      </c>
      <c r="K257" s="48"/>
      <c r="L257" s="13"/>
      <c r="M257" s="19">
        <f>SUMIF('DATABASE Room'!$B$3:$B$7,L257,'DATABASE Room'!$D$3:$D$7)</f>
        <v>0</v>
      </c>
      <c r="N257" s="13"/>
      <c r="O257" s="21">
        <f t="shared" si="220"/>
        <v>0</v>
      </c>
      <c r="P257" s="38"/>
      <c r="Q257" s="19">
        <f t="shared" si="221"/>
        <v>0</v>
      </c>
      <c r="R257" s="21">
        <f t="shared" si="222"/>
        <v>0</v>
      </c>
      <c r="S257" s="19">
        <f t="shared" si="223"/>
        <v>3</v>
      </c>
      <c r="T257" s="19">
        <f t="shared" si="224"/>
        <v>0</v>
      </c>
      <c r="U257" s="21">
        <f t="shared" si="225"/>
        <v>0</v>
      </c>
      <c r="V257" s="39"/>
      <c r="W257" s="16"/>
      <c r="X257" s="17">
        <f>VLOOKUP(W257,'DATABASE F&amp;B'!$C$3:$F$216,2,0)</f>
        <v>0</v>
      </c>
      <c r="Y257" s="18"/>
      <c r="Z257" s="19">
        <f>VLOOKUP(W257,'DATABASE F&amp;B'!$C$3:$F$216,4,0)</f>
        <v>0</v>
      </c>
      <c r="AA257" s="19">
        <f t="shared" si="226"/>
        <v>0</v>
      </c>
      <c r="AB257" s="16"/>
      <c r="AC257" s="17">
        <f>VLOOKUP(AB257,'DATABASE F&amp;B'!$C$3:$F$216,2,0)</f>
        <v>0</v>
      </c>
      <c r="AD257" s="18"/>
      <c r="AE257" s="19">
        <f>VLOOKUP(AB257,'DATABASE F&amp;B'!$C$3:$F$216,4,0)</f>
        <v>0</v>
      </c>
      <c r="AF257" s="19">
        <f t="shared" si="227"/>
        <v>0</v>
      </c>
      <c r="AG257" s="16"/>
      <c r="AH257" s="17">
        <f>VLOOKUP(AG257,'DATABASE F&amp;B'!$C$3:$F$216,2,0)</f>
        <v>0</v>
      </c>
      <c r="AI257" s="18">
        <v>1</v>
      </c>
      <c r="AJ257" s="19">
        <f>VLOOKUP(AG257,'DATABASE F&amp;B'!$C$3:$F$216,4,0)</f>
        <v>0</v>
      </c>
      <c r="AK257" s="19">
        <f t="shared" si="228"/>
        <v>0</v>
      </c>
      <c r="AL257" s="16"/>
      <c r="AM257" s="17">
        <f>VLOOKUP(AL257,'DATABASE F&amp;B'!$C$3:$F$216,2,0)</f>
        <v>0</v>
      </c>
      <c r="AN257" s="18">
        <v>1</v>
      </c>
      <c r="AO257" s="19">
        <f>VLOOKUP(AL257,'DATABASE F&amp;B'!$C$3:$F$216,4,0)</f>
        <v>0</v>
      </c>
      <c r="AP257" s="19">
        <f t="shared" si="229"/>
        <v>0</v>
      </c>
      <c r="AQ257" s="16"/>
      <c r="AR257" s="17">
        <f>VLOOKUP(AQ257,'DATABASE F&amp;B'!$C$3:$F$216,2,0)</f>
        <v>0</v>
      </c>
      <c r="AS257" s="18">
        <v>1</v>
      </c>
      <c r="AT257" s="19">
        <f>VLOOKUP(AQ257,'DATABASE F&amp;B'!$C$3:$F$216,4,0)</f>
        <v>0</v>
      </c>
      <c r="AU257" s="19">
        <f t="shared" si="230"/>
        <v>0</v>
      </c>
      <c r="AV257" s="16"/>
      <c r="AW257" s="17">
        <f>VLOOKUP(AV257,'DATABASE F&amp;B'!$C$3:$F$216,2,0)</f>
        <v>0</v>
      </c>
      <c r="AX257" s="18"/>
      <c r="AY257" s="19">
        <f>VLOOKUP(AV257,'DATABASE F&amp;B'!$C$3:$F$216,4,0)</f>
        <v>0</v>
      </c>
      <c r="AZ257" s="19">
        <f t="shared" si="231"/>
        <v>0</v>
      </c>
      <c r="BA257" s="16"/>
      <c r="BB257" s="17">
        <f>VLOOKUP(BA257,'DATABASE F&amp;B'!$C$3:$F$216,2,0)</f>
        <v>0</v>
      </c>
      <c r="BC257" s="18"/>
      <c r="BD257" s="19">
        <f>VLOOKUP(BA257,'DATABASE F&amp;B'!$C$3:$F$216,4,0)</f>
        <v>0</v>
      </c>
      <c r="BE257" s="19">
        <f t="shared" si="232"/>
        <v>0</v>
      </c>
      <c r="BF257" s="16"/>
      <c r="BG257" s="17">
        <f>VLOOKUP(BF257,'DATABASE F&amp;B'!$C$3:$F$216,2,0)</f>
        <v>0</v>
      </c>
      <c r="BH257" s="18"/>
      <c r="BI257" s="19">
        <f>VLOOKUP(BF257,'DATABASE F&amp;B'!$C$3:$F$216,4,0)</f>
        <v>0</v>
      </c>
      <c r="BJ257" s="19">
        <f t="shared" si="233"/>
        <v>0</v>
      </c>
      <c r="BK257" s="16"/>
      <c r="BL257" s="17">
        <f>VLOOKUP(BK257,'DATABASE F&amp;B'!$C$3:$F$210,2,0)</f>
        <v>0</v>
      </c>
      <c r="BM257" s="18"/>
      <c r="BN257" s="19">
        <f>VLOOKUP(BK257,'DATABASE F&amp;B'!$C$3:$F$210,4,0)</f>
        <v>0</v>
      </c>
      <c r="BO257" s="19">
        <f t="shared" si="234"/>
        <v>0</v>
      </c>
      <c r="BP257" s="16"/>
      <c r="BQ257" s="17">
        <f>VLOOKUP(BP257,'DATABASE F&amp;B'!$C$3:$F$210,2,0)</f>
        <v>0</v>
      </c>
      <c r="BR257" s="18"/>
      <c r="BS257" s="19">
        <f>VLOOKUP(BP257,'DATABASE F&amp;B'!$C$3:$F$210,4,0)</f>
        <v>0</v>
      </c>
      <c r="BT257" s="19">
        <f t="shared" si="235"/>
        <v>0</v>
      </c>
      <c r="BU257" s="16"/>
      <c r="BV257" s="17">
        <f>VLOOKUP(BU257,'DATABASE F&amp;B'!$C$3:$F$210,2,0)</f>
        <v>0</v>
      </c>
      <c r="BW257" s="18"/>
      <c r="BX257" s="19">
        <f>VLOOKUP(BU257,'DATABASE F&amp;B'!$C$3:$F$210,4,0)</f>
        <v>0</v>
      </c>
      <c r="BY257" s="19">
        <f t="shared" si="236"/>
        <v>0</v>
      </c>
      <c r="BZ257" s="16"/>
      <c r="CA257" s="17">
        <f>VLOOKUP(BZ257,'DATABASE F&amp;B'!$C$3:$F$210,2,0)</f>
        <v>0</v>
      </c>
      <c r="CB257" s="18"/>
      <c r="CC257" s="19">
        <f>VLOOKUP(BZ257,'DATABASE F&amp;B'!$C$3:$F$210,4,0)</f>
        <v>0</v>
      </c>
      <c r="CD257" s="19">
        <f t="shared" si="237"/>
        <v>0</v>
      </c>
    </row>
    <row r="258" spans="1:82" ht="13.5" x14ac:dyDescent="0.25">
      <c r="A258" s="32" t="str">
        <f t="shared" si="218"/>
        <v>--20</v>
      </c>
      <c r="B258" s="22">
        <f t="shared" si="239"/>
        <v>254</v>
      </c>
      <c r="C258" s="22">
        <f t="shared" si="239"/>
        <v>254</v>
      </c>
      <c r="D258" s="34"/>
      <c r="E258" s="35"/>
      <c r="F258" s="35"/>
      <c r="G258" s="52"/>
      <c r="H258" s="36" t="str">
        <f t="shared" si="195"/>
        <v>RJ--254</v>
      </c>
      <c r="I258" s="36" t="str">
        <f t="shared" si="219"/>
        <v>--20</v>
      </c>
      <c r="J258" s="37" t="e">
        <f>VLOOKUP(D258,Laporan!$C$4:$D$34,2,0)</f>
        <v>#N/A</v>
      </c>
      <c r="K258" s="48"/>
      <c r="L258" s="13"/>
      <c r="M258" s="19">
        <f>SUMIF('DATABASE Room'!$B$3:$B$7,L258,'DATABASE Room'!$D$3:$D$7)</f>
        <v>0</v>
      </c>
      <c r="N258" s="13"/>
      <c r="O258" s="21">
        <f t="shared" si="220"/>
        <v>0</v>
      </c>
      <c r="P258" s="38"/>
      <c r="Q258" s="19">
        <f t="shared" si="221"/>
        <v>0</v>
      </c>
      <c r="R258" s="21">
        <f t="shared" si="222"/>
        <v>0</v>
      </c>
      <c r="S258" s="19">
        <f t="shared" si="223"/>
        <v>3</v>
      </c>
      <c r="T258" s="19">
        <f t="shared" si="224"/>
        <v>0</v>
      </c>
      <c r="U258" s="21">
        <f t="shared" si="225"/>
        <v>0</v>
      </c>
      <c r="V258" s="39"/>
      <c r="W258" s="16"/>
      <c r="X258" s="17">
        <f>VLOOKUP(W258,'DATABASE F&amp;B'!$C$3:$F$216,2,0)</f>
        <v>0</v>
      </c>
      <c r="Y258" s="18"/>
      <c r="Z258" s="19">
        <f>VLOOKUP(W258,'DATABASE F&amp;B'!$C$3:$F$216,4,0)</f>
        <v>0</v>
      </c>
      <c r="AA258" s="19">
        <f t="shared" si="226"/>
        <v>0</v>
      </c>
      <c r="AB258" s="16"/>
      <c r="AC258" s="17">
        <f>VLOOKUP(AB258,'DATABASE F&amp;B'!$C$3:$F$216,2,0)</f>
        <v>0</v>
      </c>
      <c r="AD258" s="18"/>
      <c r="AE258" s="19">
        <f>VLOOKUP(AB258,'DATABASE F&amp;B'!$C$3:$F$216,4,0)</f>
        <v>0</v>
      </c>
      <c r="AF258" s="19">
        <f t="shared" si="227"/>
        <v>0</v>
      </c>
      <c r="AG258" s="16"/>
      <c r="AH258" s="17">
        <f>VLOOKUP(AG258,'DATABASE F&amp;B'!$C$3:$F$216,2,0)</f>
        <v>0</v>
      </c>
      <c r="AI258" s="18">
        <v>1</v>
      </c>
      <c r="AJ258" s="19">
        <f>VLOOKUP(AG258,'DATABASE F&amp;B'!$C$3:$F$216,4,0)</f>
        <v>0</v>
      </c>
      <c r="AK258" s="19">
        <f t="shared" si="228"/>
        <v>0</v>
      </c>
      <c r="AL258" s="16"/>
      <c r="AM258" s="17">
        <f>VLOOKUP(AL258,'DATABASE F&amp;B'!$C$3:$F$216,2,0)</f>
        <v>0</v>
      </c>
      <c r="AN258" s="18">
        <v>1</v>
      </c>
      <c r="AO258" s="19">
        <f>VLOOKUP(AL258,'DATABASE F&amp;B'!$C$3:$F$216,4,0)</f>
        <v>0</v>
      </c>
      <c r="AP258" s="19">
        <f t="shared" si="229"/>
        <v>0</v>
      </c>
      <c r="AQ258" s="16"/>
      <c r="AR258" s="17">
        <f>VLOOKUP(AQ258,'DATABASE F&amp;B'!$C$3:$F$216,2,0)</f>
        <v>0</v>
      </c>
      <c r="AS258" s="18">
        <v>1</v>
      </c>
      <c r="AT258" s="19">
        <f>VLOOKUP(AQ258,'DATABASE F&amp;B'!$C$3:$F$216,4,0)</f>
        <v>0</v>
      </c>
      <c r="AU258" s="19">
        <f t="shared" si="230"/>
        <v>0</v>
      </c>
      <c r="AV258" s="16"/>
      <c r="AW258" s="17">
        <f>VLOOKUP(AV258,'DATABASE F&amp;B'!$C$3:$F$216,2,0)</f>
        <v>0</v>
      </c>
      <c r="AX258" s="18"/>
      <c r="AY258" s="19">
        <f>VLOOKUP(AV258,'DATABASE F&amp;B'!$C$3:$F$216,4,0)</f>
        <v>0</v>
      </c>
      <c r="AZ258" s="19">
        <f t="shared" si="231"/>
        <v>0</v>
      </c>
      <c r="BA258" s="16"/>
      <c r="BB258" s="17">
        <f>VLOOKUP(BA258,'DATABASE F&amp;B'!$C$3:$F$216,2,0)</f>
        <v>0</v>
      </c>
      <c r="BC258" s="18"/>
      <c r="BD258" s="19">
        <f>VLOOKUP(BA258,'DATABASE F&amp;B'!$C$3:$F$216,4,0)</f>
        <v>0</v>
      </c>
      <c r="BE258" s="19">
        <f t="shared" si="232"/>
        <v>0</v>
      </c>
      <c r="BF258" s="16"/>
      <c r="BG258" s="17">
        <f>VLOOKUP(BF258,'DATABASE F&amp;B'!$C$3:$F$216,2,0)</f>
        <v>0</v>
      </c>
      <c r="BH258" s="18"/>
      <c r="BI258" s="19">
        <f>VLOOKUP(BF258,'DATABASE F&amp;B'!$C$3:$F$216,4,0)</f>
        <v>0</v>
      </c>
      <c r="BJ258" s="19">
        <f t="shared" si="233"/>
        <v>0</v>
      </c>
      <c r="BK258" s="16"/>
      <c r="BL258" s="17">
        <f>VLOOKUP(BK258,'DATABASE F&amp;B'!$C$3:$F$210,2,0)</f>
        <v>0</v>
      </c>
      <c r="BM258" s="18"/>
      <c r="BN258" s="19">
        <f>VLOOKUP(BK258,'DATABASE F&amp;B'!$C$3:$F$210,4,0)</f>
        <v>0</v>
      </c>
      <c r="BO258" s="19">
        <f t="shared" si="234"/>
        <v>0</v>
      </c>
      <c r="BP258" s="16"/>
      <c r="BQ258" s="17">
        <f>VLOOKUP(BP258,'DATABASE F&amp;B'!$C$3:$F$210,2,0)</f>
        <v>0</v>
      </c>
      <c r="BR258" s="18"/>
      <c r="BS258" s="19">
        <f>VLOOKUP(BP258,'DATABASE F&amp;B'!$C$3:$F$210,4,0)</f>
        <v>0</v>
      </c>
      <c r="BT258" s="19">
        <f t="shared" si="235"/>
        <v>0</v>
      </c>
      <c r="BU258" s="16"/>
      <c r="BV258" s="17">
        <f>VLOOKUP(BU258,'DATABASE F&amp;B'!$C$3:$F$210,2,0)</f>
        <v>0</v>
      </c>
      <c r="BW258" s="18"/>
      <c r="BX258" s="19">
        <f>VLOOKUP(BU258,'DATABASE F&amp;B'!$C$3:$F$210,4,0)</f>
        <v>0</v>
      </c>
      <c r="BY258" s="19">
        <f t="shared" si="236"/>
        <v>0</v>
      </c>
      <c r="BZ258" s="16"/>
      <c r="CA258" s="17">
        <f>VLOOKUP(BZ258,'DATABASE F&amp;B'!$C$3:$F$210,2,0)</f>
        <v>0</v>
      </c>
      <c r="CB258" s="18"/>
      <c r="CC258" s="19">
        <f>VLOOKUP(BZ258,'DATABASE F&amp;B'!$C$3:$F$210,4,0)</f>
        <v>0</v>
      </c>
      <c r="CD258" s="19">
        <f t="shared" si="237"/>
        <v>0</v>
      </c>
    </row>
    <row r="259" spans="1:82" ht="13.5" x14ac:dyDescent="0.25">
      <c r="A259" s="32" t="str">
        <f t="shared" si="218"/>
        <v>--20</v>
      </c>
      <c r="B259" s="22">
        <f t="shared" si="239"/>
        <v>255</v>
      </c>
      <c r="C259" s="22">
        <f t="shared" si="239"/>
        <v>255</v>
      </c>
      <c r="D259" s="34"/>
      <c r="E259" s="35"/>
      <c r="F259" s="35"/>
      <c r="G259" s="52"/>
      <c r="H259" s="36" t="str">
        <f t="shared" si="195"/>
        <v>RJ--255</v>
      </c>
      <c r="I259" s="36" t="str">
        <f t="shared" si="219"/>
        <v>--20</v>
      </c>
      <c r="J259" s="37" t="e">
        <f>VLOOKUP(D259,Laporan!$C$4:$D$34,2,0)</f>
        <v>#N/A</v>
      </c>
      <c r="K259" s="48"/>
      <c r="L259" s="13"/>
      <c r="M259" s="19">
        <f>SUMIF('DATABASE Room'!$B$3:$B$7,L259,'DATABASE Room'!$D$3:$D$7)</f>
        <v>0</v>
      </c>
      <c r="N259" s="13"/>
      <c r="O259" s="21">
        <f t="shared" si="220"/>
        <v>0</v>
      </c>
      <c r="P259" s="38"/>
      <c r="Q259" s="19">
        <f t="shared" si="221"/>
        <v>0</v>
      </c>
      <c r="R259" s="21">
        <f t="shared" si="222"/>
        <v>0</v>
      </c>
      <c r="S259" s="19">
        <f t="shared" si="223"/>
        <v>3</v>
      </c>
      <c r="T259" s="19">
        <f t="shared" si="224"/>
        <v>0</v>
      </c>
      <c r="U259" s="21">
        <f t="shared" si="225"/>
        <v>0</v>
      </c>
      <c r="V259" s="39"/>
      <c r="W259" s="16"/>
      <c r="X259" s="17">
        <f>VLOOKUP(W259,'DATABASE F&amp;B'!$C$3:$F$216,2,0)</f>
        <v>0</v>
      </c>
      <c r="Y259" s="18"/>
      <c r="Z259" s="19">
        <f>VLOOKUP(W259,'DATABASE F&amp;B'!$C$3:$F$216,4,0)</f>
        <v>0</v>
      </c>
      <c r="AA259" s="19">
        <f t="shared" si="226"/>
        <v>0</v>
      </c>
      <c r="AB259" s="16"/>
      <c r="AC259" s="17">
        <f>VLOOKUP(AB259,'DATABASE F&amp;B'!$C$3:$F$216,2,0)</f>
        <v>0</v>
      </c>
      <c r="AD259" s="18"/>
      <c r="AE259" s="19">
        <f>VLOOKUP(AB259,'DATABASE F&amp;B'!$C$3:$F$216,4,0)</f>
        <v>0</v>
      </c>
      <c r="AF259" s="19">
        <f t="shared" si="227"/>
        <v>0</v>
      </c>
      <c r="AG259" s="16"/>
      <c r="AH259" s="17">
        <f>VLOOKUP(AG259,'DATABASE F&amp;B'!$C$3:$F$216,2,0)</f>
        <v>0</v>
      </c>
      <c r="AI259" s="18">
        <v>1</v>
      </c>
      <c r="AJ259" s="19">
        <f>VLOOKUP(AG259,'DATABASE F&amp;B'!$C$3:$F$216,4,0)</f>
        <v>0</v>
      </c>
      <c r="AK259" s="19">
        <f t="shared" si="228"/>
        <v>0</v>
      </c>
      <c r="AL259" s="16"/>
      <c r="AM259" s="17">
        <f>VLOOKUP(AL259,'DATABASE F&amp;B'!$C$3:$F$216,2,0)</f>
        <v>0</v>
      </c>
      <c r="AN259" s="18">
        <v>1</v>
      </c>
      <c r="AO259" s="19">
        <f>VLOOKUP(AL259,'DATABASE F&amp;B'!$C$3:$F$216,4,0)</f>
        <v>0</v>
      </c>
      <c r="AP259" s="19">
        <f t="shared" si="229"/>
        <v>0</v>
      </c>
      <c r="AQ259" s="16"/>
      <c r="AR259" s="17">
        <f>VLOOKUP(AQ259,'DATABASE F&amp;B'!$C$3:$F$216,2,0)</f>
        <v>0</v>
      </c>
      <c r="AS259" s="18">
        <v>1</v>
      </c>
      <c r="AT259" s="19">
        <f>VLOOKUP(AQ259,'DATABASE F&amp;B'!$C$3:$F$216,4,0)</f>
        <v>0</v>
      </c>
      <c r="AU259" s="19">
        <f t="shared" si="230"/>
        <v>0</v>
      </c>
      <c r="AV259" s="16"/>
      <c r="AW259" s="17">
        <f>VLOOKUP(AV259,'DATABASE F&amp;B'!$C$3:$F$216,2,0)</f>
        <v>0</v>
      </c>
      <c r="AX259" s="18"/>
      <c r="AY259" s="19">
        <f>VLOOKUP(AV259,'DATABASE F&amp;B'!$C$3:$F$216,4,0)</f>
        <v>0</v>
      </c>
      <c r="AZ259" s="19">
        <f t="shared" si="231"/>
        <v>0</v>
      </c>
      <c r="BA259" s="16"/>
      <c r="BB259" s="17">
        <f>VLOOKUP(BA259,'DATABASE F&amp;B'!$C$3:$F$216,2,0)</f>
        <v>0</v>
      </c>
      <c r="BC259" s="18"/>
      <c r="BD259" s="19">
        <f>VLOOKUP(BA259,'DATABASE F&amp;B'!$C$3:$F$216,4,0)</f>
        <v>0</v>
      </c>
      <c r="BE259" s="19">
        <f t="shared" si="232"/>
        <v>0</v>
      </c>
      <c r="BF259" s="16"/>
      <c r="BG259" s="17">
        <f>VLOOKUP(BF259,'DATABASE F&amp;B'!$C$3:$F$216,2,0)</f>
        <v>0</v>
      </c>
      <c r="BH259" s="18"/>
      <c r="BI259" s="19">
        <f>VLOOKUP(BF259,'DATABASE F&amp;B'!$C$3:$F$216,4,0)</f>
        <v>0</v>
      </c>
      <c r="BJ259" s="19">
        <f t="shared" si="233"/>
        <v>0</v>
      </c>
      <c r="BK259" s="16"/>
      <c r="BL259" s="17">
        <f>VLOOKUP(BK259,'DATABASE F&amp;B'!$C$3:$F$210,2,0)</f>
        <v>0</v>
      </c>
      <c r="BM259" s="18"/>
      <c r="BN259" s="19">
        <f>VLOOKUP(BK259,'DATABASE F&amp;B'!$C$3:$F$210,4,0)</f>
        <v>0</v>
      </c>
      <c r="BO259" s="19">
        <f t="shared" si="234"/>
        <v>0</v>
      </c>
      <c r="BP259" s="16"/>
      <c r="BQ259" s="17">
        <f>VLOOKUP(BP259,'DATABASE F&amp;B'!$C$3:$F$210,2,0)</f>
        <v>0</v>
      </c>
      <c r="BR259" s="18"/>
      <c r="BS259" s="19">
        <f>VLOOKUP(BP259,'DATABASE F&amp;B'!$C$3:$F$210,4,0)</f>
        <v>0</v>
      </c>
      <c r="BT259" s="19">
        <f t="shared" si="235"/>
        <v>0</v>
      </c>
      <c r="BU259" s="16"/>
      <c r="BV259" s="17">
        <f>VLOOKUP(BU259,'DATABASE F&amp;B'!$C$3:$F$210,2,0)</f>
        <v>0</v>
      </c>
      <c r="BW259" s="18"/>
      <c r="BX259" s="19">
        <f>VLOOKUP(BU259,'DATABASE F&amp;B'!$C$3:$F$210,4,0)</f>
        <v>0</v>
      </c>
      <c r="BY259" s="19">
        <f t="shared" si="236"/>
        <v>0</v>
      </c>
      <c r="BZ259" s="16"/>
      <c r="CA259" s="17">
        <f>VLOOKUP(BZ259,'DATABASE F&amp;B'!$C$3:$F$210,2,0)</f>
        <v>0</v>
      </c>
      <c r="CB259" s="18"/>
      <c r="CC259" s="19">
        <f>VLOOKUP(BZ259,'DATABASE F&amp;B'!$C$3:$F$210,4,0)</f>
        <v>0</v>
      </c>
      <c r="CD259" s="19">
        <f t="shared" si="237"/>
        <v>0</v>
      </c>
    </row>
    <row r="260" spans="1:82" ht="13.5" x14ac:dyDescent="0.25">
      <c r="A260" s="32" t="str">
        <f t="shared" si="218"/>
        <v>--20</v>
      </c>
      <c r="B260" s="22">
        <f t="shared" si="239"/>
        <v>256</v>
      </c>
      <c r="C260" s="22">
        <f t="shared" si="239"/>
        <v>256</v>
      </c>
      <c r="D260" s="34"/>
      <c r="E260" s="35"/>
      <c r="F260" s="35"/>
      <c r="G260" s="52"/>
      <c r="H260" s="36" t="str">
        <f t="shared" si="195"/>
        <v>RJ--256</v>
      </c>
      <c r="I260" s="36" t="str">
        <f t="shared" si="219"/>
        <v>--20</v>
      </c>
      <c r="J260" s="37" t="e">
        <f>VLOOKUP(D260,Laporan!$C$4:$D$34,2,0)</f>
        <v>#N/A</v>
      </c>
      <c r="K260" s="48"/>
      <c r="L260" s="13"/>
      <c r="M260" s="19">
        <f>SUMIF('DATABASE Room'!$B$3:$B$7,L260,'DATABASE Room'!$D$3:$D$7)</f>
        <v>0</v>
      </c>
      <c r="N260" s="13"/>
      <c r="O260" s="21">
        <f t="shared" si="220"/>
        <v>0</v>
      </c>
      <c r="P260" s="38"/>
      <c r="Q260" s="19">
        <f t="shared" si="221"/>
        <v>0</v>
      </c>
      <c r="R260" s="21">
        <f t="shared" si="222"/>
        <v>0</v>
      </c>
      <c r="S260" s="19">
        <f t="shared" si="223"/>
        <v>3</v>
      </c>
      <c r="T260" s="19">
        <f t="shared" si="224"/>
        <v>0</v>
      </c>
      <c r="U260" s="21">
        <f t="shared" si="225"/>
        <v>0</v>
      </c>
      <c r="V260" s="39"/>
      <c r="W260" s="16"/>
      <c r="X260" s="17">
        <f>VLOOKUP(W260,'DATABASE F&amp;B'!$C$3:$F$216,2,0)</f>
        <v>0</v>
      </c>
      <c r="Y260" s="18"/>
      <c r="Z260" s="19">
        <f>VLOOKUP(W260,'DATABASE F&amp;B'!$C$3:$F$216,4,0)</f>
        <v>0</v>
      </c>
      <c r="AA260" s="19">
        <f t="shared" si="226"/>
        <v>0</v>
      </c>
      <c r="AB260" s="16"/>
      <c r="AC260" s="17">
        <f>VLOOKUP(AB260,'DATABASE F&amp;B'!$C$3:$F$216,2,0)</f>
        <v>0</v>
      </c>
      <c r="AD260" s="18"/>
      <c r="AE260" s="19">
        <f>VLOOKUP(AB260,'DATABASE F&amp;B'!$C$3:$F$216,4,0)</f>
        <v>0</v>
      </c>
      <c r="AF260" s="19">
        <f t="shared" si="227"/>
        <v>0</v>
      </c>
      <c r="AG260" s="16"/>
      <c r="AH260" s="17">
        <f>VLOOKUP(AG260,'DATABASE F&amp;B'!$C$3:$F$216,2,0)</f>
        <v>0</v>
      </c>
      <c r="AI260" s="18">
        <v>1</v>
      </c>
      <c r="AJ260" s="19">
        <f>VLOOKUP(AG260,'DATABASE F&amp;B'!$C$3:$F$216,4,0)</f>
        <v>0</v>
      </c>
      <c r="AK260" s="19">
        <f t="shared" si="228"/>
        <v>0</v>
      </c>
      <c r="AL260" s="16"/>
      <c r="AM260" s="17">
        <f>VLOOKUP(AL260,'DATABASE F&amp;B'!$C$3:$F$216,2,0)</f>
        <v>0</v>
      </c>
      <c r="AN260" s="18">
        <v>1</v>
      </c>
      <c r="AO260" s="19">
        <f>VLOOKUP(AL260,'DATABASE F&amp;B'!$C$3:$F$216,4,0)</f>
        <v>0</v>
      </c>
      <c r="AP260" s="19">
        <f t="shared" si="229"/>
        <v>0</v>
      </c>
      <c r="AQ260" s="16"/>
      <c r="AR260" s="17">
        <f>VLOOKUP(AQ260,'DATABASE F&amp;B'!$C$3:$F$216,2,0)</f>
        <v>0</v>
      </c>
      <c r="AS260" s="18">
        <v>1</v>
      </c>
      <c r="AT260" s="19">
        <f>VLOOKUP(AQ260,'DATABASE F&amp;B'!$C$3:$F$216,4,0)</f>
        <v>0</v>
      </c>
      <c r="AU260" s="19">
        <f t="shared" si="230"/>
        <v>0</v>
      </c>
      <c r="AV260" s="16"/>
      <c r="AW260" s="17">
        <f>VLOOKUP(AV260,'DATABASE F&amp;B'!$C$3:$F$216,2,0)</f>
        <v>0</v>
      </c>
      <c r="AX260" s="18"/>
      <c r="AY260" s="19">
        <f>VLOOKUP(AV260,'DATABASE F&amp;B'!$C$3:$F$216,4,0)</f>
        <v>0</v>
      </c>
      <c r="AZ260" s="19">
        <f t="shared" si="231"/>
        <v>0</v>
      </c>
      <c r="BA260" s="16"/>
      <c r="BB260" s="17">
        <f>VLOOKUP(BA260,'DATABASE F&amp;B'!$C$3:$F$216,2,0)</f>
        <v>0</v>
      </c>
      <c r="BC260" s="18"/>
      <c r="BD260" s="19">
        <f>VLOOKUP(BA260,'DATABASE F&amp;B'!$C$3:$F$216,4,0)</f>
        <v>0</v>
      </c>
      <c r="BE260" s="19">
        <f t="shared" si="232"/>
        <v>0</v>
      </c>
      <c r="BF260" s="16"/>
      <c r="BG260" s="17">
        <f>VLOOKUP(BF260,'DATABASE F&amp;B'!$C$3:$F$216,2,0)</f>
        <v>0</v>
      </c>
      <c r="BH260" s="18"/>
      <c r="BI260" s="19">
        <f>VLOOKUP(BF260,'DATABASE F&amp;B'!$C$3:$F$216,4,0)</f>
        <v>0</v>
      </c>
      <c r="BJ260" s="19">
        <f t="shared" si="233"/>
        <v>0</v>
      </c>
      <c r="BK260" s="16"/>
      <c r="BL260" s="17">
        <f>VLOOKUP(BK260,'DATABASE F&amp;B'!$C$3:$F$210,2,0)</f>
        <v>0</v>
      </c>
      <c r="BM260" s="18"/>
      <c r="BN260" s="19">
        <f>VLOOKUP(BK260,'DATABASE F&amp;B'!$C$3:$F$210,4,0)</f>
        <v>0</v>
      </c>
      <c r="BO260" s="19">
        <f t="shared" si="234"/>
        <v>0</v>
      </c>
      <c r="BP260" s="16"/>
      <c r="BQ260" s="17">
        <f>VLOOKUP(BP260,'DATABASE F&amp;B'!$C$3:$F$210,2,0)</f>
        <v>0</v>
      </c>
      <c r="BR260" s="18"/>
      <c r="BS260" s="19">
        <f>VLOOKUP(BP260,'DATABASE F&amp;B'!$C$3:$F$210,4,0)</f>
        <v>0</v>
      </c>
      <c r="BT260" s="19">
        <f t="shared" si="235"/>
        <v>0</v>
      </c>
      <c r="BU260" s="16"/>
      <c r="BV260" s="17">
        <f>VLOOKUP(BU260,'DATABASE F&amp;B'!$C$3:$F$210,2,0)</f>
        <v>0</v>
      </c>
      <c r="BW260" s="18"/>
      <c r="BX260" s="19">
        <f>VLOOKUP(BU260,'DATABASE F&amp;B'!$C$3:$F$210,4,0)</f>
        <v>0</v>
      </c>
      <c r="BY260" s="19">
        <f t="shared" si="236"/>
        <v>0</v>
      </c>
      <c r="BZ260" s="16"/>
      <c r="CA260" s="17">
        <f>VLOOKUP(BZ260,'DATABASE F&amp;B'!$C$3:$F$210,2,0)</f>
        <v>0</v>
      </c>
      <c r="CB260" s="18"/>
      <c r="CC260" s="19">
        <f>VLOOKUP(BZ260,'DATABASE F&amp;B'!$C$3:$F$210,4,0)</f>
        <v>0</v>
      </c>
      <c r="CD260" s="19">
        <f t="shared" si="237"/>
        <v>0</v>
      </c>
    </row>
    <row r="261" spans="1:82" ht="13.5" x14ac:dyDescent="0.25">
      <c r="A261" s="32" t="str">
        <f t="shared" si="218"/>
        <v>--20</v>
      </c>
      <c r="B261" s="22">
        <f t="shared" si="239"/>
        <v>257</v>
      </c>
      <c r="C261" s="22">
        <f t="shared" si="239"/>
        <v>257</v>
      </c>
      <c r="D261" s="34"/>
      <c r="E261" s="35"/>
      <c r="F261" s="35"/>
      <c r="G261" s="52"/>
      <c r="H261" s="36" t="str">
        <f t="shared" si="195"/>
        <v>RJ--257</v>
      </c>
      <c r="I261" s="36" t="str">
        <f t="shared" si="219"/>
        <v>--20</v>
      </c>
      <c r="J261" s="37" t="e">
        <f>VLOOKUP(D261,Laporan!$C$4:$D$34,2,0)</f>
        <v>#N/A</v>
      </c>
      <c r="K261" s="48"/>
      <c r="L261" s="13"/>
      <c r="M261" s="19">
        <f>SUMIF('DATABASE Room'!$B$3:$B$7,L261,'DATABASE Room'!$D$3:$D$7)</f>
        <v>0</v>
      </c>
      <c r="N261" s="13"/>
      <c r="O261" s="21">
        <f t="shared" si="220"/>
        <v>0</v>
      </c>
      <c r="P261" s="38"/>
      <c r="Q261" s="19">
        <f t="shared" si="221"/>
        <v>0</v>
      </c>
      <c r="R261" s="21">
        <f t="shared" si="222"/>
        <v>0</v>
      </c>
      <c r="S261" s="19">
        <f t="shared" si="223"/>
        <v>3</v>
      </c>
      <c r="T261" s="19">
        <f t="shared" si="224"/>
        <v>0</v>
      </c>
      <c r="U261" s="21">
        <f t="shared" si="225"/>
        <v>0</v>
      </c>
      <c r="V261" s="39"/>
      <c r="W261" s="16"/>
      <c r="X261" s="17">
        <f>VLOOKUP(W261,'DATABASE F&amp;B'!$C$3:$F$216,2,0)</f>
        <v>0</v>
      </c>
      <c r="Y261" s="18"/>
      <c r="Z261" s="19">
        <f>VLOOKUP(W261,'DATABASE F&amp;B'!$C$3:$F$216,4,0)</f>
        <v>0</v>
      </c>
      <c r="AA261" s="19">
        <f t="shared" si="226"/>
        <v>0</v>
      </c>
      <c r="AB261" s="16"/>
      <c r="AC261" s="17">
        <f>VLOOKUP(AB261,'DATABASE F&amp;B'!$C$3:$F$216,2,0)</f>
        <v>0</v>
      </c>
      <c r="AD261" s="18"/>
      <c r="AE261" s="19">
        <f>VLOOKUP(AB261,'DATABASE F&amp;B'!$C$3:$F$216,4,0)</f>
        <v>0</v>
      </c>
      <c r="AF261" s="19">
        <f t="shared" si="227"/>
        <v>0</v>
      </c>
      <c r="AG261" s="16"/>
      <c r="AH261" s="17">
        <f>VLOOKUP(AG261,'DATABASE F&amp;B'!$C$3:$F$216,2,0)</f>
        <v>0</v>
      </c>
      <c r="AI261" s="18">
        <v>1</v>
      </c>
      <c r="AJ261" s="19">
        <f>VLOOKUP(AG261,'DATABASE F&amp;B'!$C$3:$F$216,4,0)</f>
        <v>0</v>
      </c>
      <c r="AK261" s="19">
        <f t="shared" si="228"/>
        <v>0</v>
      </c>
      <c r="AL261" s="16"/>
      <c r="AM261" s="17">
        <f>VLOOKUP(AL261,'DATABASE F&amp;B'!$C$3:$F$216,2,0)</f>
        <v>0</v>
      </c>
      <c r="AN261" s="18">
        <v>1</v>
      </c>
      <c r="AO261" s="19">
        <f>VLOOKUP(AL261,'DATABASE F&amp;B'!$C$3:$F$216,4,0)</f>
        <v>0</v>
      </c>
      <c r="AP261" s="19">
        <f t="shared" si="229"/>
        <v>0</v>
      </c>
      <c r="AQ261" s="16"/>
      <c r="AR261" s="17">
        <f>VLOOKUP(AQ261,'DATABASE F&amp;B'!$C$3:$F$216,2,0)</f>
        <v>0</v>
      </c>
      <c r="AS261" s="18">
        <v>1</v>
      </c>
      <c r="AT261" s="19">
        <f>VLOOKUP(AQ261,'DATABASE F&amp;B'!$C$3:$F$216,4,0)</f>
        <v>0</v>
      </c>
      <c r="AU261" s="19">
        <f t="shared" si="230"/>
        <v>0</v>
      </c>
      <c r="AV261" s="16"/>
      <c r="AW261" s="17">
        <f>VLOOKUP(AV261,'DATABASE F&amp;B'!$C$3:$F$216,2,0)</f>
        <v>0</v>
      </c>
      <c r="AX261" s="18"/>
      <c r="AY261" s="19">
        <f>VLOOKUP(AV261,'DATABASE F&amp;B'!$C$3:$F$216,4,0)</f>
        <v>0</v>
      </c>
      <c r="AZ261" s="19">
        <f t="shared" si="231"/>
        <v>0</v>
      </c>
      <c r="BA261" s="16"/>
      <c r="BB261" s="17">
        <f>VLOOKUP(BA261,'DATABASE F&amp;B'!$C$3:$F$216,2,0)</f>
        <v>0</v>
      </c>
      <c r="BC261" s="18"/>
      <c r="BD261" s="19">
        <f>VLOOKUP(BA261,'DATABASE F&amp;B'!$C$3:$F$216,4,0)</f>
        <v>0</v>
      </c>
      <c r="BE261" s="19">
        <f t="shared" si="232"/>
        <v>0</v>
      </c>
      <c r="BF261" s="16"/>
      <c r="BG261" s="17">
        <f>VLOOKUP(BF261,'DATABASE F&amp;B'!$C$3:$F$216,2,0)</f>
        <v>0</v>
      </c>
      <c r="BH261" s="18"/>
      <c r="BI261" s="19">
        <f>VLOOKUP(BF261,'DATABASE F&amp;B'!$C$3:$F$216,4,0)</f>
        <v>0</v>
      </c>
      <c r="BJ261" s="19">
        <f t="shared" si="233"/>
        <v>0</v>
      </c>
      <c r="BK261" s="16"/>
      <c r="BL261" s="17">
        <f>VLOOKUP(BK261,'DATABASE F&amp;B'!$C$3:$F$210,2,0)</f>
        <v>0</v>
      </c>
      <c r="BM261" s="18"/>
      <c r="BN261" s="19">
        <f>VLOOKUP(BK261,'DATABASE F&amp;B'!$C$3:$F$210,4,0)</f>
        <v>0</v>
      </c>
      <c r="BO261" s="19">
        <f t="shared" si="234"/>
        <v>0</v>
      </c>
      <c r="BP261" s="16"/>
      <c r="BQ261" s="17">
        <f>VLOOKUP(BP261,'DATABASE F&amp;B'!$C$3:$F$210,2,0)</f>
        <v>0</v>
      </c>
      <c r="BR261" s="18"/>
      <c r="BS261" s="19">
        <f>VLOOKUP(BP261,'DATABASE F&amp;B'!$C$3:$F$210,4,0)</f>
        <v>0</v>
      </c>
      <c r="BT261" s="19">
        <f t="shared" si="235"/>
        <v>0</v>
      </c>
      <c r="BU261" s="16"/>
      <c r="BV261" s="17">
        <f>VLOOKUP(BU261,'DATABASE F&amp;B'!$C$3:$F$210,2,0)</f>
        <v>0</v>
      </c>
      <c r="BW261" s="18"/>
      <c r="BX261" s="19">
        <f>VLOOKUP(BU261,'DATABASE F&amp;B'!$C$3:$F$210,4,0)</f>
        <v>0</v>
      </c>
      <c r="BY261" s="19">
        <f t="shared" si="236"/>
        <v>0</v>
      </c>
      <c r="BZ261" s="16"/>
      <c r="CA261" s="17">
        <f>VLOOKUP(BZ261,'DATABASE F&amp;B'!$C$3:$F$210,2,0)</f>
        <v>0</v>
      </c>
      <c r="CB261" s="18"/>
      <c r="CC261" s="19">
        <f>VLOOKUP(BZ261,'DATABASE F&amp;B'!$C$3:$F$210,4,0)</f>
        <v>0</v>
      </c>
      <c r="CD261" s="19">
        <f t="shared" si="237"/>
        <v>0</v>
      </c>
    </row>
    <row r="262" spans="1:82" ht="13.5" x14ac:dyDescent="0.25">
      <c r="A262" s="32" t="str">
        <f t="shared" si="218"/>
        <v>--20</v>
      </c>
      <c r="B262" s="22">
        <f t="shared" si="239"/>
        <v>258</v>
      </c>
      <c r="C262" s="22">
        <f t="shared" si="239"/>
        <v>258</v>
      </c>
      <c r="D262" s="34"/>
      <c r="E262" s="35"/>
      <c r="F262" s="35"/>
      <c r="G262" s="52"/>
      <c r="H262" s="36" t="str">
        <f t="shared" ref="H262:H325" si="240">CONCATENATE("RJ","-",E262,F262,G262,"-",B262)</f>
        <v>RJ--258</v>
      </c>
      <c r="I262" s="36" t="str">
        <f t="shared" si="219"/>
        <v>--20</v>
      </c>
      <c r="J262" s="37" t="e">
        <f>VLOOKUP(D262,Laporan!$C$4:$D$34,2,0)</f>
        <v>#N/A</v>
      </c>
      <c r="K262" s="48"/>
      <c r="L262" s="13"/>
      <c r="M262" s="19">
        <f>SUMIF('DATABASE Room'!$B$3:$B$7,L262,'DATABASE Room'!$D$3:$D$7)</f>
        <v>0</v>
      </c>
      <c r="N262" s="13"/>
      <c r="O262" s="21">
        <f t="shared" si="220"/>
        <v>0</v>
      </c>
      <c r="P262" s="38"/>
      <c r="Q262" s="19">
        <f t="shared" si="221"/>
        <v>0</v>
      </c>
      <c r="R262" s="21">
        <f t="shared" si="222"/>
        <v>0</v>
      </c>
      <c r="S262" s="19">
        <f t="shared" si="223"/>
        <v>3</v>
      </c>
      <c r="T262" s="19">
        <f t="shared" si="224"/>
        <v>0</v>
      </c>
      <c r="U262" s="21">
        <f t="shared" si="225"/>
        <v>0</v>
      </c>
      <c r="V262" s="39"/>
      <c r="W262" s="16"/>
      <c r="X262" s="17">
        <f>VLOOKUP(W262,'DATABASE F&amp;B'!$C$3:$F$216,2,0)</f>
        <v>0</v>
      </c>
      <c r="Y262" s="18"/>
      <c r="Z262" s="19">
        <f>VLOOKUP(W262,'DATABASE F&amp;B'!$C$3:$F$216,4,0)</f>
        <v>0</v>
      </c>
      <c r="AA262" s="19">
        <f t="shared" si="226"/>
        <v>0</v>
      </c>
      <c r="AB262" s="16"/>
      <c r="AC262" s="17">
        <f>VLOOKUP(AB262,'DATABASE F&amp;B'!$C$3:$F$216,2,0)</f>
        <v>0</v>
      </c>
      <c r="AD262" s="18"/>
      <c r="AE262" s="19">
        <f>VLOOKUP(AB262,'DATABASE F&amp;B'!$C$3:$F$216,4,0)</f>
        <v>0</v>
      </c>
      <c r="AF262" s="19">
        <f t="shared" si="227"/>
        <v>0</v>
      </c>
      <c r="AG262" s="16"/>
      <c r="AH262" s="17">
        <f>VLOOKUP(AG262,'DATABASE F&amp;B'!$C$3:$F$216,2,0)</f>
        <v>0</v>
      </c>
      <c r="AI262" s="18">
        <v>1</v>
      </c>
      <c r="AJ262" s="19">
        <f>VLOOKUP(AG262,'DATABASE F&amp;B'!$C$3:$F$216,4,0)</f>
        <v>0</v>
      </c>
      <c r="AK262" s="19">
        <f t="shared" si="228"/>
        <v>0</v>
      </c>
      <c r="AL262" s="16"/>
      <c r="AM262" s="17">
        <f>VLOOKUP(AL262,'DATABASE F&amp;B'!$C$3:$F$216,2,0)</f>
        <v>0</v>
      </c>
      <c r="AN262" s="18">
        <v>1</v>
      </c>
      <c r="AO262" s="19">
        <f>VLOOKUP(AL262,'DATABASE F&amp;B'!$C$3:$F$216,4,0)</f>
        <v>0</v>
      </c>
      <c r="AP262" s="19">
        <f t="shared" si="229"/>
        <v>0</v>
      </c>
      <c r="AQ262" s="16"/>
      <c r="AR262" s="17">
        <f>VLOOKUP(AQ262,'DATABASE F&amp;B'!$C$3:$F$216,2,0)</f>
        <v>0</v>
      </c>
      <c r="AS262" s="18">
        <v>1</v>
      </c>
      <c r="AT262" s="19">
        <f>VLOOKUP(AQ262,'DATABASE F&amp;B'!$C$3:$F$216,4,0)</f>
        <v>0</v>
      </c>
      <c r="AU262" s="19">
        <f t="shared" si="230"/>
        <v>0</v>
      </c>
      <c r="AV262" s="16"/>
      <c r="AW262" s="17">
        <f>VLOOKUP(AV262,'DATABASE F&amp;B'!$C$3:$F$216,2,0)</f>
        <v>0</v>
      </c>
      <c r="AX262" s="18"/>
      <c r="AY262" s="19">
        <f>VLOOKUP(AV262,'DATABASE F&amp;B'!$C$3:$F$216,4,0)</f>
        <v>0</v>
      </c>
      <c r="AZ262" s="19">
        <f t="shared" si="231"/>
        <v>0</v>
      </c>
      <c r="BA262" s="16"/>
      <c r="BB262" s="17">
        <f>VLOOKUP(BA262,'DATABASE F&amp;B'!$C$3:$F$216,2,0)</f>
        <v>0</v>
      </c>
      <c r="BC262" s="18"/>
      <c r="BD262" s="19">
        <f>VLOOKUP(BA262,'DATABASE F&amp;B'!$C$3:$F$216,4,0)</f>
        <v>0</v>
      </c>
      <c r="BE262" s="19">
        <f t="shared" si="232"/>
        <v>0</v>
      </c>
      <c r="BF262" s="16"/>
      <c r="BG262" s="17">
        <f>VLOOKUP(BF262,'DATABASE F&amp;B'!$C$3:$F$216,2,0)</f>
        <v>0</v>
      </c>
      <c r="BH262" s="18"/>
      <c r="BI262" s="19">
        <f>VLOOKUP(BF262,'DATABASE F&amp;B'!$C$3:$F$216,4,0)</f>
        <v>0</v>
      </c>
      <c r="BJ262" s="19">
        <f t="shared" si="233"/>
        <v>0</v>
      </c>
      <c r="BK262" s="16"/>
      <c r="BL262" s="17">
        <f>VLOOKUP(BK262,'DATABASE F&amp;B'!$C$3:$F$210,2,0)</f>
        <v>0</v>
      </c>
      <c r="BM262" s="18"/>
      <c r="BN262" s="19">
        <f>VLOOKUP(BK262,'DATABASE F&amp;B'!$C$3:$F$210,4,0)</f>
        <v>0</v>
      </c>
      <c r="BO262" s="19">
        <f t="shared" si="234"/>
        <v>0</v>
      </c>
      <c r="BP262" s="16"/>
      <c r="BQ262" s="17">
        <f>VLOOKUP(BP262,'DATABASE F&amp;B'!$C$3:$F$210,2,0)</f>
        <v>0</v>
      </c>
      <c r="BR262" s="18"/>
      <c r="BS262" s="19">
        <f>VLOOKUP(BP262,'DATABASE F&amp;B'!$C$3:$F$210,4,0)</f>
        <v>0</v>
      </c>
      <c r="BT262" s="19">
        <f t="shared" si="235"/>
        <v>0</v>
      </c>
      <c r="BU262" s="16"/>
      <c r="BV262" s="17">
        <f>VLOOKUP(BU262,'DATABASE F&amp;B'!$C$3:$F$210,2,0)</f>
        <v>0</v>
      </c>
      <c r="BW262" s="18"/>
      <c r="BX262" s="19">
        <f>VLOOKUP(BU262,'DATABASE F&amp;B'!$C$3:$F$210,4,0)</f>
        <v>0</v>
      </c>
      <c r="BY262" s="19">
        <f t="shared" si="236"/>
        <v>0</v>
      </c>
      <c r="BZ262" s="16"/>
      <c r="CA262" s="17">
        <f>VLOOKUP(BZ262,'DATABASE F&amp;B'!$C$3:$F$210,2,0)</f>
        <v>0</v>
      </c>
      <c r="CB262" s="18"/>
      <c r="CC262" s="19">
        <f>VLOOKUP(BZ262,'DATABASE F&amp;B'!$C$3:$F$210,4,0)</f>
        <v>0</v>
      </c>
      <c r="CD262" s="19">
        <f t="shared" si="237"/>
        <v>0</v>
      </c>
    </row>
    <row r="263" spans="1:82" ht="13.5" x14ac:dyDescent="0.25">
      <c r="A263" s="32" t="str">
        <f t="shared" si="218"/>
        <v>--20</v>
      </c>
      <c r="B263" s="22">
        <f t="shared" ref="B263:C278" si="241">B262+1</f>
        <v>259</v>
      </c>
      <c r="C263" s="22">
        <f t="shared" si="241"/>
        <v>259</v>
      </c>
      <c r="D263" s="34"/>
      <c r="E263" s="35"/>
      <c r="F263" s="35"/>
      <c r="G263" s="52"/>
      <c r="H263" s="36" t="str">
        <f t="shared" si="240"/>
        <v>RJ--259</v>
      </c>
      <c r="I263" s="36" t="str">
        <f t="shared" si="219"/>
        <v>--20</v>
      </c>
      <c r="J263" s="37" t="e">
        <f>VLOOKUP(D263,Laporan!$C$4:$D$34,2,0)</f>
        <v>#N/A</v>
      </c>
      <c r="K263" s="48"/>
      <c r="L263" s="13"/>
      <c r="M263" s="19">
        <f>SUMIF('DATABASE Room'!$B$3:$B$7,L263,'DATABASE Room'!$D$3:$D$7)</f>
        <v>0</v>
      </c>
      <c r="N263" s="13"/>
      <c r="O263" s="21">
        <f t="shared" si="220"/>
        <v>0</v>
      </c>
      <c r="P263" s="38"/>
      <c r="Q263" s="19">
        <f t="shared" si="221"/>
        <v>0</v>
      </c>
      <c r="R263" s="21">
        <f t="shared" si="222"/>
        <v>0</v>
      </c>
      <c r="S263" s="19">
        <f t="shared" si="223"/>
        <v>3</v>
      </c>
      <c r="T263" s="19">
        <f t="shared" si="224"/>
        <v>0</v>
      </c>
      <c r="U263" s="21">
        <f t="shared" si="225"/>
        <v>0</v>
      </c>
      <c r="V263" s="39"/>
      <c r="W263" s="16"/>
      <c r="X263" s="17">
        <f>VLOOKUP(W263,'DATABASE F&amp;B'!$C$3:$F$216,2,0)</f>
        <v>0</v>
      </c>
      <c r="Y263" s="18"/>
      <c r="Z263" s="19">
        <f>VLOOKUP(W263,'DATABASE F&amp;B'!$C$3:$F$216,4,0)</f>
        <v>0</v>
      </c>
      <c r="AA263" s="19">
        <f t="shared" si="226"/>
        <v>0</v>
      </c>
      <c r="AB263" s="16"/>
      <c r="AC263" s="17">
        <f>VLOOKUP(AB263,'DATABASE F&amp;B'!$C$3:$F$216,2,0)</f>
        <v>0</v>
      </c>
      <c r="AD263" s="18"/>
      <c r="AE263" s="19">
        <f>VLOOKUP(AB263,'DATABASE F&amp;B'!$C$3:$F$216,4,0)</f>
        <v>0</v>
      </c>
      <c r="AF263" s="19">
        <f t="shared" si="227"/>
        <v>0</v>
      </c>
      <c r="AG263" s="16"/>
      <c r="AH263" s="17">
        <f>VLOOKUP(AG263,'DATABASE F&amp;B'!$C$3:$F$216,2,0)</f>
        <v>0</v>
      </c>
      <c r="AI263" s="18">
        <v>1</v>
      </c>
      <c r="AJ263" s="19">
        <f>VLOOKUP(AG263,'DATABASE F&amp;B'!$C$3:$F$216,4,0)</f>
        <v>0</v>
      </c>
      <c r="AK263" s="19">
        <f t="shared" si="228"/>
        <v>0</v>
      </c>
      <c r="AL263" s="16"/>
      <c r="AM263" s="17">
        <f>VLOOKUP(AL263,'DATABASE F&amp;B'!$C$3:$F$216,2,0)</f>
        <v>0</v>
      </c>
      <c r="AN263" s="18">
        <v>1</v>
      </c>
      <c r="AO263" s="19">
        <f>VLOOKUP(AL263,'DATABASE F&amp;B'!$C$3:$F$216,4,0)</f>
        <v>0</v>
      </c>
      <c r="AP263" s="19">
        <f t="shared" si="229"/>
        <v>0</v>
      </c>
      <c r="AQ263" s="16"/>
      <c r="AR263" s="17">
        <f>VLOOKUP(AQ263,'DATABASE F&amp;B'!$C$3:$F$216,2,0)</f>
        <v>0</v>
      </c>
      <c r="AS263" s="18">
        <v>1</v>
      </c>
      <c r="AT263" s="19">
        <f>VLOOKUP(AQ263,'DATABASE F&amp;B'!$C$3:$F$216,4,0)</f>
        <v>0</v>
      </c>
      <c r="AU263" s="19">
        <f t="shared" si="230"/>
        <v>0</v>
      </c>
      <c r="AV263" s="16"/>
      <c r="AW263" s="17">
        <f>VLOOKUP(AV263,'DATABASE F&amp;B'!$C$3:$F$216,2,0)</f>
        <v>0</v>
      </c>
      <c r="AX263" s="18"/>
      <c r="AY263" s="19">
        <f>VLOOKUP(AV263,'DATABASE F&amp;B'!$C$3:$F$216,4,0)</f>
        <v>0</v>
      </c>
      <c r="AZ263" s="19">
        <f t="shared" si="231"/>
        <v>0</v>
      </c>
      <c r="BA263" s="16"/>
      <c r="BB263" s="17">
        <f>VLOOKUP(BA263,'DATABASE F&amp;B'!$C$3:$F$216,2,0)</f>
        <v>0</v>
      </c>
      <c r="BC263" s="18"/>
      <c r="BD263" s="19">
        <f>VLOOKUP(BA263,'DATABASE F&amp;B'!$C$3:$F$216,4,0)</f>
        <v>0</v>
      </c>
      <c r="BE263" s="19">
        <f t="shared" si="232"/>
        <v>0</v>
      </c>
      <c r="BF263" s="16"/>
      <c r="BG263" s="17">
        <f>VLOOKUP(BF263,'DATABASE F&amp;B'!$C$3:$F$216,2,0)</f>
        <v>0</v>
      </c>
      <c r="BH263" s="18"/>
      <c r="BI263" s="19">
        <f>VLOOKUP(BF263,'DATABASE F&amp;B'!$C$3:$F$216,4,0)</f>
        <v>0</v>
      </c>
      <c r="BJ263" s="19">
        <f t="shared" si="233"/>
        <v>0</v>
      </c>
      <c r="BK263" s="16"/>
      <c r="BL263" s="17">
        <f>VLOOKUP(BK263,'DATABASE F&amp;B'!$C$3:$F$210,2,0)</f>
        <v>0</v>
      </c>
      <c r="BM263" s="18"/>
      <c r="BN263" s="19">
        <f>VLOOKUP(BK263,'DATABASE F&amp;B'!$C$3:$F$210,4,0)</f>
        <v>0</v>
      </c>
      <c r="BO263" s="19">
        <f t="shared" si="234"/>
        <v>0</v>
      </c>
      <c r="BP263" s="16"/>
      <c r="BQ263" s="17">
        <f>VLOOKUP(BP263,'DATABASE F&amp;B'!$C$3:$F$210,2,0)</f>
        <v>0</v>
      </c>
      <c r="BR263" s="18"/>
      <c r="BS263" s="19">
        <f>VLOOKUP(BP263,'DATABASE F&amp;B'!$C$3:$F$210,4,0)</f>
        <v>0</v>
      </c>
      <c r="BT263" s="19">
        <f t="shared" si="235"/>
        <v>0</v>
      </c>
      <c r="BU263" s="16"/>
      <c r="BV263" s="17">
        <f>VLOOKUP(BU263,'DATABASE F&amp;B'!$C$3:$F$210,2,0)</f>
        <v>0</v>
      </c>
      <c r="BW263" s="18"/>
      <c r="BX263" s="19">
        <f>VLOOKUP(BU263,'DATABASE F&amp;B'!$C$3:$F$210,4,0)</f>
        <v>0</v>
      </c>
      <c r="BY263" s="19">
        <f t="shared" si="236"/>
        <v>0</v>
      </c>
      <c r="BZ263" s="16"/>
      <c r="CA263" s="17">
        <f>VLOOKUP(BZ263,'DATABASE F&amp;B'!$C$3:$F$210,2,0)</f>
        <v>0</v>
      </c>
      <c r="CB263" s="18"/>
      <c r="CC263" s="19">
        <f>VLOOKUP(BZ263,'DATABASE F&amp;B'!$C$3:$F$210,4,0)</f>
        <v>0</v>
      </c>
      <c r="CD263" s="19">
        <f t="shared" si="237"/>
        <v>0</v>
      </c>
    </row>
    <row r="264" spans="1:82" ht="13.5" x14ac:dyDescent="0.25">
      <c r="A264" s="32" t="str">
        <f t="shared" si="218"/>
        <v>--20</v>
      </c>
      <c r="B264" s="22">
        <f t="shared" si="241"/>
        <v>260</v>
      </c>
      <c r="C264" s="22">
        <f t="shared" si="241"/>
        <v>260</v>
      </c>
      <c r="D264" s="34"/>
      <c r="E264" s="35"/>
      <c r="F264" s="35"/>
      <c r="G264" s="52"/>
      <c r="H264" s="36" t="str">
        <f t="shared" si="240"/>
        <v>RJ--260</v>
      </c>
      <c r="I264" s="36" t="str">
        <f t="shared" si="219"/>
        <v>--20</v>
      </c>
      <c r="J264" s="37" t="e">
        <f>VLOOKUP(D264,Laporan!$C$4:$D$34,2,0)</f>
        <v>#N/A</v>
      </c>
      <c r="K264" s="48"/>
      <c r="L264" s="13"/>
      <c r="M264" s="19">
        <f>SUMIF('DATABASE Room'!$B$3:$B$7,L264,'DATABASE Room'!$D$3:$D$7)</f>
        <v>0</v>
      </c>
      <c r="N264" s="13"/>
      <c r="O264" s="21">
        <f t="shared" si="220"/>
        <v>0</v>
      </c>
      <c r="P264" s="38"/>
      <c r="Q264" s="19">
        <f t="shared" si="221"/>
        <v>0</v>
      </c>
      <c r="R264" s="21">
        <f t="shared" si="222"/>
        <v>0</v>
      </c>
      <c r="S264" s="19">
        <f t="shared" si="223"/>
        <v>3</v>
      </c>
      <c r="T264" s="19">
        <f t="shared" si="224"/>
        <v>0</v>
      </c>
      <c r="U264" s="21">
        <f t="shared" si="225"/>
        <v>0</v>
      </c>
      <c r="V264" s="39"/>
      <c r="W264" s="16"/>
      <c r="X264" s="17">
        <f>VLOOKUP(W264,'DATABASE F&amp;B'!$C$3:$F$216,2,0)</f>
        <v>0</v>
      </c>
      <c r="Y264" s="18"/>
      <c r="Z264" s="19">
        <f>VLOOKUP(W264,'DATABASE F&amp;B'!$C$3:$F$216,4,0)</f>
        <v>0</v>
      </c>
      <c r="AA264" s="19">
        <f t="shared" si="226"/>
        <v>0</v>
      </c>
      <c r="AB264" s="16"/>
      <c r="AC264" s="17">
        <f>VLOOKUP(AB264,'DATABASE F&amp;B'!$C$3:$F$216,2,0)</f>
        <v>0</v>
      </c>
      <c r="AD264" s="18"/>
      <c r="AE264" s="19">
        <f>VLOOKUP(AB264,'DATABASE F&amp;B'!$C$3:$F$216,4,0)</f>
        <v>0</v>
      </c>
      <c r="AF264" s="19">
        <f t="shared" si="227"/>
        <v>0</v>
      </c>
      <c r="AG264" s="16"/>
      <c r="AH264" s="17">
        <f>VLOOKUP(AG264,'DATABASE F&amp;B'!$C$3:$F$216,2,0)</f>
        <v>0</v>
      </c>
      <c r="AI264" s="18">
        <v>1</v>
      </c>
      <c r="AJ264" s="19">
        <f>VLOOKUP(AG264,'DATABASE F&amp;B'!$C$3:$F$216,4,0)</f>
        <v>0</v>
      </c>
      <c r="AK264" s="19">
        <f t="shared" si="228"/>
        <v>0</v>
      </c>
      <c r="AL264" s="16"/>
      <c r="AM264" s="17">
        <f>VLOOKUP(AL264,'DATABASE F&amp;B'!$C$3:$F$216,2,0)</f>
        <v>0</v>
      </c>
      <c r="AN264" s="18">
        <v>1</v>
      </c>
      <c r="AO264" s="19">
        <f>VLOOKUP(AL264,'DATABASE F&amp;B'!$C$3:$F$216,4,0)</f>
        <v>0</v>
      </c>
      <c r="AP264" s="19">
        <f t="shared" si="229"/>
        <v>0</v>
      </c>
      <c r="AQ264" s="16"/>
      <c r="AR264" s="17">
        <f>VLOOKUP(AQ264,'DATABASE F&amp;B'!$C$3:$F$216,2,0)</f>
        <v>0</v>
      </c>
      <c r="AS264" s="18">
        <v>1</v>
      </c>
      <c r="AT264" s="19">
        <f>VLOOKUP(AQ264,'DATABASE F&amp;B'!$C$3:$F$216,4,0)</f>
        <v>0</v>
      </c>
      <c r="AU264" s="19">
        <f t="shared" si="230"/>
        <v>0</v>
      </c>
      <c r="AV264" s="16"/>
      <c r="AW264" s="17">
        <f>VLOOKUP(AV264,'DATABASE F&amp;B'!$C$3:$F$216,2,0)</f>
        <v>0</v>
      </c>
      <c r="AX264" s="18"/>
      <c r="AY264" s="19">
        <f>VLOOKUP(AV264,'DATABASE F&amp;B'!$C$3:$F$216,4,0)</f>
        <v>0</v>
      </c>
      <c r="AZ264" s="19">
        <f t="shared" si="231"/>
        <v>0</v>
      </c>
      <c r="BA264" s="16"/>
      <c r="BB264" s="17">
        <f>VLOOKUP(BA264,'DATABASE F&amp;B'!$C$3:$F$216,2,0)</f>
        <v>0</v>
      </c>
      <c r="BC264" s="18"/>
      <c r="BD264" s="19">
        <f>VLOOKUP(BA264,'DATABASE F&amp;B'!$C$3:$F$216,4,0)</f>
        <v>0</v>
      </c>
      <c r="BE264" s="19">
        <f t="shared" si="232"/>
        <v>0</v>
      </c>
      <c r="BF264" s="16"/>
      <c r="BG264" s="17">
        <f>VLOOKUP(BF264,'DATABASE F&amp;B'!$C$3:$F$216,2,0)</f>
        <v>0</v>
      </c>
      <c r="BH264" s="18"/>
      <c r="BI264" s="19">
        <f>VLOOKUP(BF264,'DATABASE F&amp;B'!$C$3:$F$216,4,0)</f>
        <v>0</v>
      </c>
      <c r="BJ264" s="19">
        <f t="shared" si="233"/>
        <v>0</v>
      </c>
      <c r="BK264" s="16"/>
      <c r="BL264" s="17">
        <f>VLOOKUP(BK264,'DATABASE F&amp;B'!$C$3:$F$210,2,0)</f>
        <v>0</v>
      </c>
      <c r="BM264" s="18"/>
      <c r="BN264" s="19">
        <f>VLOOKUP(BK264,'DATABASE F&amp;B'!$C$3:$F$210,4,0)</f>
        <v>0</v>
      </c>
      <c r="BO264" s="19">
        <f t="shared" si="234"/>
        <v>0</v>
      </c>
      <c r="BP264" s="16"/>
      <c r="BQ264" s="17">
        <f>VLOOKUP(BP264,'DATABASE F&amp;B'!$C$3:$F$210,2,0)</f>
        <v>0</v>
      </c>
      <c r="BR264" s="18"/>
      <c r="BS264" s="19">
        <f>VLOOKUP(BP264,'DATABASE F&amp;B'!$C$3:$F$210,4,0)</f>
        <v>0</v>
      </c>
      <c r="BT264" s="19">
        <f t="shared" si="235"/>
        <v>0</v>
      </c>
      <c r="BU264" s="16"/>
      <c r="BV264" s="17">
        <f>VLOOKUP(BU264,'DATABASE F&amp;B'!$C$3:$F$210,2,0)</f>
        <v>0</v>
      </c>
      <c r="BW264" s="18"/>
      <c r="BX264" s="19">
        <f>VLOOKUP(BU264,'DATABASE F&amp;B'!$C$3:$F$210,4,0)</f>
        <v>0</v>
      </c>
      <c r="BY264" s="19">
        <f t="shared" si="236"/>
        <v>0</v>
      </c>
      <c r="BZ264" s="16"/>
      <c r="CA264" s="17">
        <f>VLOOKUP(BZ264,'DATABASE F&amp;B'!$C$3:$F$210,2,0)</f>
        <v>0</v>
      </c>
      <c r="CB264" s="18"/>
      <c r="CC264" s="19">
        <f>VLOOKUP(BZ264,'DATABASE F&amp;B'!$C$3:$F$210,4,0)</f>
        <v>0</v>
      </c>
      <c r="CD264" s="19">
        <f t="shared" si="237"/>
        <v>0</v>
      </c>
    </row>
    <row r="265" spans="1:82" ht="13.5" x14ac:dyDescent="0.25">
      <c r="A265" s="32" t="str">
        <f t="shared" si="218"/>
        <v>--20</v>
      </c>
      <c r="B265" s="22">
        <f t="shared" si="241"/>
        <v>261</v>
      </c>
      <c r="C265" s="22">
        <f t="shared" si="241"/>
        <v>261</v>
      </c>
      <c r="D265" s="34"/>
      <c r="E265" s="35"/>
      <c r="F265" s="35"/>
      <c r="G265" s="52"/>
      <c r="H265" s="36" t="str">
        <f t="shared" si="240"/>
        <v>RJ--261</v>
      </c>
      <c r="I265" s="36" t="str">
        <f t="shared" si="219"/>
        <v>--20</v>
      </c>
      <c r="J265" s="37" t="e">
        <f>VLOOKUP(D265,Laporan!$C$4:$D$34,2,0)</f>
        <v>#N/A</v>
      </c>
      <c r="K265" s="48"/>
      <c r="L265" s="13"/>
      <c r="M265" s="19">
        <f>SUMIF('DATABASE Room'!$B$3:$B$7,L265,'DATABASE Room'!$D$3:$D$7)</f>
        <v>0</v>
      </c>
      <c r="N265" s="13"/>
      <c r="O265" s="21">
        <f t="shared" si="220"/>
        <v>0</v>
      </c>
      <c r="P265" s="38"/>
      <c r="Q265" s="19">
        <f t="shared" si="221"/>
        <v>0</v>
      </c>
      <c r="R265" s="21">
        <f t="shared" si="222"/>
        <v>0</v>
      </c>
      <c r="S265" s="19">
        <f t="shared" si="223"/>
        <v>3</v>
      </c>
      <c r="T265" s="19">
        <f t="shared" si="224"/>
        <v>0</v>
      </c>
      <c r="U265" s="21">
        <f t="shared" si="225"/>
        <v>0</v>
      </c>
      <c r="V265" s="39"/>
      <c r="W265" s="16"/>
      <c r="X265" s="17">
        <f>VLOOKUP(W265,'DATABASE F&amp;B'!$C$3:$F$216,2,0)</f>
        <v>0</v>
      </c>
      <c r="Y265" s="18"/>
      <c r="Z265" s="19">
        <f>VLOOKUP(W265,'DATABASE F&amp;B'!$C$3:$F$216,4,0)</f>
        <v>0</v>
      </c>
      <c r="AA265" s="19">
        <f t="shared" si="226"/>
        <v>0</v>
      </c>
      <c r="AB265" s="16"/>
      <c r="AC265" s="17">
        <f>VLOOKUP(AB265,'DATABASE F&amp;B'!$C$3:$F$216,2,0)</f>
        <v>0</v>
      </c>
      <c r="AD265" s="18"/>
      <c r="AE265" s="19">
        <f>VLOOKUP(AB265,'DATABASE F&amp;B'!$C$3:$F$216,4,0)</f>
        <v>0</v>
      </c>
      <c r="AF265" s="19">
        <f t="shared" si="227"/>
        <v>0</v>
      </c>
      <c r="AG265" s="16"/>
      <c r="AH265" s="17">
        <f>VLOOKUP(AG265,'DATABASE F&amp;B'!$C$3:$F$216,2,0)</f>
        <v>0</v>
      </c>
      <c r="AI265" s="18">
        <v>1</v>
      </c>
      <c r="AJ265" s="19">
        <f>VLOOKUP(AG265,'DATABASE F&amp;B'!$C$3:$F$216,4,0)</f>
        <v>0</v>
      </c>
      <c r="AK265" s="19">
        <f t="shared" si="228"/>
        <v>0</v>
      </c>
      <c r="AL265" s="16"/>
      <c r="AM265" s="17">
        <f>VLOOKUP(AL265,'DATABASE F&amp;B'!$C$3:$F$216,2,0)</f>
        <v>0</v>
      </c>
      <c r="AN265" s="18">
        <v>1</v>
      </c>
      <c r="AO265" s="19">
        <f>VLOOKUP(AL265,'DATABASE F&amp;B'!$C$3:$F$216,4,0)</f>
        <v>0</v>
      </c>
      <c r="AP265" s="19">
        <f t="shared" si="229"/>
        <v>0</v>
      </c>
      <c r="AQ265" s="16"/>
      <c r="AR265" s="17">
        <f>VLOOKUP(AQ265,'DATABASE F&amp;B'!$C$3:$F$216,2,0)</f>
        <v>0</v>
      </c>
      <c r="AS265" s="18">
        <v>1</v>
      </c>
      <c r="AT265" s="19">
        <f>VLOOKUP(AQ265,'DATABASE F&amp;B'!$C$3:$F$216,4,0)</f>
        <v>0</v>
      </c>
      <c r="AU265" s="19">
        <f t="shared" si="230"/>
        <v>0</v>
      </c>
      <c r="AV265" s="16"/>
      <c r="AW265" s="17">
        <f>VLOOKUP(AV265,'DATABASE F&amp;B'!$C$3:$F$216,2,0)</f>
        <v>0</v>
      </c>
      <c r="AX265" s="18"/>
      <c r="AY265" s="19">
        <f>VLOOKUP(AV265,'DATABASE F&amp;B'!$C$3:$F$216,4,0)</f>
        <v>0</v>
      </c>
      <c r="AZ265" s="19">
        <f t="shared" si="231"/>
        <v>0</v>
      </c>
      <c r="BA265" s="16"/>
      <c r="BB265" s="17">
        <f>VLOOKUP(BA265,'DATABASE F&amp;B'!$C$3:$F$216,2,0)</f>
        <v>0</v>
      </c>
      <c r="BC265" s="18"/>
      <c r="BD265" s="19">
        <f>VLOOKUP(BA265,'DATABASE F&amp;B'!$C$3:$F$216,4,0)</f>
        <v>0</v>
      </c>
      <c r="BE265" s="19">
        <f t="shared" si="232"/>
        <v>0</v>
      </c>
      <c r="BF265" s="16"/>
      <c r="BG265" s="17">
        <f>VLOOKUP(BF265,'DATABASE F&amp;B'!$C$3:$F$216,2,0)</f>
        <v>0</v>
      </c>
      <c r="BH265" s="18"/>
      <c r="BI265" s="19">
        <f>VLOOKUP(BF265,'DATABASE F&amp;B'!$C$3:$F$216,4,0)</f>
        <v>0</v>
      </c>
      <c r="BJ265" s="19">
        <f t="shared" si="233"/>
        <v>0</v>
      </c>
      <c r="BK265" s="16"/>
      <c r="BL265" s="17">
        <f>VLOOKUP(BK265,'DATABASE F&amp;B'!$C$3:$F$210,2,0)</f>
        <v>0</v>
      </c>
      <c r="BM265" s="18"/>
      <c r="BN265" s="19">
        <f>VLOOKUP(BK265,'DATABASE F&amp;B'!$C$3:$F$210,4,0)</f>
        <v>0</v>
      </c>
      <c r="BO265" s="19">
        <f t="shared" si="234"/>
        <v>0</v>
      </c>
      <c r="BP265" s="16"/>
      <c r="BQ265" s="17">
        <f>VLOOKUP(BP265,'DATABASE F&amp;B'!$C$3:$F$210,2,0)</f>
        <v>0</v>
      </c>
      <c r="BR265" s="18"/>
      <c r="BS265" s="19">
        <f>VLOOKUP(BP265,'DATABASE F&amp;B'!$C$3:$F$210,4,0)</f>
        <v>0</v>
      </c>
      <c r="BT265" s="19">
        <f t="shared" si="235"/>
        <v>0</v>
      </c>
      <c r="BU265" s="16"/>
      <c r="BV265" s="17">
        <f>VLOOKUP(BU265,'DATABASE F&amp;B'!$C$3:$F$210,2,0)</f>
        <v>0</v>
      </c>
      <c r="BW265" s="18"/>
      <c r="BX265" s="19">
        <f>VLOOKUP(BU265,'DATABASE F&amp;B'!$C$3:$F$210,4,0)</f>
        <v>0</v>
      </c>
      <c r="BY265" s="19">
        <f t="shared" si="236"/>
        <v>0</v>
      </c>
      <c r="BZ265" s="16"/>
      <c r="CA265" s="17">
        <f>VLOOKUP(BZ265,'DATABASE F&amp;B'!$C$3:$F$210,2,0)</f>
        <v>0</v>
      </c>
      <c r="CB265" s="18"/>
      <c r="CC265" s="19">
        <f>VLOOKUP(BZ265,'DATABASE F&amp;B'!$C$3:$F$210,4,0)</f>
        <v>0</v>
      </c>
      <c r="CD265" s="19">
        <f t="shared" si="237"/>
        <v>0</v>
      </c>
    </row>
    <row r="266" spans="1:82" ht="13.5" x14ac:dyDescent="0.25">
      <c r="A266" s="32" t="str">
        <f t="shared" si="218"/>
        <v>--20</v>
      </c>
      <c r="B266" s="22">
        <f t="shared" si="241"/>
        <v>262</v>
      </c>
      <c r="C266" s="22">
        <f t="shared" si="241"/>
        <v>262</v>
      </c>
      <c r="D266" s="34"/>
      <c r="E266" s="35"/>
      <c r="F266" s="35"/>
      <c r="G266" s="52"/>
      <c r="H266" s="36" t="str">
        <f t="shared" si="240"/>
        <v>RJ--262</v>
      </c>
      <c r="I266" s="36" t="str">
        <f t="shared" si="219"/>
        <v>--20</v>
      </c>
      <c r="J266" s="37" t="e">
        <f>VLOOKUP(D266,Laporan!$C$4:$D$34,2,0)</f>
        <v>#N/A</v>
      </c>
      <c r="K266" s="48"/>
      <c r="L266" s="13"/>
      <c r="M266" s="19">
        <f>SUMIF('DATABASE Room'!$B$3:$B$7,L266,'DATABASE Room'!$D$3:$D$7)</f>
        <v>0</v>
      </c>
      <c r="N266" s="13"/>
      <c r="O266" s="21">
        <f t="shared" si="220"/>
        <v>0</v>
      </c>
      <c r="P266" s="38"/>
      <c r="Q266" s="19">
        <f t="shared" si="221"/>
        <v>0</v>
      </c>
      <c r="R266" s="21">
        <f t="shared" si="222"/>
        <v>0</v>
      </c>
      <c r="S266" s="19">
        <f t="shared" si="223"/>
        <v>3</v>
      </c>
      <c r="T266" s="19">
        <f t="shared" si="224"/>
        <v>0</v>
      </c>
      <c r="U266" s="21">
        <f t="shared" si="225"/>
        <v>0</v>
      </c>
      <c r="V266" s="39"/>
      <c r="W266" s="16"/>
      <c r="X266" s="17">
        <f>VLOOKUP(W266,'DATABASE F&amp;B'!$C$3:$F$216,2,0)</f>
        <v>0</v>
      </c>
      <c r="Y266" s="18"/>
      <c r="Z266" s="19">
        <f>VLOOKUP(W266,'DATABASE F&amp;B'!$C$3:$F$216,4,0)</f>
        <v>0</v>
      </c>
      <c r="AA266" s="19">
        <f t="shared" si="226"/>
        <v>0</v>
      </c>
      <c r="AB266" s="16"/>
      <c r="AC266" s="17">
        <f>VLOOKUP(AB266,'DATABASE F&amp;B'!$C$3:$F$216,2,0)</f>
        <v>0</v>
      </c>
      <c r="AD266" s="18"/>
      <c r="AE266" s="19">
        <f>VLOOKUP(AB266,'DATABASE F&amp;B'!$C$3:$F$216,4,0)</f>
        <v>0</v>
      </c>
      <c r="AF266" s="19">
        <f t="shared" si="227"/>
        <v>0</v>
      </c>
      <c r="AG266" s="16"/>
      <c r="AH266" s="17">
        <f>VLOOKUP(AG266,'DATABASE F&amp;B'!$C$3:$F$216,2,0)</f>
        <v>0</v>
      </c>
      <c r="AI266" s="18">
        <v>1</v>
      </c>
      <c r="AJ266" s="19">
        <f>VLOOKUP(AG266,'DATABASE F&amp;B'!$C$3:$F$216,4,0)</f>
        <v>0</v>
      </c>
      <c r="AK266" s="19">
        <f t="shared" si="228"/>
        <v>0</v>
      </c>
      <c r="AL266" s="16"/>
      <c r="AM266" s="17">
        <f>VLOOKUP(AL266,'DATABASE F&amp;B'!$C$3:$F$216,2,0)</f>
        <v>0</v>
      </c>
      <c r="AN266" s="18">
        <v>1</v>
      </c>
      <c r="AO266" s="19">
        <f>VLOOKUP(AL266,'DATABASE F&amp;B'!$C$3:$F$216,4,0)</f>
        <v>0</v>
      </c>
      <c r="AP266" s="19">
        <f t="shared" si="229"/>
        <v>0</v>
      </c>
      <c r="AQ266" s="16"/>
      <c r="AR266" s="17">
        <f>VLOOKUP(AQ266,'DATABASE F&amp;B'!$C$3:$F$216,2,0)</f>
        <v>0</v>
      </c>
      <c r="AS266" s="18">
        <v>1</v>
      </c>
      <c r="AT266" s="19">
        <f>VLOOKUP(AQ266,'DATABASE F&amp;B'!$C$3:$F$216,4,0)</f>
        <v>0</v>
      </c>
      <c r="AU266" s="19">
        <f t="shared" si="230"/>
        <v>0</v>
      </c>
      <c r="AV266" s="16"/>
      <c r="AW266" s="17">
        <f>VLOOKUP(AV266,'DATABASE F&amp;B'!$C$3:$F$216,2,0)</f>
        <v>0</v>
      </c>
      <c r="AX266" s="18"/>
      <c r="AY266" s="19">
        <f>VLOOKUP(AV266,'DATABASE F&amp;B'!$C$3:$F$216,4,0)</f>
        <v>0</v>
      </c>
      <c r="AZ266" s="19">
        <f t="shared" si="231"/>
        <v>0</v>
      </c>
      <c r="BA266" s="16"/>
      <c r="BB266" s="17">
        <f>VLOOKUP(BA266,'DATABASE F&amp;B'!$C$3:$F$216,2,0)</f>
        <v>0</v>
      </c>
      <c r="BC266" s="18"/>
      <c r="BD266" s="19">
        <f>VLOOKUP(BA266,'DATABASE F&amp;B'!$C$3:$F$216,4,0)</f>
        <v>0</v>
      </c>
      <c r="BE266" s="19">
        <f t="shared" si="232"/>
        <v>0</v>
      </c>
      <c r="BF266" s="16"/>
      <c r="BG266" s="17">
        <f>VLOOKUP(BF266,'DATABASE F&amp;B'!$C$3:$F$216,2,0)</f>
        <v>0</v>
      </c>
      <c r="BH266" s="18"/>
      <c r="BI266" s="19">
        <f>VLOOKUP(BF266,'DATABASE F&amp;B'!$C$3:$F$216,4,0)</f>
        <v>0</v>
      </c>
      <c r="BJ266" s="19">
        <f t="shared" si="233"/>
        <v>0</v>
      </c>
      <c r="BK266" s="16"/>
      <c r="BL266" s="17">
        <f>VLOOKUP(BK266,'DATABASE F&amp;B'!$C$3:$F$210,2,0)</f>
        <v>0</v>
      </c>
      <c r="BM266" s="18"/>
      <c r="BN266" s="19">
        <f>VLOOKUP(BK266,'DATABASE F&amp;B'!$C$3:$F$210,4,0)</f>
        <v>0</v>
      </c>
      <c r="BO266" s="19">
        <f t="shared" si="234"/>
        <v>0</v>
      </c>
      <c r="BP266" s="16"/>
      <c r="BQ266" s="17">
        <f>VLOOKUP(BP266,'DATABASE F&amp;B'!$C$3:$F$210,2,0)</f>
        <v>0</v>
      </c>
      <c r="BR266" s="18"/>
      <c r="BS266" s="19">
        <f>VLOOKUP(BP266,'DATABASE F&amp;B'!$C$3:$F$210,4,0)</f>
        <v>0</v>
      </c>
      <c r="BT266" s="19">
        <f t="shared" si="235"/>
        <v>0</v>
      </c>
      <c r="BU266" s="16"/>
      <c r="BV266" s="17">
        <f>VLOOKUP(BU266,'DATABASE F&amp;B'!$C$3:$F$210,2,0)</f>
        <v>0</v>
      </c>
      <c r="BW266" s="18"/>
      <c r="BX266" s="19">
        <f>VLOOKUP(BU266,'DATABASE F&amp;B'!$C$3:$F$210,4,0)</f>
        <v>0</v>
      </c>
      <c r="BY266" s="19">
        <f t="shared" si="236"/>
        <v>0</v>
      </c>
      <c r="BZ266" s="16"/>
      <c r="CA266" s="17">
        <f>VLOOKUP(BZ266,'DATABASE F&amp;B'!$C$3:$F$210,2,0)</f>
        <v>0</v>
      </c>
      <c r="CB266" s="18"/>
      <c r="CC266" s="19">
        <f>VLOOKUP(BZ266,'DATABASE F&amp;B'!$C$3:$F$210,4,0)</f>
        <v>0</v>
      </c>
      <c r="CD266" s="19">
        <f t="shared" si="237"/>
        <v>0</v>
      </c>
    </row>
    <row r="267" spans="1:82" ht="13.5" x14ac:dyDescent="0.25">
      <c r="A267" s="32" t="str">
        <f t="shared" si="218"/>
        <v>--20</v>
      </c>
      <c r="B267" s="22">
        <f t="shared" si="241"/>
        <v>263</v>
      </c>
      <c r="C267" s="22">
        <f t="shared" si="241"/>
        <v>263</v>
      </c>
      <c r="D267" s="34"/>
      <c r="E267" s="35"/>
      <c r="F267" s="35"/>
      <c r="G267" s="52"/>
      <c r="H267" s="36" t="str">
        <f t="shared" si="240"/>
        <v>RJ--263</v>
      </c>
      <c r="I267" s="36" t="str">
        <f t="shared" si="219"/>
        <v>--20</v>
      </c>
      <c r="J267" s="37" t="e">
        <f>VLOOKUP(D267,Laporan!$C$4:$D$34,2,0)</f>
        <v>#N/A</v>
      </c>
      <c r="K267" s="48"/>
      <c r="L267" s="13"/>
      <c r="M267" s="19">
        <f>SUMIF('DATABASE Room'!$B$3:$B$7,L267,'DATABASE Room'!$D$3:$D$7)</f>
        <v>0</v>
      </c>
      <c r="N267" s="13"/>
      <c r="O267" s="21">
        <f t="shared" si="220"/>
        <v>0</v>
      </c>
      <c r="P267" s="38"/>
      <c r="Q267" s="19">
        <f t="shared" si="221"/>
        <v>0</v>
      </c>
      <c r="R267" s="21">
        <f t="shared" si="222"/>
        <v>0</v>
      </c>
      <c r="S267" s="19">
        <f t="shared" si="223"/>
        <v>3</v>
      </c>
      <c r="T267" s="19">
        <f t="shared" si="224"/>
        <v>0</v>
      </c>
      <c r="U267" s="21">
        <f t="shared" si="225"/>
        <v>0</v>
      </c>
      <c r="V267" s="39"/>
      <c r="W267" s="16"/>
      <c r="X267" s="17">
        <f>VLOOKUP(W267,'DATABASE F&amp;B'!$C$3:$F$216,2,0)</f>
        <v>0</v>
      </c>
      <c r="Y267" s="18"/>
      <c r="Z267" s="19">
        <f>VLOOKUP(W267,'DATABASE F&amp;B'!$C$3:$F$216,4,0)</f>
        <v>0</v>
      </c>
      <c r="AA267" s="19">
        <f t="shared" si="226"/>
        <v>0</v>
      </c>
      <c r="AB267" s="16"/>
      <c r="AC267" s="17">
        <f>VLOOKUP(AB267,'DATABASE F&amp;B'!$C$3:$F$216,2,0)</f>
        <v>0</v>
      </c>
      <c r="AD267" s="18"/>
      <c r="AE267" s="19">
        <f>VLOOKUP(AB267,'DATABASE F&amp;B'!$C$3:$F$216,4,0)</f>
        <v>0</v>
      </c>
      <c r="AF267" s="19">
        <f t="shared" si="227"/>
        <v>0</v>
      </c>
      <c r="AG267" s="16"/>
      <c r="AH267" s="17">
        <f>VLOOKUP(AG267,'DATABASE F&amp;B'!$C$3:$F$216,2,0)</f>
        <v>0</v>
      </c>
      <c r="AI267" s="18">
        <v>1</v>
      </c>
      <c r="AJ267" s="19">
        <f>VLOOKUP(AG267,'DATABASE F&amp;B'!$C$3:$F$216,4,0)</f>
        <v>0</v>
      </c>
      <c r="AK267" s="19">
        <f t="shared" si="228"/>
        <v>0</v>
      </c>
      <c r="AL267" s="16"/>
      <c r="AM267" s="17">
        <f>VLOOKUP(AL267,'DATABASE F&amp;B'!$C$3:$F$216,2,0)</f>
        <v>0</v>
      </c>
      <c r="AN267" s="18">
        <v>1</v>
      </c>
      <c r="AO267" s="19">
        <f>VLOOKUP(AL267,'DATABASE F&amp;B'!$C$3:$F$216,4,0)</f>
        <v>0</v>
      </c>
      <c r="AP267" s="19">
        <f t="shared" si="229"/>
        <v>0</v>
      </c>
      <c r="AQ267" s="16"/>
      <c r="AR267" s="17">
        <f>VLOOKUP(AQ267,'DATABASE F&amp;B'!$C$3:$F$216,2,0)</f>
        <v>0</v>
      </c>
      <c r="AS267" s="18">
        <v>1</v>
      </c>
      <c r="AT267" s="19">
        <f>VLOOKUP(AQ267,'DATABASE F&amp;B'!$C$3:$F$216,4,0)</f>
        <v>0</v>
      </c>
      <c r="AU267" s="19">
        <f t="shared" si="230"/>
        <v>0</v>
      </c>
      <c r="AV267" s="16"/>
      <c r="AW267" s="17">
        <f>VLOOKUP(AV267,'DATABASE F&amp;B'!$C$3:$F$216,2,0)</f>
        <v>0</v>
      </c>
      <c r="AX267" s="18"/>
      <c r="AY267" s="19">
        <f>VLOOKUP(AV267,'DATABASE F&amp;B'!$C$3:$F$216,4,0)</f>
        <v>0</v>
      </c>
      <c r="AZ267" s="19">
        <f t="shared" si="231"/>
        <v>0</v>
      </c>
      <c r="BA267" s="16"/>
      <c r="BB267" s="17">
        <f>VLOOKUP(BA267,'DATABASE F&amp;B'!$C$3:$F$216,2,0)</f>
        <v>0</v>
      </c>
      <c r="BC267" s="18"/>
      <c r="BD267" s="19">
        <f>VLOOKUP(BA267,'DATABASE F&amp;B'!$C$3:$F$216,4,0)</f>
        <v>0</v>
      </c>
      <c r="BE267" s="19">
        <f t="shared" si="232"/>
        <v>0</v>
      </c>
      <c r="BF267" s="16"/>
      <c r="BG267" s="17">
        <f>VLOOKUP(BF267,'DATABASE F&amp;B'!$C$3:$F$216,2,0)</f>
        <v>0</v>
      </c>
      <c r="BH267" s="18"/>
      <c r="BI267" s="19">
        <f>VLOOKUP(BF267,'DATABASE F&amp;B'!$C$3:$F$216,4,0)</f>
        <v>0</v>
      </c>
      <c r="BJ267" s="19">
        <f t="shared" si="233"/>
        <v>0</v>
      </c>
      <c r="BK267" s="16"/>
      <c r="BL267" s="17">
        <f>VLOOKUP(BK267,'DATABASE F&amp;B'!$C$3:$F$210,2,0)</f>
        <v>0</v>
      </c>
      <c r="BM267" s="18"/>
      <c r="BN267" s="19">
        <f>VLOOKUP(BK267,'DATABASE F&amp;B'!$C$3:$F$210,4,0)</f>
        <v>0</v>
      </c>
      <c r="BO267" s="19">
        <f t="shared" si="234"/>
        <v>0</v>
      </c>
      <c r="BP267" s="16"/>
      <c r="BQ267" s="17">
        <f>VLOOKUP(BP267,'DATABASE F&amp;B'!$C$3:$F$210,2,0)</f>
        <v>0</v>
      </c>
      <c r="BR267" s="18"/>
      <c r="BS267" s="19">
        <f>VLOOKUP(BP267,'DATABASE F&amp;B'!$C$3:$F$210,4,0)</f>
        <v>0</v>
      </c>
      <c r="BT267" s="19">
        <f t="shared" si="235"/>
        <v>0</v>
      </c>
      <c r="BU267" s="16"/>
      <c r="BV267" s="17">
        <f>VLOOKUP(BU267,'DATABASE F&amp;B'!$C$3:$F$210,2,0)</f>
        <v>0</v>
      </c>
      <c r="BW267" s="18"/>
      <c r="BX267" s="19">
        <f>VLOOKUP(BU267,'DATABASE F&amp;B'!$C$3:$F$210,4,0)</f>
        <v>0</v>
      </c>
      <c r="BY267" s="19">
        <f t="shared" si="236"/>
        <v>0</v>
      </c>
      <c r="BZ267" s="16"/>
      <c r="CA267" s="17">
        <f>VLOOKUP(BZ267,'DATABASE F&amp;B'!$C$3:$F$210,2,0)</f>
        <v>0</v>
      </c>
      <c r="CB267" s="18"/>
      <c r="CC267" s="19">
        <f>VLOOKUP(BZ267,'DATABASE F&amp;B'!$C$3:$F$210,4,0)</f>
        <v>0</v>
      </c>
      <c r="CD267" s="19">
        <f t="shared" si="237"/>
        <v>0</v>
      </c>
    </row>
    <row r="268" spans="1:82" ht="13.5" x14ac:dyDescent="0.25">
      <c r="A268" s="32" t="str">
        <f t="shared" si="218"/>
        <v>--20</v>
      </c>
      <c r="B268" s="22">
        <f t="shared" si="241"/>
        <v>264</v>
      </c>
      <c r="C268" s="22">
        <f t="shared" si="241"/>
        <v>264</v>
      </c>
      <c r="D268" s="34"/>
      <c r="E268" s="35"/>
      <c r="F268" s="35"/>
      <c r="G268" s="52"/>
      <c r="H268" s="36" t="str">
        <f t="shared" si="240"/>
        <v>RJ--264</v>
      </c>
      <c r="I268" s="36" t="str">
        <f t="shared" si="219"/>
        <v>--20</v>
      </c>
      <c r="J268" s="37" t="e">
        <f>VLOOKUP(D268,Laporan!$C$4:$D$34,2,0)</f>
        <v>#N/A</v>
      </c>
      <c r="K268" s="48"/>
      <c r="L268" s="13"/>
      <c r="M268" s="19">
        <f>SUMIF('DATABASE Room'!$B$3:$B$7,L268,'DATABASE Room'!$D$3:$D$7)</f>
        <v>0</v>
      </c>
      <c r="N268" s="13"/>
      <c r="O268" s="21">
        <f t="shared" si="220"/>
        <v>0</v>
      </c>
      <c r="P268" s="38"/>
      <c r="Q268" s="19">
        <f t="shared" si="221"/>
        <v>0</v>
      </c>
      <c r="R268" s="21">
        <f t="shared" si="222"/>
        <v>0</v>
      </c>
      <c r="S268" s="19">
        <f t="shared" si="223"/>
        <v>3</v>
      </c>
      <c r="T268" s="19">
        <f t="shared" si="224"/>
        <v>0</v>
      </c>
      <c r="U268" s="21">
        <f t="shared" si="225"/>
        <v>0</v>
      </c>
      <c r="V268" s="39"/>
      <c r="W268" s="16"/>
      <c r="X268" s="17">
        <f>VLOOKUP(W268,'DATABASE F&amp;B'!$C$3:$F$216,2,0)</f>
        <v>0</v>
      </c>
      <c r="Y268" s="18"/>
      <c r="Z268" s="19">
        <f>VLOOKUP(W268,'DATABASE F&amp;B'!$C$3:$F$216,4,0)</f>
        <v>0</v>
      </c>
      <c r="AA268" s="19">
        <f t="shared" si="226"/>
        <v>0</v>
      </c>
      <c r="AB268" s="16"/>
      <c r="AC268" s="17">
        <f>VLOOKUP(AB268,'DATABASE F&amp;B'!$C$3:$F$216,2,0)</f>
        <v>0</v>
      </c>
      <c r="AD268" s="18"/>
      <c r="AE268" s="19">
        <f>VLOOKUP(AB268,'DATABASE F&amp;B'!$C$3:$F$216,4,0)</f>
        <v>0</v>
      </c>
      <c r="AF268" s="19">
        <f t="shared" si="227"/>
        <v>0</v>
      </c>
      <c r="AG268" s="16"/>
      <c r="AH268" s="17">
        <f>VLOOKUP(AG268,'DATABASE F&amp;B'!$C$3:$F$216,2,0)</f>
        <v>0</v>
      </c>
      <c r="AI268" s="18">
        <v>1</v>
      </c>
      <c r="AJ268" s="19">
        <f>VLOOKUP(AG268,'DATABASE F&amp;B'!$C$3:$F$216,4,0)</f>
        <v>0</v>
      </c>
      <c r="AK268" s="19">
        <f t="shared" si="228"/>
        <v>0</v>
      </c>
      <c r="AL268" s="16"/>
      <c r="AM268" s="17">
        <f>VLOOKUP(AL268,'DATABASE F&amp;B'!$C$3:$F$216,2,0)</f>
        <v>0</v>
      </c>
      <c r="AN268" s="18">
        <v>1</v>
      </c>
      <c r="AO268" s="19">
        <f>VLOOKUP(AL268,'DATABASE F&amp;B'!$C$3:$F$216,4,0)</f>
        <v>0</v>
      </c>
      <c r="AP268" s="19">
        <f t="shared" si="229"/>
        <v>0</v>
      </c>
      <c r="AQ268" s="16"/>
      <c r="AR268" s="17">
        <f>VLOOKUP(AQ268,'DATABASE F&amp;B'!$C$3:$F$216,2,0)</f>
        <v>0</v>
      </c>
      <c r="AS268" s="18">
        <v>1</v>
      </c>
      <c r="AT268" s="19">
        <f>VLOOKUP(AQ268,'DATABASE F&amp;B'!$C$3:$F$216,4,0)</f>
        <v>0</v>
      </c>
      <c r="AU268" s="19">
        <f t="shared" si="230"/>
        <v>0</v>
      </c>
      <c r="AV268" s="16"/>
      <c r="AW268" s="17">
        <f>VLOOKUP(AV268,'DATABASE F&amp;B'!$C$3:$F$216,2,0)</f>
        <v>0</v>
      </c>
      <c r="AX268" s="18"/>
      <c r="AY268" s="19">
        <f>VLOOKUP(AV268,'DATABASE F&amp;B'!$C$3:$F$216,4,0)</f>
        <v>0</v>
      </c>
      <c r="AZ268" s="19">
        <f t="shared" si="231"/>
        <v>0</v>
      </c>
      <c r="BA268" s="16"/>
      <c r="BB268" s="17">
        <f>VLOOKUP(BA268,'DATABASE F&amp;B'!$C$3:$F$216,2,0)</f>
        <v>0</v>
      </c>
      <c r="BC268" s="18"/>
      <c r="BD268" s="19">
        <f>VLOOKUP(BA268,'DATABASE F&amp;B'!$C$3:$F$216,4,0)</f>
        <v>0</v>
      </c>
      <c r="BE268" s="19">
        <f t="shared" si="232"/>
        <v>0</v>
      </c>
      <c r="BF268" s="16"/>
      <c r="BG268" s="17">
        <f>VLOOKUP(BF268,'DATABASE F&amp;B'!$C$3:$F$216,2,0)</f>
        <v>0</v>
      </c>
      <c r="BH268" s="18"/>
      <c r="BI268" s="19">
        <f>VLOOKUP(BF268,'DATABASE F&amp;B'!$C$3:$F$216,4,0)</f>
        <v>0</v>
      </c>
      <c r="BJ268" s="19">
        <f t="shared" si="233"/>
        <v>0</v>
      </c>
      <c r="BK268" s="16"/>
      <c r="BL268" s="17">
        <f>VLOOKUP(BK268,'DATABASE F&amp;B'!$C$3:$F$210,2,0)</f>
        <v>0</v>
      </c>
      <c r="BM268" s="18"/>
      <c r="BN268" s="19">
        <f>VLOOKUP(BK268,'DATABASE F&amp;B'!$C$3:$F$210,4,0)</f>
        <v>0</v>
      </c>
      <c r="BO268" s="19">
        <f t="shared" si="234"/>
        <v>0</v>
      </c>
      <c r="BP268" s="16"/>
      <c r="BQ268" s="17">
        <f>VLOOKUP(BP268,'DATABASE F&amp;B'!$C$3:$F$210,2,0)</f>
        <v>0</v>
      </c>
      <c r="BR268" s="18"/>
      <c r="BS268" s="19">
        <f>VLOOKUP(BP268,'DATABASE F&amp;B'!$C$3:$F$210,4,0)</f>
        <v>0</v>
      </c>
      <c r="BT268" s="19">
        <f t="shared" si="235"/>
        <v>0</v>
      </c>
      <c r="BU268" s="16"/>
      <c r="BV268" s="17">
        <f>VLOOKUP(BU268,'DATABASE F&amp;B'!$C$3:$F$210,2,0)</f>
        <v>0</v>
      </c>
      <c r="BW268" s="18"/>
      <c r="BX268" s="19">
        <f>VLOOKUP(BU268,'DATABASE F&amp;B'!$C$3:$F$210,4,0)</f>
        <v>0</v>
      </c>
      <c r="BY268" s="19">
        <f t="shared" si="236"/>
        <v>0</v>
      </c>
      <c r="BZ268" s="16"/>
      <c r="CA268" s="17">
        <f>VLOOKUP(BZ268,'DATABASE F&amp;B'!$C$3:$F$210,2,0)</f>
        <v>0</v>
      </c>
      <c r="CB268" s="18"/>
      <c r="CC268" s="19">
        <f>VLOOKUP(BZ268,'DATABASE F&amp;B'!$C$3:$F$210,4,0)</f>
        <v>0</v>
      </c>
      <c r="CD268" s="19">
        <f t="shared" si="237"/>
        <v>0</v>
      </c>
    </row>
    <row r="269" spans="1:82" ht="13.5" x14ac:dyDescent="0.25">
      <c r="A269" s="32" t="str">
        <f t="shared" si="218"/>
        <v>--20</v>
      </c>
      <c r="B269" s="22">
        <f t="shared" si="241"/>
        <v>265</v>
      </c>
      <c r="C269" s="22">
        <f t="shared" si="241"/>
        <v>265</v>
      </c>
      <c r="D269" s="34"/>
      <c r="E269" s="35"/>
      <c r="F269" s="35"/>
      <c r="G269" s="52"/>
      <c r="H269" s="36" t="str">
        <f t="shared" si="240"/>
        <v>RJ--265</v>
      </c>
      <c r="I269" s="36" t="str">
        <f t="shared" si="219"/>
        <v>--20</v>
      </c>
      <c r="J269" s="37" t="e">
        <f>VLOOKUP(D269,Laporan!$C$4:$D$34,2,0)</f>
        <v>#N/A</v>
      </c>
      <c r="K269" s="48"/>
      <c r="L269" s="13"/>
      <c r="M269" s="19">
        <f>SUMIF('DATABASE Room'!$B$3:$B$7,L269,'DATABASE Room'!$D$3:$D$7)</f>
        <v>0</v>
      </c>
      <c r="N269" s="13"/>
      <c r="O269" s="21">
        <f t="shared" si="220"/>
        <v>0</v>
      </c>
      <c r="P269" s="38"/>
      <c r="Q269" s="19">
        <f t="shared" si="221"/>
        <v>0</v>
      </c>
      <c r="R269" s="21">
        <f t="shared" si="222"/>
        <v>0</v>
      </c>
      <c r="S269" s="19">
        <f t="shared" si="223"/>
        <v>3</v>
      </c>
      <c r="T269" s="19">
        <f t="shared" si="224"/>
        <v>0</v>
      </c>
      <c r="U269" s="21">
        <f t="shared" si="225"/>
        <v>0</v>
      </c>
      <c r="V269" s="39"/>
      <c r="W269" s="16"/>
      <c r="X269" s="17">
        <f>VLOOKUP(W269,'DATABASE F&amp;B'!$C$3:$F$216,2,0)</f>
        <v>0</v>
      </c>
      <c r="Y269" s="18"/>
      <c r="Z269" s="19">
        <f>VLOOKUP(W269,'DATABASE F&amp;B'!$C$3:$F$216,4,0)</f>
        <v>0</v>
      </c>
      <c r="AA269" s="19">
        <f t="shared" si="226"/>
        <v>0</v>
      </c>
      <c r="AB269" s="16"/>
      <c r="AC269" s="17">
        <f>VLOOKUP(AB269,'DATABASE F&amp;B'!$C$3:$F$216,2,0)</f>
        <v>0</v>
      </c>
      <c r="AD269" s="18"/>
      <c r="AE269" s="19">
        <f>VLOOKUP(AB269,'DATABASE F&amp;B'!$C$3:$F$216,4,0)</f>
        <v>0</v>
      </c>
      <c r="AF269" s="19">
        <f t="shared" si="227"/>
        <v>0</v>
      </c>
      <c r="AG269" s="16"/>
      <c r="AH269" s="17">
        <f>VLOOKUP(AG269,'DATABASE F&amp;B'!$C$3:$F$216,2,0)</f>
        <v>0</v>
      </c>
      <c r="AI269" s="18">
        <v>1</v>
      </c>
      <c r="AJ269" s="19">
        <f>VLOOKUP(AG269,'DATABASE F&amp;B'!$C$3:$F$216,4,0)</f>
        <v>0</v>
      </c>
      <c r="AK269" s="19">
        <f t="shared" si="228"/>
        <v>0</v>
      </c>
      <c r="AL269" s="16"/>
      <c r="AM269" s="17">
        <f>VLOOKUP(AL269,'DATABASE F&amp;B'!$C$3:$F$216,2,0)</f>
        <v>0</v>
      </c>
      <c r="AN269" s="18">
        <v>1</v>
      </c>
      <c r="AO269" s="19">
        <f>VLOOKUP(AL269,'DATABASE F&amp;B'!$C$3:$F$216,4,0)</f>
        <v>0</v>
      </c>
      <c r="AP269" s="19">
        <f t="shared" si="229"/>
        <v>0</v>
      </c>
      <c r="AQ269" s="16"/>
      <c r="AR269" s="17">
        <f>VLOOKUP(AQ269,'DATABASE F&amp;B'!$C$3:$F$216,2,0)</f>
        <v>0</v>
      </c>
      <c r="AS269" s="18">
        <v>1</v>
      </c>
      <c r="AT269" s="19">
        <f>VLOOKUP(AQ269,'DATABASE F&amp;B'!$C$3:$F$216,4,0)</f>
        <v>0</v>
      </c>
      <c r="AU269" s="19">
        <f t="shared" si="230"/>
        <v>0</v>
      </c>
      <c r="AV269" s="16"/>
      <c r="AW269" s="17">
        <f>VLOOKUP(AV269,'DATABASE F&amp;B'!$C$3:$F$216,2,0)</f>
        <v>0</v>
      </c>
      <c r="AX269" s="18"/>
      <c r="AY269" s="19">
        <f>VLOOKUP(AV269,'DATABASE F&amp;B'!$C$3:$F$216,4,0)</f>
        <v>0</v>
      </c>
      <c r="AZ269" s="19">
        <f t="shared" si="231"/>
        <v>0</v>
      </c>
      <c r="BA269" s="16"/>
      <c r="BB269" s="17">
        <f>VLOOKUP(BA269,'DATABASE F&amp;B'!$C$3:$F$216,2,0)</f>
        <v>0</v>
      </c>
      <c r="BC269" s="18"/>
      <c r="BD269" s="19">
        <f>VLOOKUP(BA269,'DATABASE F&amp;B'!$C$3:$F$216,4,0)</f>
        <v>0</v>
      </c>
      <c r="BE269" s="19">
        <f t="shared" si="232"/>
        <v>0</v>
      </c>
      <c r="BF269" s="16"/>
      <c r="BG269" s="17">
        <f>VLOOKUP(BF269,'DATABASE F&amp;B'!$C$3:$F$216,2,0)</f>
        <v>0</v>
      </c>
      <c r="BH269" s="18"/>
      <c r="BI269" s="19">
        <f>VLOOKUP(BF269,'DATABASE F&amp;B'!$C$3:$F$216,4,0)</f>
        <v>0</v>
      </c>
      <c r="BJ269" s="19">
        <f t="shared" si="233"/>
        <v>0</v>
      </c>
      <c r="BK269" s="16"/>
      <c r="BL269" s="17">
        <f>VLOOKUP(BK269,'DATABASE F&amp;B'!$C$3:$F$210,2,0)</f>
        <v>0</v>
      </c>
      <c r="BM269" s="18"/>
      <c r="BN269" s="19">
        <f>VLOOKUP(BK269,'DATABASE F&amp;B'!$C$3:$F$210,4,0)</f>
        <v>0</v>
      </c>
      <c r="BO269" s="19">
        <f t="shared" si="234"/>
        <v>0</v>
      </c>
      <c r="BP269" s="16"/>
      <c r="BQ269" s="17">
        <f>VLOOKUP(BP269,'DATABASE F&amp;B'!$C$3:$F$210,2,0)</f>
        <v>0</v>
      </c>
      <c r="BR269" s="18"/>
      <c r="BS269" s="19">
        <f>VLOOKUP(BP269,'DATABASE F&amp;B'!$C$3:$F$210,4,0)</f>
        <v>0</v>
      </c>
      <c r="BT269" s="19">
        <f t="shared" si="235"/>
        <v>0</v>
      </c>
      <c r="BU269" s="16"/>
      <c r="BV269" s="17">
        <f>VLOOKUP(BU269,'DATABASE F&amp;B'!$C$3:$F$210,2,0)</f>
        <v>0</v>
      </c>
      <c r="BW269" s="18"/>
      <c r="BX269" s="19">
        <f>VLOOKUP(BU269,'DATABASE F&amp;B'!$C$3:$F$210,4,0)</f>
        <v>0</v>
      </c>
      <c r="BY269" s="19">
        <f t="shared" si="236"/>
        <v>0</v>
      </c>
      <c r="BZ269" s="16"/>
      <c r="CA269" s="17">
        <f>VLOOKUP(BZ269,'DATABASE F&amp;B'!$C$3:$F$210,2,0)</f>
        <v>0</v>
      </c>
      <c r="CB269" s="18"/>
      <c r="CC269" s="19">
        <f>VLOOKUP(BZ269,'DATABASE F&amp;B'!$C$3:$F$210,4,0)</f>
        <v>0</v>
      </c>
      <c r="CD269" s="19">
        <f t="shared" si="237"/>
        <v>0</v>
      </c>
    </row>
    <row r="270" spans="1:82" ht="13.5" x14ac:dyDescent="0.25">
      <c r="A270" s="32" t="str">
        <f t="shared" si="218"/>
        <v>--20</v>
      </c>
      <c r="B270" s="22">
        <f t="shared" si="241"/>
        <v>266</v>
      </c>
      <c r="C270" s="22">
        <f t="shared" si="241"/>
        <v>266</v>
      </c>
      <c r="D270" s="34"/>
      <c r="E270" s="35"/>
      <c r="F270" s="35"/>
      <c r="G270" s="52"/>
      <c r="H270" s="36" t="str">
        <f t="shared" si="240"/>
        <v>RJ--266</v>
      </c>
      <c r="I270" s="36" t="str">
        <f t="shared" si="219"/>
        <v>--20</v>
      </c>
      <c r="J270" s="37" t="e">
        <f>VLOOKUP(D270,Laporan!$C$4:$D$34,2,0)</f>
        <v>#N/A</v>
      </c>
      <c r="K270" s="48"/>
      <c r="L270" s="13"/>
      <c r="M270" s="19">
        <f>SUMIF('DATABASE Room'!$B$3:$B$7,L270,'DATABASE Room'!$D$3:$D$7)</f>
        <v>0</v>
      </c>
      <c r="N270" s="13"/>
      <c r="O270" s="21">
        <f t="shared" si="220"/>
        <v>0</v>
      </c>
      <c r="P270" s="38"/>
      <c r="Q270" s="19">
        <f t="shared" si="221"/>
        <v>0</v>
      </c>
      <c r="R270" s="21">
        <f t="shared" si="222"/>
        <v>0</v>
      </c>
      <c r="S270" s="19">
        <f t="shared" si="223"/>
        <v>3</v>
      </c>
      <c r="T270" s="19">
        <f t="shared" si="224"/>
        <v>0</v>
      </c>
      <c r="U270" s="21">
        <f t="shared" si="225"/>
        <v>0</v>
      </c>
      <c r="V270" s="39"/>
      <c r="W270" s="16"/>
      <c r="X270" s="17">
        <f>VLOOKUP(W270,'DATABASE F&amp;B'!$C$3:$F$216,2,0)</f>
        <v>0</v>
      </c>
      <c r="Y270" s="18"/>
      <c r="Z270" s="19">
        <f>VLOOKUP(W270,'DATABASE F&amp;B'!$C$3:$F$216,4,0)</f>
        <v>0</v>
      </c>
      <c r="AA270" s="19">
        <f t="shared" si="226"/>
        <v>0</v>
      </c>
      <c r="AB270" s="16"/>
      <c r="AC270" s="17">
        <f>VLOOKUP(AB270,'DATABASE F&amp;B'!$C$3:$F$216,2,0)</f>
        <v>0</v>
      </c>
      <c r="AD270" s="18"/>
      <c r="AE270" s="19">
        <f>VLOOKUP(AB270,'DATABASE F&amp;B'!$C$3:$F$216,4,0)</f>
        <v>0</v>
      </c>
      <c r="AF270" s="19">
        <f t="shared" si="227"/>
        <v>0</v>
      </c>
      <c r="AG270" s="16"/>
      <c r="AH270" s="17">
        <f>VLOOKUP(AG270,'DATABASE F&amp;B'!$C$3:$F$216,2,0)</f>
        <v>0</v>
      </c>
      <c r="AI270" s="18">
        <v>1</v>
      </c>
      <c r="AJ270" s="19">
        <f>VLOOKUP(AG270,'DATABASE F&amp;B'!$C$3:$F$216,4,0)</f>
        <v>0</v>
      </c>
      <c r="AK270" s="19">
        <f t="shared" si="228"/>
        <v>0</v>
      </c>
      <c r="AL270" s="16"/>
      <c r="AM270" s="17">
        <f>VLOOKUP(AL270,'DATABASE F&amp;B'!$C$3:$F$216,2,0)</f>
        <v>0</v>
      </c>
      <c r="AN270" s="18">
        <v>1</v>
      </c>
      <c r="AO270" s="19">
        <f>VLOOKUP(AL270,'DATABASE F&amp;B'!$C$3:$F$216,4,0)</f>
        <v>0</v>
      </c>
      <c r="AP270" s="19">
        <f t="shared" si="229"/>
        <v>0</v>
      </c>
      <c r="AQ270" s="16"/>
      <c r="AR270" s="17">
        <f>VLOOKUP(AQ270,'DATABASE F&amp;B'!$C$3:$F$216,2,0)</f>
        <v>0</v>
      </c>
      <c r="AS270" s="18">
        <v>1</v>
      </c>
      <c r="AT270" s="19">
        <f>VLOOKUP(AQ270,'DATABASE F&amp;B'!$C$3:$F$216,4,0)</f>
        <v>0</v>
      </c>
      <c r="AU270" s="19">
        <f t="shared" si="230"/>
        <v>0</v>
      </c>
      <c r="AV270" s="16"/>
      <c r="AW270" s="17">
        <f>VLOOKUP(AV270,'DATABASE F&amp;B'!$C$3:$F$216,2,0)</f>
        <v>0</v>
      </c>
      <c r="AX270" s="18"/>
      <c r="AY270" s="19">
        <f>VLOOKUP(AV270,'DATABASE F&amp;B'!$C$3:$F$216,4,0)</f>
        <v>0</v>
      </c>
      <c r="AZ270" s="19">
        <f t="shared" si="231"/>
        <v>0</v>
      </c>
      <c r="BA270" s="16"/>
      <c r="BB270" s="17">
        <f>VLOOKUP(BA270,'DATABASE F&amp;B'!$C$3:$F$216,2,0)</f>
        <v>0</v>
      </c>
      <c r="BC270" s="18"/>
      <c r="BD270" s="19">
        <f>VLOOKUP(BA270,'DATABASE F&amp;B'!$C$3:$F$216,4,0)</f>
        <v>0</v>
      </c>
      <c r="BE270" s="19">
        <f t="shared" si="232"/>
        <v>0</v>
      </c>
      <c r="BF270" s="16"/>
      <c r="BG270" s="17">
        <f>VLOOKUP(BF270,'DATABASE F&amp;B'!$C$3:$F$216,2,0)</f>
        <v>0</v>
      </c>
      <c r="BH270" s="18"/>
      <c r="BI270" s="19">
        <f>VLOOKUP(BF270,'DATABASE F&amp;B'!$C$3:$F$216,4,0)</f>
        <v>0</v>
      </c>
      <c r="BJ270" s="19">
        <f t="shared" si="233"/>
        <v>0</v>
      </c>
      <c r="BK270" s="16"/>
      <c r="BL270" s="17">
        <f>VLOOKUP(BK270,'DATABASE F&amp;B'!$C$3:$F$210,2,0)</f>
        <v>0</v>
      </c>
      <c r="BM270" s="18"/>
      <c r="BN270" s="19">
        <f>VLOOKUP(BK270,'DATABASE F&amp;B'!$C$3:$F$210,4,0)</f>
        <v>0</v>
      </c>
      <c r="BO270" s="19">
        <f t="shared" si="234"/>
        <v>0</v>
      </c>
      <c r="BP270" s="16"/>
      <c r="BQ270" s="17">
        <f>VLOOKUP(BP270,'DATABASE F&amp;B'!$C$3:$F$210,2,0)</f>
        <v>0</v>
      </c>
      <c r="BR270" s="18"/>
      <c r="BS270" s="19">
        <f>VLOOKUP(BP270,'DATABASE F&amp;B'!$C$3:$F$210,4,0)</f>
        <v>0</v>
      </c>
      <c r="BT270" s="19">
        <f t="shared" si="235"/>
        <v>0</v>
      </c>
      <c r="BU270" s="16"/>
      <c r="BV270" s="17">
        <f>VLOOKUP(BU270,'DATABASE F&amp;B'!$C$3:$F$210,2,0)</f>
        <v>0</v>
      </c>
      <c r="BW270" s="18"/>
      <c r="BX270" s="19">
        <f>VLOOKUP(BU270,'DATABASE F&amp;B'!$C$3:$F$210,4,0)</f>
        <v>0</v>
      </c>
      <c r="BY270" s="19">
        <f t="shared" si="236"/>
        <v>0</v>
      </c>
      <c r="BZ270" s="16"/>
      <c r="CA270" s="17">
        <f>VLOOKUP(BZ270,'DATABASE F&amp;B'!$C$3:$F$210,2,0)</f>
        <v>0</v>
      </c>
      <c r="CB270" s="18"/>
      <c r="CC270" s="19">
        <f>VLOOKUP(BZ270,'DATABASE F&amp;B'!$C$3:$F$210,4,0)</f>
        <v>0</v>
      </c>
      <c r="CD270" s="19">
        <f t="shared" si="237"/>
        <v>0</v>
      </c>
    </row>
    <row r="271" spans="1:82" ht="13.5" x14ac:dyDescent="0.25">
      <c r="A271" s="32" t="str">
        <f t="shared" si="218"/>
        <v>--20</v>
      </c>
      <c r="B271" s="22">
        <f t="shared" si="241"/>
        <v>267</v>
      </c>
      <c r="C271" s="22">
        <f t="shared" si="241"/>
        <v>267</v>
      </c>
      <c r="D271" s="34"/>
      <c r="E271" s="35"/>
      <c r="F271" s="35"/>
      <c r="G271" s="52"/>
      <c r="H271" s="36" t="str">
        <f t="shared" si="240"/>
        <v>RJ--267</v>
      </c>
      <c r="I271" s="36" t="str">
        <f t="shared" si="219"/>
        <v>--20</v>
      </c>
      <c r="J271" s="37" t="e">
        <f>VLOOKUP(D271,Laporan!$C$4:$D$34,2,0)</f>
        <v>#N/A</v>
      </c>
      <c r="K271" s="48"/>
      <c r="L271" s="13"/>
      <c r="M271" s="19">
        <f>SUMIF('DATABASE Room'!$B$3:$B$7,L271,'DATABASE Room'!$D$3:$D$7)</f>
        <v>0</v>
      </c>
      <c r="N271" s="13"/>
      <c r="O271" s="21">
        <f t="shared" si="220"/>
        <v>0</v>
      </c>
      <c r="P271" s="38"/>
      <c r="Q271" s="19">
        <f t="shared" si="221"/>
        <v>0</v>
      </c>
      <c r="R271" s="21">
        <f t="shared" si="222"/>
        <v>0</v>
      </c>
      <c r="S271" s="19">
        <f t="shared" si="223"/>
        <v>3</v>
      </c>
      <c r="T271" s="19">
        <f t="shared" si="224"/>
        <v>0</v>
      </c>
      <c r="U271" s="21">
        <f t="shared" si="225"/>
        <v>0</v>
      </c>
      <c r="V271" s="39"/>
      <c r="W271" s="16"/>
      <c r="X271" s="17">
        <f>VLOOKUP(W271,'DATABASE F&amp;B'!$C$3:$F$216,2,0)</f>
        <v>0</v>
      </c>
      <c r="Y271" s="18"/>
      <c r="Z271" s="19">
        <f>VLOOKUP(W271,'DATABASE F&amp;B'!$C$3:$F$216,4,0)</f>
        <v>0</v>
      </c>
      <c r="AA271" s="19">
        <f t="shared" si="226"/>
        <v>0</v>
      </c>
      <c r="AB271" s="16"/>
      <c r="AC271" s="17">
        <f>VLOOKUP(AB271,'DATABASE F&amp;B'!$C$3:$F$216,2,0)</f>
        <v>0</v>
      </c>
      <c r="AD271" s="18"/>
      <c r="AE271" s="19">
        <f>VLOOKUP(AB271,'DATABASE F&amp;B'!$C$3:$F$216,4,0)</f>
        <v>0</v>
      </c>
      <c r="AF271" s="19">
        <f t="shared" si="227"/>
        <v>0</v>
      </c>
      <c r="AG271" s="16"/>
      <c r="AH271" s="17">
        <f>VLOOKUP(AG271,'DATABASE F&amp;B'!$C$3:$F$216,2,0)</f>
        <v>0</v>
      </c>
      <c r="AI271" s="18">
        <v>1</v>
      </c>
      <c r="AJ271" s="19">
        <f>VLOOKUP(AG271,'DATABASE F&amp;B'!$C$3:$F$216,4,0)</f>
        <v>0</v>
      </c>
      <c r="AK271" s="19">
        <f t="shared" si="228"/>
        <v>0</v>
      </c>
      <c r="AL271" s="16"/>
      <c r="AM271" s="17">
        <f>VLOOKUP(AL271,'DATABASE F&amp;B'!$C$3:$F$216,2,0)</f>
        <v>0</v>
      </c>
      <c r="AN271" s="18">
        <v>1</v>
      </c>
      <c r="AO271" s="19">
        <f>VLOOKUP(AL271,'DATABASE F&amp;B'!$C$3:$F$216,4,0)</f>
        <v>0</v>
      </c>
      <c r="AP271" s="19">
        <f t="shared" si="229"/>
        <v>0</v>
      </c>
      <c r="AQ271" s="16"/>
      <c r="AR271" s="17">
        <f>VLOOKUP(AQ271,'DATABASE F&amp;B'!$C$3:$F$216,2,0)</f>
        <v>0</v>
      </c>
      <c r="AS271" s="18">
        <v>1</v>
      </c>
      <c r="AT271" s="19">
        <f>VLOOKUP(AQ271,'DATABASE F&amp;B'!$C$3:$F$216,4,0)</f>
        <v>0</v>
      </c>
      <c r="AU271" s="19">
        <f t="shared" si="230"/>
        <v>0</v>
      </c>
      <c r="AV271" s="16"/>
      <c r="AW271" s="17">
        <f>VLOOKUP(AV271,'DATABASE F&amp;B'!$C$3:$F$216,2,0)</f>
        <v>0</v>
      </c>
      <c r="AX271" s="18"/>
      <c r="AY271" s="19">
        <f>VLOOKUP(AV271,'DATABASE F&amp;B'!$C$3:$F$216,4,0)</f>
        <v>0</v>
      </c>
      <c r="AZ271" s="19">
        <f t="shared" si="231"/>
        <v>0</v>
      </c>
      <c r="BA271" s="16"/>
      <c r="BB271" s="17">
        <f>VLOOKUP(BA271,'DATABASE F&amp;B'!$C$3:$F$216,2,0)</f>
        <v>0</v>
      </c>
      <c r="BC271" s="18"/>
      <c r="BD271" s="19">
        <f>VLOOKUP(BA271,'DATABASE F&amp;B'!$C$3:$F$216,4,0)</f>
        <v>0</v>
      </c>
      <c r="BE271" s="19">
        <f t="shared" si="232"/>
        <v>0</v>
      </c>
      <c r="BF271" s="16"/>
      <c r="BG271" s="17">
        <f>VLOOKUP(BF271,'DATABASE F&amp;B'!$C$3:$F$216,2,0)</f>
        <v>0</v>
      </c>
      <c r="BH271" s="18"/>
      <c r="BI271" s="19">
        <f>VLOOKUP(BF271,'DATABASE F&amp;B'!$C$3:$F$216,4,0)</f>
        <v>0</v>
      </c>
      <c r="BJ271" s="19">
        <f t="shared" si="233"/>
        <v>0</v>
      </c>
      <c r="BK271" s="16"/>
      <c r="BL271" s="17">
        <f>VLOOKUP(BK271,'DATABASE F&amp;B'!$C$3:$F$210,2,0)</f>
        <v>0</v>
      </c>
      <c r="BM271" s="18"/>
      <c r="BN271" s="19">
        <f>VLOOKUP(BK271,'DATABASE F&amp;B'!$C$3:$F$210,4,0)</f>
        <v>0</v>
      </c>
      <c r="BO271" s="19">
        <f t="shared" si="234"/>
        <v>0</v>
      </c>
      <c r="BP271" s="16"/>
      <c r="BQ271" s="17">
        <f>VLOOKUP(BP271,'DATABASE F&amp;B'!$C$3:$F$210,2,0)</f>
        <v>0</v>
      </c>
      <c r="BR271" s="18"/>
      <c r="BS271" s="19">
        <f>VLOOKUP(BP271,'DATABASE F&amp;B'!$C$3:$F$210,4,0)</f>
        <v>0</v>
      </c>
      <c r="BT271" s="19">
        <f t="shared" si="235"/>
        <v>0</v>
      </c>
      <c r="BU271" s="16"/>
      <c r="BV271" s="17">
        <f>VLOOKUP(BU271,'DATABASE F&amp;B'!$C$3:$F$210,2,0)</f>
        <v>0</v>
      </c>
      <c r="BW271" s="18"/>
      <c r="BX271" s="19">
        <f>VLOOKUP(BU271,'DATABASE F&amp;B'!$C$3:$F$210,4,0)</f>
        <v>0</v>
      </c>
      <c r="BY271" s="19">
        <f t="shared" si="236"/>
        <v>0</v>
      </c>
      <c r="BZ271" s="16"/>
      <c r="CA271" s="17">
        <f>VLOOKUP(BZ271,'DATABASE F&amp;B'!$C$3:$F$210,2,0)</f>
        <v>0</v>
      </c>
      <c r="CB271" s="18"/>
      <c r="CC271" s="19">
        <f>VLOOKUP(BZ271,'DATABASE F&amp;B'!$C$3:$F$210,4,0)</f>
        <v>0</v>
      </c>
      <c r="CD271" s="19">
        <f t="shared" si="237"/>
        <v>0</v>
      </c>
    </row>
    <row r="272" spans="1:82" ht="13.5" x14ac:dyDescent="0.25">
      <c r="A272" s="32" t="str">
        <f t="shared" si="218"/>
        <v>--20</v>
      </c>
      <c r="B272" s="22">
        <f t="shared" si="241"/>
        <v>268</v>
      </c>
      <c r="C272" s="22">
        <f t="shared" si="241"/>
        <v>268</v>
      </c>
      <c r="D272" s="34"/>
      <c r="E272" s="35"/>
      <c r="F272" s="35"/>
      <c r="G272" s="52"/>
      <c r="H272" s="36" t="str">
        <f t="shared" si="240"/>
        <v>RJ--268</v>
      </c>
      <c r="I272" s="36" t="str">
        <f t="shared" si="219"/>
        <v>--20</v>
      </c>
      <c r="J272" s="37" t="e">
        <f>VLOOKUP(D272,Laporan!$C$4:$D$34,2,0)</f>
        <v>#N/A</v>
      </c>
      <c r="K272" s="48"/>
      <c r="L272" s="13"/>
      <c r="M272" s="19">
        <f>SUMIF('DATABASE Room'!$B$3:$B$7,L272,'DATABASE Room'!$D$3:$D$7)</f>
        <v>0</v>
      </c>
      <c r="N272" s="13"/>
      <c r="O272" s="21">
        <f t="shared" si="220"/>
        <v>0</v>
      </c>
      <c r="P272" s="38"/>
      <c r="Q272" s="19">
        <f t="shared" si="221"/>
        <v>0</v>
      </c>
      <c r="R272" s="21">
        <f t="shared" si="222"/>
        <v>0</v>
      </c>
      <c r="S272" s="19">
        <f t="shared" si="223"/>
        <v>3</v>
      </c>
      <c r="T272" s="19">
        <f t="shared" si="224"/>
        <v>0</v>
      </c>
      <c r="U272" s="21">
        <f t="shared" si="225"/>
        <v>0</v>
      </c>
      <c r="V272" s="39"/>
      <c r="W272" s="16"/>
      <c r="X272" s="17">
        <f>VLOOKUP(W272,'DATABASE F&amp;B'!$C$3:$F$216,2,0)</f>
        <v>0</v>
      </c>
      <c r="Y272" s="18"/>
      <c r="Z272" s="19">
        <f>VLOOKUP(W272,'DATABASE F&amp;B'!$C$3:$F$216,4,0)</f>
        <v>0</v>
      </c>
      <c r="AA272" s="19">
        <f t="shared" si="226"/>
        <v>0</v>
      </c>
      <c r="AB272" s="16"/>
      <c r="AC272" s="17">
        <f>VLOOKUP(AB272,'DATABASE F&amp;B'!$C$3:$F$216,2,0)</f>
        <v>0</v>
      </c>
      <c r="AD272" s="18"/>
      <c r="AE272" s="19">
        <f>VLOOKUP(AB272,'DATABASE F&amp;B'!$C$3:$F$216,4,0)</f>
        <v>0</v>
      </c>
      <c r="AF272" s="19">
        <f t="shared" si="227"/>
        <v>0</v>
      </c>
      <c r="AG272" s="16"/>
      <c r="AH272" s="17">
        <f>VLOOKUP(AG272,'DATABASE F&amp;B'!$C$3:$F$216,2,0)</f>
        <v>0</v>
      </c>
      <c r="AI272" s="18">
        <v>1</v>
      </c>
      <c r="AJ272" s="19">
        <f>VLOOKUP(AG272,'DATABASE F&amp;B'!$C$3:$F$216,4,0)</f>
        <v>0</v>
      </c>
      <c r="AK272" s="19">
        <f t="shared" si="228"/>
        <v>0</v>
      </c>
      <c r="AL272" s="16"/>
      <c r="AM272" s="17">
        <f>VLOOKUP(AL272,'DATABASE F&amp;B'!$C$3:$F$216,2,0)</f>
        <v>0</v>
      </c>
      <c r="AN272" s="18">
        <v>1</v>
      </c>
      <c r="AO272" s="19">
        <f>VLOOKUP(AL272,'DATABASE F&amp;B'!$C$3:$F$216,4,0)</f>
        <v>0</v>
      </c>
      <c r="AP272" s="19">
        <f t="shared" si="229"/>
        <v>0</v>
      </c>
      <c r="AQ272" s="16"/>
      <c r="AR272" s="17">
        <f>VLOOKUP(AQ272,'DATABASE F&amp;B'!$C$3:$F$216,2,0)</f>
        <v>0</v>
      </c>
      <c r="AS272" s="18">
        <v>1</v>
      </c>
      <c r="AT272" s="19">
        <f>VLOOKUP(AQ272,'DATABASE F&amp;B'!$C$3:$F$216,4,0)</f>
        <v>0</v>
      </c>
      <c r="AU272" s="19">
        <f t="shared" si="230"/>
        <v>0</v>
      </c>
      <c r="AV272" s="16"/>
      <c r="AW272" s="17">
        <f>VLOOKUP(AV272,'DATABASE F&amp;B'!$C$3:$F$216,2,0)</f>
        <v>0</v>
      </c>
      <c r="AX272" s="18"/>
      <c r="AY272" s="19">
        <f>VLOOKUP(AV272,'DATABASE F&amp;B'!$C$3:$F$216,4,0)</f>
        <v>0</v>
      </c>
      <c r="AZ272" s="19">
        <f t="shared" si="231"/>
        <v>0</v>
      </c>
      <c r="BA272" s="16"/>
      <c r="BB272" s="17">
        <f>VLOOKUP(BA272,'DATABASE F&amp;B'!$C$3:$F$216,2,0)</f>
        <v>0</v>
      </c>
      <c r="BC272" s="18"/>
      <c r="BD272" s="19">
        <f>VLOOKUP(BA272,'DATABASE F&amp;B'!$C$3:$F$216,4,0)</f>
        <v>0</v>
      </c>
      <c r="BE272" s="19">
        <f t="shared" si="232"/>
        <v>0</v>
      </c>
      <c r="BF272" s="16"/>
      <c r="BG272" s="17">
        <f>VLOOKUP(BF272,'DATABASE F&amp;B'!$C$3:$F$216,2,0)</f>
        <v>0</v>
      </c>
      <c r="BH272" s="18"/>
      <c r="BI272" s="19">
        <f>VLOOKUP(BF272,'DATABASE F&amp;B'!$C$3:$F$216,4,0)</f>
        <v>0</v>
      </c>
      <c r="BJ272" s="19">
        <f t="shared" si="233"/>
        <v>0</v>
      </c>
      <c r="BK272" s="16"/>
      <c r="BL272" s="17">
        <f>VLOOKUP(BK272,'DATABASE F&amp;B'!$C$3:$F$210,2,0)</f>
        <v>0</v>
      </c>
      <c r="BM272" s="18"/>
      <c r="BN272" s="19">
        <f>VLOOKUP(BK272,'DATABASE F&amp;B'!$C$3:$F$210,4,0)</f>
        <v>0</v>
      </c>
      <c r="BO272" s="19">
        <f t="shared" si="234"/>
        <v>0</v>
      </c>
      <c r="BP272" s="16"/>
      <c r="BQ272" s="17">
        <f>VLOOKUP(BP272,'DATABASE F&amp;B'!$C$3:$F$210,2,0)</f>
        <v>0</v>
      </c>
      <c r="BR272" s="18"/>
      <c r="BS272" s="19">
        <f>VLOOKUP(BP272,'DATABASE F&amp;B'!$C$3:$F$210,4,0)</f>
        <v>0</v>
      </c>
      <c r="BT272" s="19">
        <f t="shared" si="235"/>
        <v>0</v>
      </c>
      <c r="BU272" s="16"/>
      <c r="BV272" s="17">
        <f>VLOOKUP(BU272,'DATABASE F&amp;B'!$C$3:$F$210,2,0)</f>
        <v>0</v>
      </c>
      <c r="BW272" s="18"/>
      <c r="BX272" s="19">
        <f>VLOOKUP(BU272,'DATABASE F&amp;B'!$C$3:$F$210,4,0)</f>
        <v>0</v>
      </c>
      <c r="BY272" s="19">
        <f t="shared" si="236"/>
        <v>0</v>
      </c>
      <c r="BZ272" s="16"/>
      <c r="CA272" s="17">
        <f>VLOOKUP(BZ272,'DATABASE F&amp;B'!$C$3:$F$210,2,0)</f>
        <v>0</v>
      </c>
      <c r="CB272" s="18"/>
      <c r="CC272" s="19">
        <f>VLOOKUP(BZ272,'DATABASE F&amp;B'!$C$3:$F$210,4,0)</f>
        <v>0</v>
      </c>
      <c r="CD272" s="19">
        <f t="shared" si="237"/>
        <v>0</v>
      </c>
    </row>
    <row r="273" spans="1:82" ht="13.5" x14ac:dyDescent="0.25">
      <c r="A273" s="32" t="str">
        <f t="shared" si="218"/>
        <v>--20</v>
      </c>
      <c r="B273" s="22">
        <f t="shared" si="241"/>
        <v>269</v>
      </c>
      <c r="C273" s="22">
        <f t="shared" si="241"/>
        <v>269</v>
      </c>
      <c r="D273" s="34"/>
      <c r="E273" s="35"/>
      <c r="F273" s="35"/>
      <c r="G273" s="52"/>
      <c r="H273" s="36" t="str">
        <f t="shared" si="240"/>
        <v>RJ--269</v>
      </c>
      <c r="I273" s="36" t="str">
        <f t="shared" si="219"/>
        <v>--20</v>
      </c>
      <c r="J273" s="37" t="e">
        <f>VLOOKUP(D273,Laporan!$C$4:$D$34,2,0)</f>
        <v>#N/A</v>
      </c>
      <c r="K273" s="48"/>
      <c r="L273" s="13"/>
      <c r="M273" s="19">
        <f>SUMIF('DATABASE Room'!$B$3:$B$7,L273,'DATABASE Room'!$D$3:$D$7)</f>
        <v>0</v>
      </c>
      <c r="N273" s="13"/>
      <c r="O273" s="21">
        <f t="shared" si="220"/>
        <v>0</v>
      </c>
      <c r="P273" s="38"/>
      <c r="Q273" s="19">
        <f t="shared" si="221"/>
        <v>0</v>
      </c>
      <c r="R273" s="21">
        <f t="shared" si="222"/>
        <v>0</v>
      </c>
      <c r="S273" s="19">
        <f t="shared" si="223"/>
        <v>3</v>
      </c>
      <c r="T273" s="19">
        <f t="shared" si="224"/>
        <v>0</v>
      </c>
      <c r="U273" s="21">
        <f t="shared" si="225"/>
        <v>0</v>
      </c>
      <c r="V273" s="39"/>
      <c r="W273" s="16"/>
      <c r="X273" s="17">
        <f>VLOOKUP(W273,'DATABASE F&amp;B'!$C$3:$F$216,2,0)</f>
        <v>0</v>
      </c>
      <c r="Y273" s="18"/>
      <c r="Z273" s="19">
        <f>VLOOKUP(W273,'DATABASE F&amp;B'!$C$3:$F$216,4,0)</f>
        <v>0</v>
      </c>
      <c r="AA273" s="19">
        <f t="shared" si="226"/>
        <v>0</v>
      </c>
      <c r="AB273" s="16"/>
      <c r="AC273" s="17">
        <f>VLOOKUP(AB273,'DATABASE F&amp;B'!$C$3:$F$216,2,0)</f>
        <v>0</v>
      </c>
      <c r="AD273" s="18"/>
      <c r="AE273" s="19">
        <f>VLOOKUP(AB273,'DATABASE F&amp;B'!$C$3:$F$216,4,0)</f>
        <v>0</v>
      </c>
      <c r="AF273" s="19">
        <f t="shared" si="227"/>
        <v>0</v>
      </c>
      <c r="AG273" s="16"/>
      <c r="AH273" s="17">
        <f>VLOOKUP(AG273,'DATABASE F&amp;B'!$C$3:$F$216,2,0)</f>
        <v>0</v>
      </c>
      <c r="AI273" s="18">
        <v>1</v>
      </c>
      <c r="AJ273" s="19">
        <f>VLOOKUP(AG273,'DATABASE F&amp;B'!$C$3:$F$216,4,0)</f>
        <v>0</v>
      </c>
      <c r="AK273" s="19">
        <f t="shared" si="228"/>
        <v>0</v>
      </c>
      <c r="AL273" s="16"/>
      <c r="AM273" s="17">
        <f>VLOOKUP(AL273,'DATABASE F&amp;B'!$C$3:$F$216,2,0)</f>
        <v>0</v>
      </c>
      <c r="AN273" s="18">
        <v>1</v>
      </c>
      <c r="AO273" s="19">
        <f>VLOOKUP(AL273,'DATABASE F&amp;B'!$C$3:$F$216,4,0)</f>
        <v>0</v>
      </c>
      <c r="AP273" s="19">
        <f t="shared" si="229"/>
        <v>0</v>
      </c>
      <c r="AQ273" s="16"/>
      <c r="AR273" s="17">
        <f>VLOOKUP(AQ273,'DATABASE F&amp;B'!$C$3:$F$216,2,0)</f>
        <v>0</v>
      </c>
      <c r="AS273" s="18">
        <v>1</v>
      </c>
      <c r="AT273" s="19">
        <f>VLOOKUP(AQ273,'DATABASE F&amp;B'!$C$3:$F$216,4,0)</f>
        <v>0</v>
      </c>
      <c r="AU273" s="19">
        <f t="shared" si="230"/>
        <v>0</v>
      </c>
      <c r="AV273" s="16"/>
      <c r="AW273" s="17">
        <f>VLOOKUP(AV273,'DATABASE F&amp;B'!$C$3:$F$216,2,0)</f>
        <v>0</v>
      </c>
      <c r="AX273" s="18"/>
      <c r="AY273" s="19">
        <f>VLOOKUP(AV273,'DATABASE F&amp;B'!$C$3:$F$216,4,0)</f>
        <v>0</v>
      </c>
      <c r="AZ273" s="19">
        <f t="shared" si="231"/>
        <v>0</v>
      </c>
      <c r="BA273" s="16"/>
      <c r="BB273" s="17">
        <f>VLOOKUP(BA273,'DATABASE F&amp;B'!$C$3:$F$216,2,0)</f>
        <v>0</v>
      </c>
      <c r="BC273" s="18"/>
      <c r="BD273" s="19">
        <f>VLOOKUP(BA273,'DATABASE F&amp;B'!$C$3:$F$216,4,0)</f>
        <v>0</v>
      </c>
      <c r="BE273" s="19">
        <f t="shared" si="232"/>
        <v>0</v>
      </c>
      <c r="BF273" s="16"/>
      <c r="BG273" s="17">
        <f>VLOOKUP(BF273,'DATABASE F&amp;B'!$C$3:$F$216,2,0)</f>
        <v>0</v>
      </c>
      <c r="BH273" s="18"/>
      <c r="BI273" s="19">
        <f>VLOOKUP(BF273,'DATABASE F&amp;B'!$C$3:$F$216,4,0)</f>
        <v>0</v>
      </c>
      <c r="BJ273" s="19">
        <f t="shared" si="233"/>
        <v>0</v>
      </c>
      <c r="BK273" s="16"/>
      <c r="BL273" s="17">
        <f>VLOOKUP(BK273,'DATABASE F&amp;B'!$C$3:$F$210,2,0)</f>
        <v>0</v>
      </c>
      <c r="BM273" s="18"/>
      <c r="BN273" s="19">
        <f>VLOOKUP(BK273,'DATABASE F&amp;B'!$C$3:$F$210,4,0)</f>
        <v>0</v>
      </c>
      <c r="BO273" s="19">
        <f t="shared" si="234"/>
        <v>0</v>
      </c>
      <c r="BP273" s="16"/>
      <c r="BQ273" s="17">
        <f>VLOOKUP(BP273,'DATABASE F&amp;B'!$C$3:$F$210,2,0)</f>
        <v>0</v>
      </c>
      <c r="BR273" s="18"/>
      <c r="BS273" s="19">
        <f>VLOOKUP(BP273,'DATABASE F&amp;B'!$C$3:$F$210,4,0)</f>
        <v>0</v>
      </c>
      <c r="BT273" s="19">
        <f t="shared" si="235"/>
        <v>0</v>
      </c>
      <c r="BU273" s="16"/>
      <c r="BV273" s="17">
        <f>VLOOKUP(BU273,'DATABASE F&amp;B'!$C$3:$F$210,2,0)</f>
        <v>0</v>
      </c>
      <c r="BW273" s="18"/>
      <c r="BX273" s="19">
        <f>VLOOKUP(BU273,'DATABASE F&amp;B'!$C$3:$F$210,4,0)</f>
        <v>0</v>
      </c>
      <c r="BY273" s="19">
        <f t="shared" si="236"/>
        <v>0</v>
      </c>
      <c r="BZ273" s="16"/>
      <c r="CA273" s="17">
        <f>VLOOKUP(BZ273,'DATABASE F&amp;B'!$C$3:$F$210,2,0)</f>
        <v>0</v>
      </c>
      <c r="CB273" s="18"/>
      <c r="CC273" s="19">
        <f>VLOOKUP(BZ273,'DATABASE F&amp;B'!$C$3:$F$210,4,0)</f>
        <v>0</v>
      </c>
      <c r="CD273" s="19">
        <f t="shared" si="237"/>
        <v>0</v>
      </c>
    </row>
    <row r="274" spans="1:82" ht="13.5" x14ac:dyDescent="0.25">
      <c r="A274" s="32" t="str">
        <f t="shared" si="218"/>
        <v>--20</v>
      </c>
      <c r="B274" s="22">
        <f t="shared" si="241"/>
        <v>270</v>
      </c>
      <c r="C274" s="22">
        <f t="shared" si="241"/>
        <v>270</v>
      </c>
      <c r="D274" s="34"/>
      <c r="E274" s="35"/>
      <c r="F274" s="35"/>
      <c r="G274" s="52"/>
      <c r="H274" s="36" t="str">
        <f t="shared" si="240"/>
        <v>RJ--270</v>
      </c>
      <c r="I274" s="36" t="str">
        <f t="shared" si="219"/>
        <v>--20</v>
      </c>
      <c r="J274" s="37" t="e">
        <f>VLOOKUP(D274,Laporan!$C$4:$D$34,2,0)</f>
        <v>#N/A</v>
      </c>
      <c r="K274" s="48"/>
      <c r="L274" s="13"/>
      <c r="M274" s="19">
        <f>SUMIF('DATABASE Room'!$B$3:$B$7,L274,'DATABASE Room'!$D$3:$D$7)</f>
        <v>0</v>
      </c>
      <c r="N274" s="13"/>
      <c r="O274" s="21">
        <f t="shared" si="220"/>
        <v>0</v>
      </c>
      <c r="P274" s="38"/>
      <c r="Q274" s="19">
        <f t="shared" si="221"/>
        <v>0</v>
      </c>
      <c r="R274" s="21">
        <f t="shared" si="222"/>
        <v>0</v>
      </c>
      <c r="S274" s="19">
        <f t="shared" si="223"/>
        <v>3</v>
      </c>
      <c r="T274" s="19">
        <f t="shared" si="224"/>
        <v>0</v>
      </c>
      <c r="U274" s="21">
        <f t="shared" si="225"/>
        <v>0</v>
      </c>
      <c r="V274" s="39"/>
      <c r="W274" s="16"/>
      <c r="X274" s="17">
        <f>VLOOKUP(W274,'DATABASE F&amp;B'!$C$3:$F$216,2,0)</f>
        <v>0</v>
      </c>
      <c r="Y274" s="18"/>
      <c r="Z274" s="19">
        <f>VLOOKUP(W274,'DATABASE F&amp;B'!$C$3:$F$216,4,0)</f>
        <v>0</v>
      </c>
      <c r="AA274" s="19">
        <f t="shared" si="226"/>
        <v>0</v>
      </c>
      <c r="AB274" s="16"/>
      <c r="AC274" s="17">
        <f>VLOOKUP(AB274,'DATABASE F&amp;B'!$C$3:$F$216,2,0)</f>
        <v>0</v>
      </c>
      <c r="AD274" s="18"/>
      <c r="AE274" s="19">
        <f>VLOOKUP(AB274,'DATABASE F&amp;B'!$C$3:$F$216,4,0)</f>
        <v>0</v>
      </c>
      <c r="AF274" s="19">
        <f t="shared" si="227"/>
        <v>0</v>
      </c>
      <c r="AG274" s="16"/>
      <c r="AH274" s="17">
        <f>VLOOKUP(AG274,'DATABASE F&amp;B'!$C$3:$F$216,2,0)</f>
        <v>0</v>
      </c>
      <c r="AI274" s="18">
        <v>1</v>
      </c>
      <c r="AJ274" s="19">
        <f>VLOOKUP(AG274,'DATABASE F&amp;B'!$C$3:$F$216,4,0)</f>
        <v>0</v>
      </c>
      <c r="AK274" s="19">
        <f t="shared" si="228"/>
        <v>0</v>
      </c>
      <c r="AL274" s="16"/>
      <c r="AM274" s="17">
        <f>VLOOKUP(AL274,'DATABASE F&amp;B'!$C$3:$F$216,2,0)</f>
        <v>0</v>
      </c>
      <c r="AN274" s="18">
        <v>1</v>
      </c>
      <c r="AO274" s="19">
        <f>VLOOKUP(AL274,'DATABASE F&amp;B'!$C$3:$F$216,4,0)</f>
        <v>0</v>
      </c>
      <c r="AP274" s="19">
        <f t="shared" si="229"/>
        <v>0</v>
      </c>
      <c r="AQ274" s="16"/>
      <c r="AR274" s="17">
        <f>VLOOKUP(AQ274,'DATABASE F&amp;B'!$C$3:$F$216,2,0)</f>
        <v>0</v>
      </c>
      <c r="AS274" s="18">
        <v>1</v>
      </c>
      <c r="AT274" s="19">
        <f>VLOOKUP(AQ274,'DATABASE F&amp;B'!$C$3:$F$216,4,0)</f>
        <v>0</v>
      </c>
      <c r="AU274" s="19">
        <f t="shared" si="230"/>
        <v>0</v>
      </c>
      <c r="AV274" s="16"/>
      <c r="AW274" s="17">
        <f>VLOOKUP(AV274,'DATABASE F&amp;B'!$C$3:$F$216,2,0)</f>
        <v>0</v>
      </c>
      <c r="AX274" s="18"/>
      <c r="AY274" s="19">
        <f>VLOOKUP(AV274,'DATABASE F&amp;B'!$C$3:$F$216,4,0)</f>
        <v>0</v>
      </c>
      <c r="AZ274" s="19">
        <f t="shared" si="231"/>
        <v>0</v>
      </c>
      <c r="BA274" s="16"/>
      <c r="BB274" s="17">
        <f>VLOOKUP(BA274,'DATABASE F&amp;B'!$C$3:$F$216,2,0)</f>
        <v>0</v>
      </c>
      <c r="BC274" s="18"/>
      <c r="BD274" s="19">
        <f>VLOOKUP(BA274,'DATABASE F&amp;B'!$C$3:$F$216,4,0)</f>
        <v>0</v>
      </c>
      <c r="BE274" s="19">
        <f t="shared" si="232"/>
        <v>0</v>
      </c>
      <c r="BF274" s="16"/>
      <c r="BG274" s="17">
        <f>VLOOKUP(BF274,'DATABASE F&amp;B'!$C$3:$F$216,2,0)</f>
        <v>0</v>
      </c>
      <c r="BH274" s="18"/>
      <c r="BI274" s="19">
        <f>VLOOKUP(BF274,'DATABASE F&amp;B'!$C$3:$F$216,4,0)</f>
        <v>0</v>
      </c>
      <c r="BJ274" s="19">
        <f t="shared" si="233"/>
        <v>0</v>
      </c>
      <c r="BK274" s="16"/>
      <c r="BL274" s="17">
        <f>VLOOKUP(BK274,'DATABASE F&amp;B'!$C$3:$F$210,2,0)</f>
        <v>0</v>
      </c>
      <c r="BM274" s="18"/>
      <c r="BN274" s="19">
        <f>VLOOKUP(BK274,'DATABASE F&amp;B'!$C$3:$F$210,4,0)</f>
        <v>0</v>
      </c>
      <c r="BO274" s="19">
        <f t="shared" si="234"/>
        <v>0</v>
      </c>
      <c r="BP274" s="16"/>
      <c r="BQ274" s="17">
        <f>VLOOKUP(BP274,'DATABASE F&amp;B'!$C$3:$F$210,2,0)</f>
        <v>0</v>
      </c>
      <c r="BR274" s="18"/>
      <c r="BS274" s="19">
        <f>VLOOKUP(BP274,'DATABASE F&amp;B'!$C$3:$F$210,4,0)</f>
        <v>0</v>
      </c>
      <c r="BT274" s="19">
        <f t="shared" si="235"/>
        <v>0</v>
      </c>
      <c r="BU274" s="16"/>
      <c r="BV274" s="17">
        <f>VLOOKUP(BU274,'DATABASE F&amp;B'!$C$3:$F$210,2,0)</f>
        <v>0</v>
      </c>
      <c r="BW274" s="18"/>
      <c r="BX274" s="19">
        <f>VLOOKUP(BU274,'DATABASE F&amp;B'!$C$3:$F$210,4,0)</f>
        <v>0</v>
      </c>
      <c r="BY274" s="19">
        <f t="shared" si="236"/>
        <v>0</v>
      </c>
      <c r="BZ274" s="16"/>
      <c r="CA274" s="17">
        <f>VLOOKUP(BZ274,'DATABASE F&amp;B'!$C$3:$F$210,2,0)</f>
        <v>0</v>
      </c>
      <c r="CB274" s="18"/>
      <c r="CC274" s="19">
        <f>VLOOKUP(BZ274,'DATABASE F&amp;B'!$C$3:$F$210,4,0)</f>
        <v>0</v>
      </c>
      <c r="CD274" s="19">
        <f t="shared" si="237"/>
        <v>0</v>
      </c>
    </row>
    <row r="275" spans="1:82" ht="13.5" x14ac:dyDescent="0.25">
      <c r="A275" s="32" t="str">
        <f t="shared" si="218"/>
        <v>--20</v>
      </c>
      <c r="B275" s="22">
        <f t="shared" si="241"/>
        <v>271</v>
      </c>
      <c r="C275" s="22">
        <f t="shared" si="241"/>
        <v>271</v>
      </c>
      <c r="D275" s="34"/>
      <c r="E275" s="35"/>
      <c r="F275" s="35"/>
      <c r="G275" s="52"/>
      <c r="H275" s="36" t="str">
        <f t="shared" si="240"/>
        <v>RJ--271</v>
      </c>
      <c r="I275" s="36" t="str">
        <f t="shared" si="219"/>
        <v>--20</v>
      </c>
      <c r="J275" s="37" t="e">
        <f>VLOOKUP(D275,Laporan!$C$4:$D$34,2,0)</f>
        <v>#N/A</v>
      </c>
      <c r="K275" s="48"/>
      <c r="L275" s="13"/>
      <c r="M275" s="19">
        <f>SUMIF('DATABASE Room'!$B$3:$B$7,L275,'DATABASE Room'!$D$3:$D$7)</f>
        <v>0</v>
      </c>
      <c r="N275" s="13"/>
      <c r="O275" s="21">
        <f t="shared" si="220"/>
        <v>0</v>
      </c>
      <c r="P275" s="38"/>
      <c r="Q275" s="19">
        <f t="shared" si="221"/>
        <v>0</v>
      </c>
      <c r="R275" s="21">
        <f t="shared" si="222"/>
        <v>0</v>
      </c>
      <c r="S275" s="19">
        <f t="shared" si="223"/>
        <v>3</v>
      </c>
      <c r="T275" s="19">
        <f t="shared" si="224"/>
        <v>0</v>
      </c>
      <c r="U275" s="21">
        <f t="shared" si="225"/>
        <v>0</v>
      </c>
      <c r="V275" s="39"/>
      <c r="W275" s="16"/>
      <c r="X275" s="17">
        <f>VLOOKUP(W275,'DATABASE F&amp;B'!$C$3:$F$216,2,0)</f>
        <v>0</v>
      </c>
      <c r="Y275" s="18"/>
      <c r="Z275" s="19">
        <f>VLOOKUP(W275,'DATABASE F&amp;B'!$C$3:$F$216,4,0)</f>
        <v>0</v>
      </c>
      <c r="AA275" s="19">
        <f t="shared" si="226"/>
        <v>0</v>
      </c>
      <c r="AB275" s="16"/>
      <c r="AC275" s="17">
        <f>VLOOKUP(AB275,'DATABASE F&amp;B'!$C$3:$F$216,2,0)</f>
        <v>0</v>
      </c>
      <c r="AD275" s="18"/>
      <c r="AE275" s="19">
        <f>VLOOKUP(AB275,'DATABASE F&amp;B'!$C$3:$F$216,4,0)</f>
        <v>0</v>
      </c>
      <c r="AF275" s="19">
        <f t="shared" si="227"/>
        <v>0</v>
      </c>
      <c r="AG275" s="16"/>
      <c r="AH275" s="17">
        <f>VLOOKUP(AG275,'DATABASE F&amp;B'!$C$3:$F$216,2,0)</f>
        <v>0</v>
      </c>
      <c r="AI275" s="18">
        <v>1</v>
      </c>
      <c r="AJ275" s="19">
        <f>VLOOKUP(AG275,'DATABASE F&amp;B'!$C$3:$F$216,4,0)</f>
        <v>0</v>
      </c>
      <c r="AK275" s="19">
        <f t="shared" si="228"/>
        <v>0</v>
      </c>
      <c r="AL275" s="16"/>
      <c r="AM275" s="17">
        <f>VLOOKUP(AL275,'DATABASE F&amp;B'!$C$3:$F$216,2,0)</f>
        <v>0</v>
      </c>
      <c r="AN275" s="18">
        <v>1</v>
      </c>
      <c r="AO275" s="19">
        <f>VLOOKUP(AL275,'DATABASE F&amp;B'!$C$3:$F$216,4,0)</f>
        <v>0</v>
      </c>
      <c r="AP275" s="19">
        <f t="shared" si="229"/>
        <v>0</v>
      </c>
      <c r="AQ275" s="16"/>
      <c r="AR275" s="17">
        <f>VLOOKUP(AQ275,'DATABASE F&amp;B'!$C$3:$F$216,2,0)</f>
        <v>0</v>
      </c>
      <c r="AS275" s="18">
        <v>1</v>
      </c>
      <c r="AT275" s="19">
        <f>VLOOKUP(AQ275,'DATABASE F&amp;B'!$C$3:$F$216,4,0)</f>
        <v>0</v>
      </c>
      <c r="AU275" s="19">
        <f t="shared" si="230"/>
        <v>0</v>
      </c>
      <c r="AV275" s="16"/>
      <c r="AW275" s="17">
        <f>VLOOKUP(AV275,'DATABASE F&amp;B'!$C$3:$F$216,2,0)</f>
        <v>0</v>
      </c>
      <c r="AX275" s="18"/>
      <c r="AY275" s="19">
        <f>VLOOKUP(AV275,'DATABASE F&amp;B'!$C$3:$F$216,4,0)</f>
        <v>0</v>
      </c>
      <c r="AZ275" s="19">
        <f t="shared" si="231"/>
        <v>0</v>
      </c>
      <c r="BA275" s="16"/>
      <c r="BB275" s="17">
        <f>VLOOKUP(BA275,'DATABASE F&amp;B'!$C$3:$F$216,2,0)</f>
        <v>0</v>
      </c>
      <c r="BC275" s="18"/>
      <c r="BD275" s="19">
        <f>VLOOKUP(BA275,'DATABASE F&amp;B'!$C$3:$F$216,4,0)</f>
        <v>0</v>
      </c>
      <c r="BE275" s="19">
        <f t="shared" si="232"/>
        <v>0</v>
      </c>
      <c r="BF275" s="16"/>
      <c r="BG275" s="17">
        <f>VLOOKUP(BF275,'DATABASE F&amp;B'!$C$3:$F$216,2,0)</f>
        <v>0</v>
      </c>
      <c r="BH275" s="18"/>
      <c r="BI275" s="19">
        <f>VLOOKUP(BF275,'DATABASE F&amp;B'!$C$3:$F$216,4,0)</f>
        <v>0</v>
      </c>
      <c r="BJ275" s="19">
        <f t="shared" si="233"/>
        <v>0</v>
      </c>
      <c r="BK275" s="16"/>
      <c r="BL275" s="17">
        <f>VLOOKUP(BK275,'DATABASE F&amp;B'!$C$3:$F$210,2,0)</f>
        <v>0</v>
      </c>
      <c r="BM275" s="18"/>
      <c r="BN275" s="19">
        <f>VLOOKUP(BK275,'DATABASE F&amp;B'!$C$3:$F$210,4,0)</f>
        <v>0</v>
      </c>
      <c r="BO275" s="19">
        <f t="shared" si="234"/>
        <v>0</v>
      </c>
      <c r="BP275" s="16"/>
      <c r="BQ275" s="17">
        <f>VLOOKUP(BP275,'DATABASE F&amp;B'!$C$3:$F$210,2,0)</f>
        <v>0</v>
      </c>
      <c r="BR275" s="18"/>
      <c r="BS275" s="19">
        <f>VLOOKUP(BP275,'DATABASE F&amp;B'!$C$3:$F$210,4,0)</f>
        <v>0</v>
      </c>
      <c r="BT275" s="19">
        <f t="shared" si="235"/>
        <v>0</v>
      </c>
      <c r="BU275" s="16"/>
      <c r="BV275" s="17">
        <f>VLOOKUP(BU275,'DATABASE F&amp;B'!$C$3:$F$210,2,0)</f>
        <v>0</v>
      </c>
      <c r="BW275" s="18"/>
      <c r="BX275" s="19">
        <f>VLOOKUP(BU275,'DATABASE F&amp;B'!$C$3:$F$210,4,0)</f>
        <v>0</v>
      </c>
      <c r="BY275" s="19">
        <f t="shared" si="236"/>
        <v>0</v>
      </c>
      <c r="BZ275" s="16"/>
      <c r="CA275" s="17">
        <f>VLOOKUP(BZ275,'DATABASE F&amp;B'!$C$3:$F$210,2,0)</f>
        <v>0</v>
      </c>
      <c r="CB275" s="18"/>
      <c r="CC275" s="19">
        <f>VLOOKUP(BZ275,'DATABASE F&amp;B'!$C$3:$F$210,4,0)</f>
        <v>0</v>
      </c>
      <c r="CD275" s="19">
        <f t="shared" si="237"/>
        <v>0</v>
      </c>
    </row>
    <row r="276" spans="1:82" ht="13.5" x14ac:dyDescent="0.25">
      <c r="A276" s="32" t="str">
        <f t="shared" si="218"/>
        <v>--20</v>
      </c>
      <c r="B276" s="22">
        <f t="shared" si="241"/>
        <v>272</v>
      </c>
      <c r="C276" s="22">
        <f t="shared" si="241"/>
        <v>272</v>
      </c>
      <c r="D276" s="34"/>
      <c r="E276" s="35"/>
      <c r="F276" s="35"/>
      <c r="G276" s="52"/>
      <c r="H276" s="36" t="str">
        <f t="shared" si="240"/>
        <v>RJ--272</v>
      </c>
      <c r="I276" s="36" t="str">
        <f t="shared" si="219"/>
        <v>--20</v>
      </c>
      <c r="J276" s="37" t="e">
        <f>VLOOKUP(D276,Laporan!$C$4:$D$34,2,0)</f>
        <v>#N/A</v>
      </c>
      <c r="K276" s="48"/>
      <c r="L276" s="13"/>
      <c r="M276" s="19">
        <f>SUMIF('DATABASE Room'!$B$3:$B$7,L276,'DATABASE Room'!$D$3:$D$7)</f>
        <v>0</v>
      </c>
      <c r="N276" s="13"/>
      <c r="O276" s="21">
        <f t="shared" si="220"/>
        <v>0</v>
      </c>
      <c r="P276" s="38"/>
      <c r="Q276" s="19">
        <f t="shared" si="221"/>
        <v>0</v>
      </c>
      <c r="R276" s="21">
        <f t="shared" si="222"/>
        <v>0</v>
      </c>
      <c r="S276" s="19">
        <f t="shared" si="223"/>
        <v>3</v>
      </c>
      <c r="T276" s="19">
        <f t="shared" si="224"/>
        <v>0</v>
      </c>
      <c r="U276" s="21">
        <f t="shared" si="225"/>
        <v>0</v>
      </c>
      <c r="V276" s="39"/>
      <c r="W276" s="16"/>
      <c r="X276" s="17">
        <f>VLOOKUP(W276,'DATABASE F&amp;B'!$C$3:$F$216,2,0)</f>
        <v>0</v>
      </c>
      <c r="Y276" s="18"/>
      <c r="Z276" s="19">
        <f>VLOOKUP(W276,'DATABASE F&amp;B'!$C$3:$F$216,4,0)</f>
        <v>0</v>
      </c>
      <c r="AA276" s="19">
        <f t="shared" si="226"/>
        <v>0</v>
      </c>
      <c r="AB276" s="16"/>
      <c r="AC276" s="17">
        <f>VLOOKUP(AB276,'DATABASE F&amp;B'!$C$3:$F$216,2,0)</f>
        <v>0</v>
      </c>
      <c r="AD276" s="18"/>
      <c r="AE276" s="19">
        <f>VLOOKUP(AB276,'DATABASE F&amp;B'!$C$3:$F$216,4,0)</f>
        <v>0</v>
      </c>
      <c r="AF276" s="19">
        <f t="shared" si="227"/>
        <v>0</v>
      </c>
      <c r="AG276" s="16"/>
      <c r="AH276" s="17">
        <f>VLOOKUP(AG276,'DATABASE F&amp;B'!$C$3:$F$216,2,0)</f>
        <v>0</v>
      </c>
      <c r="AI276" s="18">
        <v>1</v>
      </c>
      <c r="AJ276" s="19">
        <f>VLOOKUP(AG276,'DATABASE F&amp;B'!$C$3:$F$216,4,0)</f>
        <v>0</v>
      </c>
      <c r="AK276" s="19">
        <f t="shared" si="228"/>
        <v>0</v>
      </c>
      <c r="AL276" s="16"/>
      <c r="AM276" s="17">
        <f>VLOOKUP(AL276,'DATABASE F&amp;B'!$C$3:$F$216,2,0)</f>
        <v>0</v>
      </c>
      <c r="AN276" s="18">
        <v>1</v>
      </c>
      <c r="AO276" s="19">
        <f>VLOOKUP(AL276,'DATABASE F&amp;B'!$C$3:$F$216,4,0)</f>
        <v>0</v>
      </c>
      <c r="AP276" s="19">
        <f t="shared" si="229"/>
        <v>0</v>
      </c>
      <c r="AQ276" s="16"/>
      <c r="AR276" s="17">
        <f>VLOOKUP(AQ276,'DATABASE F&amp;B'!$C$3:$F$216,2,0)</f>
        <v>0</v>
      </c>
      <c r="AS276" s="18">
        <v>1</v>
      </c>
      <c r="AT276" s="19">
        <f>VLOOKUP(AQ276,'DATABASE F&amp;B'!$C$3:$F$216,4,0)</f>
        <v>0</v>
      </c>
      <c r="AU276" s="19">
        <f t="shared" si="230"/>
        <v>0</v>
      </c>
      <c r="AV276" s="16"/>
      <c r="AW276" s="17">
        <f>VLOOKUP(AV276,'DATABASE F&amp;B'!$C$3:$F$216,2,0)</f>
        <v>0</v>
      </c>
      <c r="AX276" s="18"/>
      <c r="AY276" s="19">
        <f>VLOOKUP(AV276,'DATABASE F&amp;B'!$C$3:$F$216,4,0)</f>
        <v>0</v>
      </c>
      <c r="AZ276" s="19">
        <f t="shared" si="231"/>
        <v>0</v>
      </c>
      <c r="BA276" s="16"/>
      <c r="BB276" s="17">
        <f>VLOOKUP(BA276,'DATABASE F&amp;B'!$C$3:$F$216,2,0)</f>
        <v>0</v>
      </c>
      <c r="BC276" s="18"/>
      <c r="BD276" s="19">
        <f>VLOOKUP(BA276,'DATABASE F&amp;B'!$C$3:$F$216,4,0)</f>
        <v>0</v>
      </c>
      <c r="BE276" s="19">
        <f t="shared" si="232"/>
        <v>0</v>
      </c>
      <c r="BF276" s="16"/>
      <c r="BG276" s="17">
        <f>VLOOKUP(BF276,'DATABASE F&amp;B'!$C$3:$F$216,2,0)</f>
        <v>0</v>
      </c>
      <c r="BH276" s="18"/>
      <c r="BI276" s="19">
        <f>VLOOKUP(BF276,'DATABASE F&amp;B'!$C$3:$F$216,4,0)</f>
        <v>0</v>
      </c>
      <c r="BJ276" s="19">
        <f t="shared" si="233"/>
        <v>0</v>
      </c>
      <c r="BK276" s="16"/>
      <c r="BL276" s="17">
        <f>VLOOKUP(BK276,'DATABASE F&amp;B'!$C$3:$F$210,2,0)</f>
        <v>0</v>
      </c>
      <c r="BM276" s="18"/>
      <c r="BN276" s="19">
        <f>VLOOKUP(BK276,'DATABASE F&amp;B'!$C$3:$F$210,4,0)</f>
        <v>0</v>
      </c>
      <c r="BO276" s="19">
        <f t="shared" si="234"/>
        <v>0</v>
      </c>
      <c r="BP276" s="16"/>
      <c r="BQ276" s="17">
        <f>VLOOKUP(BP276,'DATABASE F&amp;B'!$C$3:$F$210,2,0)</f>
        <v>0</v>
      </c>
      <c r="BR276" s="18"/>
      <c r="BS276" s="19">
        <f>VLOOKUP(BP276,'DATABASE F&amp;B'!$C$3:$F$210,4,0)</f>
        <v>0</v>
      </c>
      <c r="BT276" s="19">
        <f t="shared" si="235"/>
        <v>0</v>
      </c>
      <c r="BU276" s="16"/>
      <c r="BV276" s="17">
        <f>VLOOKUP(BU276,'DATABASE F&amp;B'!$C$3:$F$210,2,0)</f>
        <v>0</v>
      </c>
      <c r="BW276" s="18"/>
      <c r="BX276" s="19">
        <f>VLOOKUP(BU276,'DATABASE F&amp;B'!$C$3:$F$210,4,0)</f>
        <v>0</v>
      </c>
      <c r="BY276" s="19">
        <f t="shared" si="236"/>
        <v>0</v>
      </c>
      <c r="BZ276" s="16"/>
      <c r="CA276" s="17">
        <f>VLOOKUP(BZ276,'DATABASE F&amp;B'!$C$3:$F$210,2,0)</f>
        <v>0</v>
      </c>
      <c r="CB276" s="18"/>
      <c r="CC276" s="19">
        <f>VLOOKUP(BZ276,'DATABASE F&amp;B'!$C$3:$F$210,4,0)</f>
        <v>0</v>
      </c>
      <c r="CD276" s="19">
        <f t="shared" si="237"/>
        <v>0</v>
      </c>
    </row>
    <row r="277" spans="1:82" ht="13.5" x14ac:dyDescent="0.25">
      <c r="A277" s="32" t="str">
        <f t="shared" si="218"/>
        <v>--20</v>
      </c>
      <c r="B277" s="22">
        <f t="shared" si="241"/>
        <v>273</v>
      </c>
      <c r="C277" s="22">
        <f t="shared" si="241"/>
        <v>273</v>
      </c>
      <c r="D277" s="34"/>
      <c r="E277" s="35"/>
      <c r="F277" s="35"/>
      <c r="G277" s="52"/>
      <c r="H277" s="36" t="str">
        <f t="shared" si="240"/>
        <v>RJ--273</v>
      </c>
      <c r="I277" s="36" t="str">
        <f t="shared" si="219"/>
        <v>--20</v>
      </c>
      <c r="J277" s="37" t="e">
        <f>VLOOKUP(D277,Laporan!$C$4:$D$34,2,0)</f>
        <v>#N/A</v>
      </c>
      <c r="K277" s="48"/>
      <c r="L277" s="13"/>
      <c r="M277" s="19">
        <f>SUMIF('DATABASE Room'!$B$3:$B$7,L277,'DATABASE Room'!$D$3:$D$7)</f>
        <v>0</v>
      </c>
      <c r="N277" s="13"/>
      <c r="O277" s="21">
        <f t="shared" si="220"/>
        <v>0</v>
      </c>
      <c r="P277" s="38"/>
      <c r="Q277" s="19">
        <f t="shared" si="221"/>
        <v>0</v>
      </c>
      <c r="R277" s="21">
        <f t="shared" si="222"/>
        <v>0</v>
      </c>
      <c r="S277" s="19">
        <f t="shared" si="223"/>
        <v>3</v>
      </c>
      <c r="T277" s="19">
        <f t="shared" si="224"/>
        <v>0</v>
      </c>
      <c r="U277" s="21">
        <f t="shared" si="225"/>
        <v>0</v>
      </c>
      <c r="V277" s="39"/>
      <c r="W277" s="16"/>
      <c r="X277" s="17">
        <f>VLOOKUP(W277,'DATABASE F&amp;B'!$C$3:$F$216,2,0)</f>
        <v>0</v>
      </c>
      <c r="Y277" s="18"/>
      <c r="Z277" s="19">
        <f>VLOOKUP(W277,'DATABASE F&amp;B'!$C$3:$F$216,4,0)</f>
        <v>0</v>
      </c>
      <c r="AA277" s="19">
        <f t="shared" si="226"/>
        <v>0</v>
      </c>
      <c r="AB277" s="16"/>
      <c r="AC277" s="17">
        <f>VLOOKUP(AB277,'DATABASE F&amp;B'!$C$3:$F$216,2,0)</f>
        <v>0</v>
      </c>
      <c r="AD277" s="18"/>
      <c r="AE277" s="19">
        <f>VLOOKUP(AB277,'DATABASE F&amp;B'!$C$3:$F$216,4,0)</f>
        <v>0</v>
      </c>
      <c r="AF277" s="19">
        <f t="shared" si="227"/>
        <v>0</v>
      </c>
      <c r="AG277" s="16"/>
      <c r="AH277" s="17">
        <f>VLOOKUP(AG277,'DATABASE F&amp;B'!$C$3:$F$216,2,0)</f>
        <v>0</v>
      </c>
      <c r="AI277" s="18">
        <v>1</v>
      </c>
      <c r="AJ277" s="19">
        <f>VLOOKUP(AG277,'DATABASE F&amp;B'!$C$3:$F$216,4,0)</f>
        <v>0</v>
      </c>
      <c r="AK277" s="19">
        <f t="shared" si="228"/>
        <v>0</v>
      </c>
      <c r="AL277" s="16"/>
      <c r="AM277" s="17">
        <f>VLOOKUP(AL277,'DATABASE F&amp;B'!$C$3:$F$216,2,0)</f>
        <v>0</v>
      </c>
      <c r="AN277" s="18">
        <v>1</v>
      </c>
      <c r="AO277" s="19">
        <f>VLOOKUP(AL277,'DATABASE F&amp;B'!$C$3:$F$216,4,0)</f>
        <v>0</v>
      </c>
      <c r="AP277" s="19">
        <f t="shared" si="229"/>
        <v>0</v>
      </c>
      <c r="AQ277" s="16"/>
      <c r="AR277" s="17">
        <f>VLOOKUP(AQ277,'DATABASE F&amp;B'!$C$3:$F$216,2,0)</f>
        <v>0</v>
      </c>
      <c r="AS277" s="18">
        <v>1</v>
      </c>
      <c r="AT277" s="19">
        <f>VLOOKUP(AQ277,'DATABASE F&amp;B'!$C$3:$F$216,4,0)</f>
        <v>0</v>
      </c>
      <c r="AU277" s="19">
        <f t="shared" si="230"/>
        <v>0</v>
      </c>
      <c r="AV277" s="16"/>
      <c r="AW277" s="17">
        <f>VLOOKUP(AV277,'DATABASE F&amp;B'!$C$3:$F$216,2,0)</f>
        <v>0</v>
      </c>
      <c r="AX277" s="18"/>
      <c r="AY277" s="19">
        <f>VLOOKUP(AV277,'DATABASE F&amp;B'!$C$3:$F$216,4,0)</f>
        <v>0</v>
      </c>
      <c r="AZ277" s="19">
        <f t="shared" si="231"/>
        <v>0</v>
      </c>
      <c r="BA277" s="16"/>
      <c r="BB277" s="17">
        <f>VLOOKUP(BA277,'DATABASE F&amp;B'!$C$3:$F$216,2,0)</f>
        <v>0</v>
      </c>
      <c r="BC277" s="18"/>
      <c r="BD277" s="19">
        <f>VLOOKUP(BA277,'DATABASE F&amp;B'!$C$3:$F$216,4,0)</f>
        <v>0</v>
      </c>
      <c r="BE277" s="19">
        <f t="shared" si="232"/>
        <v>0</v>
      </c>
      <c r="BF277" s="16"/>
      <c r="BG277" s="17">
        <f>VLOOKUP(BF277,'DATABASE F&amp;B'!$C$3:$F$216,2,0)</f>
        <v>0</v>
      </c>
      <c r="BH277" s="18"/>
      <c r="BI277" s="19">
        <f>VLOOKUP(BF277,'DATABASE F&amp;B'!$C$3:$F$216,4,0)</f>
        <v>0</v>
      </c>
      <c r="BJ277" s="19">
        <f t="shared" si="233"/>
        <v>0</v>
      </c>
      <c r="BK277" s="16"/>
      <c r="BL277" s="17">
        <f>VLOOKUP(BK277,'DATABASE F&amp;B'!$C$3:$F$210,2,0)</f>
        <v>0</v>
      </c>
      <c r="BM277" s="18"/>
      <c r="BN277" s="19">
        <f>VLOOKUP(BK277,'DATABASE F&amp;B'!$C$3:$F$210,4,0)</f>
        <v>0</v>
      </c>
      <c r="BO277" s="19">
        <f t="shared" si="234"/>
        <v>0</v>
      </c>
      <c r="BP277" s="16"/>
      <c r="BQ277" s="17">
        <f>VLOOKUP(BP277,'DATABASE F&amp;B'!$C$3:$F$210,2,0)</f>
        <v>0</v>
      </c>
      <c r="BR277" s="18"/>
      <c r="BS277" s="19">
        <f>VLOOKUP(BP277,'DATABASE F&amp;B'!$C$3:$F$210,4,0)</f>
        <v>0</v>
      </c>
      <c r="BT277" s="19">
        <f t="shared" si="235"/>
        <v>0</v>
      </c>
      <c r="BU277" s="16"/>
      <c r="BV277" s="17">
        <f>VLOOKUP(BU277,'DATABASE F&amp;B'!$C$3:$F$210,2,0)</f>
        <v>0</v>
      </c>
      <c r="BW277" s="18"/>
      <c r="BX277" s="19">
        <f>VLOOKUP(BU277,'DATABASE F&amp;B'!$C$3:$F$210,4,0)</f>
        <v>0</v>
      </c>
      <c r="BY277" s="19">
        <f t="shared" si="236"/>
        <v>0</v>
      </c>
      <c r="BZ277" s="16"/>
      <c r="CA277" s="17">
        <f>VLOOKUP(BZ277,'DATABASE F&amp;B'!$C$3:$F$210,2,0)</f>
        <v>0</v>
      </c>
      <c r="CB277" s="18"/>
      <c r="CC277" s="19">
        <f>VLOOKUP(BZ277,'DATABASE F&amp;B'!$C$3:$F$210,4,0)</f>
        <v>0</v>
      </c>
      <c r="CD277" s="19">
        <f t="shared" si="237"/>
        <v>0</v>
      </c>
    </row>
    <row r="278" spans="1:82" ht="13.5" x14ac:dyDescent="0.25">
      <c r="A278" s="32" t="str">
        <f t="shared" si="218"/>
        <v>--20</v>
      </c>
      <c r="B278" s="22">
        <f t="shared" si="241"/>
        <v>274</v>
      </c>
      <c r="C278" s="22">
        <f t="shared" si="241"/>
        <v>274</v>
      </c>
      <c r="D278" s="34"/>
      <c r="E278" s="35"/>
      <c r="F278" s="35"/>
      <c r="G278" s="52"/>
      <c r="H278" s="36" t="str">
        <f t="shared" si="240"/>
        <v>RJ--274</v>
      </c>
      <c r="I278" s="36" t="str">
        <f t="shared" si="219"/>
        <v>--20</v>
      </c>
      <c r="J278" s="37" t="e">
        <f>VLOOKUP(D278,Laporan!$C$4:$D$34,2,0)</f>
        <v>#N/A</v>
      </c>
      <c r="K278" s="48"/>
      <c r="L278" s="13"/>
      <c r="M278" s="19">
        <f>SUMIF('DATABASE Room'!$B$3:$B$7,L278,'DATABASE Room'!$D$3:$D$7)</f>
        <v>0</v>
      </c>
      <c r="N278" s="13"/>
      <c r="O278" s="21">
        <f t="shared" si="220"/>
        <v>0</v>
      </c>
      <c r="P278" s="38"/>
      <c r="Q278" s="19">
        <f t="shared" si="221"/>
        <v>0</v>
      </c>
      <c r="R278" s="21">
        <f t="shared" si="222"/>
        <v>0</v>
      </c>
      <c r="S278" s="19">
        <f t="shared" si="223"/>
        <v>3</v>
      </c>
      <c r="T278" s="19">
        <f t="shared" si="224"/>
        <v>0</v>
      </c>
      <c r="U278" s="21">
        <f t="shared" si="225"/>
        <v>0</v>
      </c>
      <c r="V278" s="39"/>
      <c r="W278" s="16"/>
      <c r="X278" s="17">
        <f>VLOOKUP(W278,'DATABASE F&amp;B'!$C$3:$F$216,2,0)</f>
        <v>0</v>
      </c>
      <c r="Y278" s="18"/>
      <c r="Z278" s="19">
        <f>VLOOKUP(W278,'DATABASE F&amp;B'!$C$3:$F$216,4,0)</f>
        <v>0</v>
      </c>
      <c r="AA278" s="19">
        <f t="shared" si="226"/>
        <v>0</v>
      </c>
      <c r="AB278" s="16"/>
      <c r="AC278" s="17">
        <f>VLOOKUP(AB278,'DATABASE F&amp;B'!$C$3:$F$216,2,0)</f>
        <v>0</v>
      </c>
      <c r="AD278" s="18"/>
      <c r="AE278" s="19">
        <f>VLOOKUP(AB278,'DATABASE F&amp;B'!$C$3:$F$216,4,0)</f>
        <v>0</v>
      </c>
      <c r="AF278" s="19">
        <f t="shared" si="227"/>
        <v>0</v>
      </c>
      <c r="AG278" s="16"/>
      <c r="AH278" s="17">
        <f>VLOOKUP(AG278,'DATABASE F&amp;B'!$C$3:$F$216,2,0)</f>
        <v>0</v>
      </c>
      <c r="AI278" s="18">
        <v>1</v>
      </c>
      <c r="AJ278" s="19">
        <f>VLOOKUP(AG278,'DATABASE F&amp;B'!$C$3:$F$216,4,0)</f>
        <v>0</v>
      </c>
      <c r="AK278" s="19">
        <f t="shared" si="228"/>
        <v>0</v>
      </c>
      <c r="AL278" s="16"/>
      <c r="AM278" s="17">
        <f>VLOOKUP(AL278,'DATABASE F&amp;B'!$C$3:$F$216,2,0)</f>
        <v>0</v>
      </c>
      <c r="AN278" s="18">
        <v>1</v>
      </c>
      <c r="AO278" s="19">
        <f>VLOOKUP(AL278,'DATABASE F&amp;B'!$C$3:$F$216,4,0)</f>
        <v>0</v>
      </c>
      <c r="AP278" s="19">
        <f t="shared" si="229"/>
        <v>0</v>
      </c>
      <c r="AQ278" s="16"/>
      <c r="AR278" s="17">
        <f>VLOOKUP(AQ278,'DATABASE F&amp;B'!$C$3:$F$216,2,0)</f>
        <v>0</v>
      </c>
      <c r="AS278" s="18">
        <v>1</v>
      </c>
      <c r="AT278" s="19">
        <f>VLOOKUP(AQ278,'DATABASE F&amp;B'!$C$3:$F$216,4,0)</f>
        <v>0</v>
      </c>
      <c r="AU278" s="19">
        <f t="shared" si="230"/>
        <v>0</v>
      </c>
      <c r="AV278" s="16"/>
      <c r="AW278" s="17">
        <f>VLOOKUP(AV278,'DATABASE F&amp;B'!$C$3:$F$216,2,0)</f>
        <v>0</v>
      </c>
      <c r="AX278" s="18"/>
      <c r="AY278" s="19">
        <f>VLOOKUP(AV278,'DATABASE F&amp;B'!$C$3:$F$216,4,0)</f>
        <v>0</v>
      </c>
      <c r="AZ278" s="19">
        <f t="shared" si="231"/>
        <v>0</v>
      </c>
      <c r="BA278" s="16"/>
      <c r="BB278" s="17">
        <f>VLOOKUP(BA278,'DATABASE F&amp;B'!$C$3:$F$216,2,0)</f>
        <v>0</v>
      </c>
      <c r="BC278" s="18"/>
      <c r="BD278" s="19">
        <f>VLOOKUP(BA278,'DATABASE F&amp;B'!$C$3:$F$216,4,0)</f>
        <v>0</v>
      </c>
      <c r="BE278" s="19">
        <f t="shared" si="232"/>
        <v>0</v>
      </c>
      <c r="BF278" s="16"/>
      <c r="BG278" s="17">
        <f>VLOOKUP(BF278,'DATABASE F&amp;B'!$C$3:$F$216,2,0)</f>
        <v>0</v>
      </c>
      <c r="BH278" s="18"/>
      <c r="BI278" s="19">
        <f>VLOOKUP(BF278,'DATABASE F&amp;B'!$C$3:$F$216,4,0)</f>
        <v>0</v>
      </c>
      <c r="BJ278" s="19">
        <f t="shared" si="233"/>
        <v>0</v>
      </c>
      <c r="BK278" s="16"/>
      <c r="BL278" s="17">
        <f>VLOOKUP(BK278,'DATABASE F&amp;B'!$C$3:$F$210,2,0)</f>
        <v>0</v>
      </c>
      <c r="BM278" s="18"/>
      <c r="BN278" s="19">
        <f>VLOOKUP(BK278,'DATABASE F&amp;B'!$C$3:$F$210,4,0)</f>
        <v>0</v>
      </c>
      <c r="BO278" s="19">
        <f t="shared" si="234"/>
        <v>0</v>
      </c>
      <c r="BP278" s="16"/>
      <c r="BQ278" s="17">
        <f>VLOOKUP(BP278,'DATABASE F&amp;B'!$C$3:$F$210,2,0)</f>
        <v>0</v>
      </c>
      <c r="BR278" s="18"/>
      <c r="BS278" s="19">
        <f>VLOOKUP(BP278,'DATABASE F&amp;B'!$C$3:$F$210,4,0)</f>
        <v>0</v>
      </c>
      <c r="BT278" s="19">
        <f t="shared" si="235"/>
        <v>0</v>
      </c>
      <c r="BU278" s="16"/>
      <c r="BV278" s="17">
        <f>VLOOKUP(BU278,'DATABASE F&amp;B'!$C$3:$F$210,2,0)</f>
        <v>0</v>
      </c>
      <c r="BW278" s="18"/>
      <c r="BX278" s="19">
        <f>VLOOKUP(BU278,'DATABASE F&amp;B'!$C$3:$F$210,4,0)</f>
        <v>0</v>
      </c>
      <c r="BY278" s="19">
        <f t="shared" si="236"/>
        <v>0</v>
      </c>
      <c r="BZ278" s="16"/>
      <c r="CA278" s="17">
        <f>VLOOKUP(BZ278,'DATABASE F&amp;B'!$C$3:$F$210,2,0)</f>
        <v>0</v>
      </c>
      <c r="CB278" s="18"/>
      <c r="CC278" s="19">
        <f>VLOOKUP(BZ278,'DATABASE F&amp;B'!$C$3:$F$210,4,0)</f>
        <v>0</v>
      </c>
      <c r="CD278" s="19">
        <f t="shared" si="237"/>
        <v>0</v>
      </c>
    </row>
    <row r="279" spans="1:82" ht="13.5" x14ac:dyDescent="0.25">
      <c r="A279" s="32" t="str">
        <f t="shared" si="218"/>
        <v>--20</v>
      </c>
      <c r="B279" s="22">
        <f t="shared" ref="B279:C294" si="242">B278+1</f>
        <v>275</v>
      </c>
      <c r="C279" s="22">
        <f t="shared" si="242"/>
        <v>275</v>
      </c>
      <c r="D279" s="34"/>
      <c r="E279" s="35"/>
      <c r="F279" s="35"/>
      <c r="G279" s="52"/>
      <c r="H279" s="36" t="str">
        <f t="shared" si="240"/>
        <v>RJ--275</v>
      </c>
      <c r="I279" s="36" t="str">
        <f t="shared" si="219"/>
        <v>--20</v>
      </c>
      <c r="J279" s="37" t="e">
        <f>VLOOKUP(D279,Laporan!$C$4:$D$34,2,0)</f>
        <v>#N/A</v>
      </c>
      <c r="K279" s="48"/>
      <c r="L279" s="13"/>
      <c r="M279" s="19">
        <f>SUMIF('DATABASE Room'!$B$3:$B$7,L279,'DATABASE Room'!$D$3:$D$7)</f>
        <v>0</v>
      </c>
      <c r="N279" s="13"/>
      <c r="O279" s="21">
        <f t="shared" si="220"/>
        <v>0</v>
      </c>
      <c r="P279" s="38"/>
      <c r="Q279" s="19">
        <f t="shared" si="221"/>
        <v>0</v>
      </c>
      <c r="R279" s="21">
        <f t="shared" si="222"/>
        <v>0</v>
      </c>
      <c r="S279" s="19">
        <f t="shared" si="223"/>
        <v>3</v>
      </c>
      <c r="T279" s="19">
        <f t="shared" si="224"/>
        <v>0</v>
      </c>
      <c r="U279" s="21">
        <f t="shared" si="225"/>
        <v>0</v>
      </c>
      <c r="V279" s="39"/>
      <c r="W279" s="16"/>
      <c r="X279" s="17">
        <f>VLOOKUP(W279,'DATABASE F&amp;B'!$C$3:$F$216,2,0)</f>
        <v>0</v>
      </c>
      <c r="Y279" s="18"/>
      <c r="Z279" s="19">
        <f>VLOOKUP(W279,'DATABASE F&amp;B'!$C$3:$F$216,4,0)</f>
        <v>0</v>
      </c>
      <c r="AA279" s="19">
        <f t="shared" si="226"/>
        <v>0</v>
      </c>
      <c r="AB279" s="16"/>
      <c r="AC279" s="17">
        <f>VLOOKUP(AB279,'DATABASE F&amp;B'!$C$3:$F$216,2,0)</f>
        <v>0</v>
      </c>
      <c r="AD279" s="18"/>
      <c r="AE279" s="19">
        <f>VLOOKUP(AB279,'DATABASE F&amp;B'!$C$3:$F$216,4,0)</f>
        <v>0</v>
      </c>
      <c r="AF279" s="19">
        <f t="shared" si="227"/>
        <v>0</v>
      </c>
      <c r="AG279" s="16"/>
      <c r="AH279" s="17">
        <f>VLOOKUP(AG279,'DATABASE F&amp;B'!$C$3:$F$216,2,0)</f>
        <v>0</v>
      </c>
      <c r="AI279" s="18">
        <v>1</v>
      </c>
      <c r="AJ279" s="19">
        <f>VLOOKUP(AG279,'DATABASE F&amp;B'!$C$3:$F$216,4,0)</f>
        <v>0</v>
      </c>
      <c r="AK279" s="19">
        <f t="shared" si="228"/>
        <v>0</v>
      </c>
      <c r="AL279" s="16"/>
      <c r="AM279" s="17">
        <f>VLOOKUP(AL279,'DATABASE F&amp;B'!$C$3:$F$216,2,0)</f>
        <v>0</v>
      </c>
      <c r="AN279" s="18">
        <v>1</v>
      </c>
      <c r="AO279" s="19">
        <f>VLOOKUP(AL279,'DATABASE F&amp;B'!$C$3:$F$216,4,0)</f>
        <v>0</v>
      </c>
      <c r="AP279" s="19">
        <f t="shared" si="229"/>
        <v>0</v>
      </c>
      <c r="AQ279" s="16"/>
      <c r="AR279" s="17">
        <f>VLOOKUP(AQ279,'DATABASE F&amp;B'!$C$3:$F$216,2,0)</f>
        <v>0</v>
      </c>
      <c r="AS279" s="18">
        <v>1</v>
      </c>
      <c r="AT279" s="19">
        <f>VLOOKUP(AQ279,'DATABASE F&amp;B'!$C$3:$F$216,4,0)</f>
        <v>0</v>
      </c>
      <c r="AU279" s="19">
        <f t="shared" si="230"/>
        <v>0</v>
      </c>
      <c r="AV279" s="16"/>
      <c r="AW279" s="17">
        <f>VLOOKUP(AV279,'DATABASE F&amp;B'!$C$3:$F$216,2,0)</f>
        <v>0</v>
      </c>
      <c r="AX279" s="18"/>
      <c r="AY279" s="19">
        <f>VLOOKUP(AV279,'DATABASE F&amp;B'!$C$3:$F$216,4,0)</f>
        <v>0</v>
      </c>
      <c r="AZ279" s="19">
        <f t="shared" si="231"/>
        <v>0</v>
      </c>
      <c r="BA279" s="16"/>
      <c r="BB279" s="17">
        <f>VLOOKUP(BA279,'DATABASE F&amp;B'!$C$3:$F$216,2,0)</f>
        <v>0</v>
      </c>
      <c r="BC279" s="18"/>
      <c r="BD279" s="19">
        <f>VLOOKUP(BA279,'DATABASE F&amp;B'!$C$3:$F$216,4,0)</f>
        <v>0</v>
      </c>
      <c r="BE279" s="19">
        <f t="shared" si="232"/>
        <v>0</v>
      </c>
      <c r="BF279" s="16"/>
      <c r="BG279" s="17">
        <f>VLOOKUP(BF279,'DATABASE F&amp;B'!$C$3:$F$216,2,0)</f>
        <v>0</v>
      </c>
      <c r="BH279" s="18"/>
      <c r="BI279" s="19">
        <f>VLOOKUP(BF279,'DATABASE F&amp;B'!$C$3:$F$216,4,0)</f>
        <v>0</v>
      </c>
      <c r="BJ279" s="19">
        <f t="shared" si="233"/>
        <v>0</v>
      </c>
      <c r="BK279" s="16"/>
      <c r="BL279" s="17">
        <f>VLOOKUP(BK279,'DATABASE F&amp;B'!$C$3:$F$210,2,0)</f>
        <v>0</v>
      </c>
      <c r="BM279" s="18"/>
      <c r="BN279" s="19">
        <f>VLOOKUP(BK279,'DATABASE F&amp;B'!$C$3:$F$210,4,0)</f>
        <v>0</v>
      </c>
      <c r="BO279" s="19">
        <f t="shared" si="234"/>
        <v>0</v>
      </c>
      <c r="BP279" s="16"/>
      <c r="BQ279" s="17">
        <f>VLOOKUP(BP279,'DATABASE F&amp;B'!$C$3:$F$210,2,0)</f>
        <v>0</v>
      </c>
      <c r="BR279" s="18"/>
      <c r="BS279" s="19">
        <f>VLOOKUP(BP279,'DATABASE F&amp;B'!$C$3:$F$210,4,0)</f>
        <v>0</v>
      </c>
      <c r="BT279" s="19">
        <f t="shared" si="235"/>
        <v>0</v>
      </c>
      <c r="BU279" s="16"/>
      <c r="BV279" s="17">
        <f>VLOOKUP(BU279,'DATABASE F&amp;B'!$C$3:$F$210,2,0)</f>
        <v>0</v>
      </c>
      <c r="BW279" s="18"/>
      <c r="BX279" s="19">
        <f>VLOOKUP(BU279,'DATABASE F&amp;B'!$C$3:$F$210,4,0)</f>
        <v>0</v>
      </c>
      <c r="BY279" s="19">
        <f t="shared" si="236"/>
        <v>0</v>
      </c>
      <c r="BZ279" s="16"/>
      <c r="CA279" s="17">
        <f>VLOOKUP(BZ279,'DATABASE F&amp;B'!$C$3:$F$210,2,0)</f>
        <v>0</v>
      </c>
      <c r="CB279" s="18"/>
      <c r="CC279" s="19">
        <f>VLOOKUP(BZ279,'DATABASE F&amp;B'!$C$3:$F$210,4,0)</f>
        <v>0</v>
      </c>
      <c r="CD279" s="19">
        <f t="shared" si="237"/>
        <v>0</v>
      </c>
    </row>
    <row r="280" spans="1:82" ht="13.5" x14ac:dyDescent="0.25">
      <c r="A280" s="32" t="str">
        <f t="shared" si="218"/>
        <v>--20</v>
      </c>
      <c r="B280" s="22">
        <f t="shared" si="242"/>
        <v>276</v>
      </c>
      <c r="C280" s="22">
        <f t="shared" si="242"/>
        <v>276</v>
      </c>
      <c r="D280" s="34"/>
      <c r="E280" s="35"/>
      <c r="F280" s="35"/>
      <c r="G280" s="52"/>
      <c r="H280" s="36" t="str">
        <f t="shared" si="240"/>
        <v>RJ--276</v>
      </c>
      <c r="I280" s="36" t="str">
        <f t="shared" si="219"/>
        <v>--20</v>
      </c>
      <c r="J280" s="37" t="e">
        <f>VLOOKUP(D280,Laporan!$C$4:$D$34,2,0)</f>
        <v>#N/A</v>
      </c>
      <c r="K280" s="48"/>
      <c r="L280" s="13"/>
      <c r="M280" s="19">
        <f>SUMIF('DATABASE Room'!$B$3:$B$7,L280,'DATABASE Room'!$D$3:$D$7)</f>
        <v>0</v>
      </c>
      <c r="N280" s="13"/>
      <c r="O280" s="21">
        <f t="shared" si="220"/>
        <v>0</v>
      </c>
      <c r="P280" s="38"/>
      <c r="Q280" s="19">
        <f t="shared" si="221"/>
        <v>0</v>
      </c>
      <c r="R280" s="21">
        <f t="shared" si="222"/>
        <v>0</v>
      </c>
      <c r="S280" s="19">
        <f t="shared" si="223"/>
        <v>3</v>
      </c>
      <c r="T280" s="19">
        <f t="shared" si="224"/>
        <v>0</v>
      </c>
      <c r="U280" s="21">
        <f t="shared" si="225"/>
        <v>0</v>
      </c>
      <c r="V280" s="39"/>
      <c r="W280" s="16"/>
      <c r="X280" s="17">
        <f>VLOOKUP(W280,'DATABASE F&amp;B'!$C$3:$F$216,2,0)</f>
        <v>0</v>
      </c>
      <c r="Y280" s="18"/>
      <c r="Z280" s="19">
        <f>VLOOKUP(W280,'DATABASE F&amp;B'!$C$3:$F$216,4,0)</f>
        <v>0</v>
      </c>
      <c r="AA280" s="19">
        <f t="shared" si="226"/>
        <v>0</v>
      </c>
      <c r="AB280" s="16"/>
      <c r="AC280" s="17">
        <f>VLOOKUP(AB280,'DATABASE F&amp;B'!$C$3:$F$216,2,0)</f>
        <v>0</v>
      </c>
      <c r="AD280" s="18"/>
      <c r="AE280" s="19">
        <f>VLOOKUP(AB280,'DATABASE F&amp;B'!$C$3:$F$216,4,0)</f>
        <v>0</v>
      </c>
      <c r="AF280" s="19">
        <f t="shared" si="227"/>
        <v>0</v>
      </c>
      <c r="AG280" s="16"/>
      <c r="AH280" s="17">
        <f>VLOOKUP(AG280,'DATABASE F&amp;B'!$C$3:$F$216,2,0)</f>
        <v>0</v>
      </c>
      <c r="AI280" s="18">
        <v>1</v>
      </c>
      <c r="AJ280" s="19">
        <f>VLOOKUP(AG280,'DATABASE F&amp;B'!$C$3:$F$216,4,0)</f>
        <v>0</v>
      </c>
      <c r="AK280" s="19">
        <f t="shared" si="228"/>
        <v>0</v>
      </c>
      <c r="AL280" s="16"/>
      <c r="AM280" s="17">
        <f>VLOOKUP(AL280,'DATABASE F&amp;B'!$C$3:$F$216,2,0)</f>
        <v>0</v>
      </c>
      <c r="AN280" s="18">
        <v>1</v>
      </c>
      <c r="AO280" s="19">
        <f>VLOOKUP(AL280,'DATABASE F&amp;B'!$C$3:$F$216,4,0)</f>
        <v>0</v>
      </c>
      <c r="AP280" s="19">
        <f t="shared" si="229"/>
        <v>0</v>
      </c>
      <c r="AQ280" s="16"/>
      <c r="AR280" s="17">
        <f>VLOOKUP(AQ280,'DATABASE F&amp;B'!$C$3:$F$216,2,0)</f>
        <v>0</v>
      </c>
      <c r="AS280" s="18">
        <v>1</v>
      </c>
      <c r="AT280" s="19">
        <f>VLOOKUP(AQ280,'DATABASE F&amp;B'!$C$3:$F$216,4,0)</f>
        <v>0</v>
      </c>
      <c r="AU280" s="19">
        <f t="shared" si="230"/>
        <v>0</v>
      </c>
      <c r="AV280" s="16"/>
      <c r="AW280" s="17">
        <f>VLOOKUP(AV280,'DATABASE F&amp;B'!$C$3:$F$216,2,0)</f>
        <v>0</v>
      </c>
      <c r="AX280" s="18"/>
      <c r="AY280" s="19">
        <f>VLOOKUP(AV280,'DATABASE F&amp;B'!$C$3:$F$216,4,0)</f>
        <v>0</v>
      </c>
      <c r="AZ280" s="19">
        <f t="shared" si="231"/>
        <v>0</v>
      </c>
      <c r="BA280" s="16"/>
      <c r="BB280" s="17">
        <f>VLOOKUP(BA280,'DATABASE F&amp;B'!$C$3:$F$216,2,0)</f>
        <v>0</v>
      </c>
      <c r="BC280" s="18"/>
      <c r="BD280" s="19">
        <f>VLOOKUP(BA280,'DATABASE F&amp;B'!$C$3:$F$216,4,0)</f>
        <v>0</v>
      </c>
      <c r="BE280" s="19">
        <f t="shared" si="232"/>
        <v>0</v>
      </c>
      <c r="BF280" s="16"/>
      <c r="BG280" s="17">
        <f>VLOOKUP(BF280,'DATABASE F&amp;B'!$C$3:$F$216,2,0)</f>
        <v>0</v>
      </c>
      <c r="BH280" s="18"/>
      <c r="BI280" s="19">
        <f>VLOOKUP(BF280,'DATABASE F&amp;B'!$C$3:$F$216,4,0)</f>
        <v>0</v>
      </c>
      <c r="BJ280" s="19">
        <f t="shared" si="233"/>
        <v>0</v>
      </c>
      <c r="BK280" s="16"/>
      <c r="BL280" s="17">
        <f>VLOOKUP(BK280,'DATABASE F&amp;B'!$C$3:$F$210,2,0)</f>
        <v>0</v>
      </c>
      <c r="BM280" s="18"/>
      <c r="BN280" s="19">
        <f>VLOOKUP(BK280,'DATABASE F&amp;B'!$C$3:$F$210,4,0)</f>
        <v>0</v>
      </c>
      <c r="BO280" s="19">
        <f t="shared" si="234"/>
        <v>0</v>
      </c>
      <c r="BP280" s="16"/>
      <c r="BQ280" s="17">
        <f>VLOOKUP(BP280,'DATABASE F&amp;B'!$C$3:$F$210,2,0)</f>
        <v>0</v>
      </c>
      <c r="BR280" s="18"/>
      <c r="BS280" s="19">
        <f>VLOOKUP(BP280,'DATABASE F&amp;B'!$C$3:$F$210,4,0)</f>
        <v>0</v>
      </c>
      <c r="BT280" s="19">
        <f t="shared" si="235"/>
        <v>0</v>
      </c>
      <c r="BU280" s="16"/>
      <c r="BV280" s="17">
        <f>VLOOKUP(BU280,'DATABASE F&amp;B'!$C$3:$F$210,2,0)</f>
        <v>0</v>
      </c>
      <c r="BW280" s="18"/>
      <c r="BX280" s="19">
        <f>VLOOKUP(BU280,'DATABASE F&amp;B'!$C$3:$F$210,4,0)</f>
        <v>0</v>
      </c>
      <c r="BY280" s="19">
        <f t="shared" si="236"/>
        <v>0</v>
      </c>
      <c r="BZ280" s="16"/>
      <c r="CA280" s="17">
        <f>VLOOKUP(BZ280,'DATABASE F&amp;B'!$C$3:$F$210,2,0)</f>
        <v>0</v>
      </c>
      <c r="CB280" s="18"/>
      <c r="CC280" s="19">
        <f>VLOOKUP(BZ280,'DATABASE F&amp;B'!$C$3:$F$210,4,0)</f>
        <v>0</v>
      </c>
      <c r="CD280" s="19">
        <f t="shared" si="237"/>
        <v>0</v>
      </c>
    </row>
    <row r="281" spans="1:82" ht="13.5" x14ac:dyDescent="0.25">
      <c r="A281" s="32" t="str">
        <f t="shared" si="218"/>
        <v>--20</v>
      </c>
      <c r="B281" s="22">
        <f t="shared" si="242"/>
        <v>277</v>
      </c>
      <c r="C281" s="22">
        <f t="shared" si="242"/>
        <v>277</v>
      </c>
      <c r="D281" s="34"/>
      <c r="E281" s="35"/>
      <c r="F281" s="35"/>
      <c r="G281" s="52"/>
      <c r="H281" s="36" t="str">
        <f t="shared" si="240"/>
        <v>RJ--277</v>
      </c>
      <c r="I281" s="36" t="str">
        <f t="shared" si="219"/>
        <v>--20</v>
      </c>
      <c r="J281" s="37" t="e">
        <f>VLOOKUP(D281,Laporan!$C$4:$D$34,2,0)</f>
        <v>#N/A</v>
      </c>
      <c r="K281" s="48"/>
      <c r="L281" s="13"/>
      <c r="M281" s="19">
        <f>SUMIF('DATABASE Room'!$B$3:$B$7,L281,'DATABASE Room'!$D$3:$D$7)</f>
        <v>0</v>
      </c>
      <c r="N281" s="13"/>
      <c r="O281" s="21">
        <f t="shared" si="220"/>
        <v>0</v>
      </c>
      <c r="P281" s="38"/>
      <c r="Q281" s="19">
        <f t="shared" si="221"/>
        <v>0</v>
      </c>
      <c r="R281" s="21">
        <f t="shared" si="222"/>
        <v>0</v>
      </c>
      <c r="S281" s="19">
        <f t="shared" si="223"/>
        <v>3</v>
      </c>
      <c r="T281" s="19">
        <f t="shared" si="224"/>
        <v>0</v>
      </c>
      <c r="U281" s="21">
        <f t="shared" si="225"/>
        <v>0</v>
      </c>
      <c r="V281" s="39"/>
      <c r="W281" s="16"/>
      <c r="X281" s="17">
        <f>VLOOKUP(W281,'DATABASE F&amp;B'!$C$3:$F$216,2,0)</f>
        <v>0</v>
      </c>
      <c r="Y281" s="18"/>
      <c r="Z281" s="19">
        <f>VLOOKUP(W281,'DATABASE F&amp;B'!$C$3:$F$216,4,0)</f>
        <v>0</v>
      </c>
      <c r="AA281" s="19">
        <f t="shared" si="226"/>
        <v>0</v>
      </c>
      <c r="AB281" s="16"/>
      <c r="AC281" s="17">
        <f>VLOOKUP(AB281,'DATABASE F&amp;B'!$C$3:$F$216,2,0)</f>
        <v>0</v>
      </c>
      <c r="AD281" s="18"/>
      <c r="AE281" s="19">
        <f>VLOOKUP(AB281,'DATABASE F&amp;B'!$C$3:$F$216,4,0)</f>
        <v>0</v>
      </c>
      <c r="AF281" s="19">
        <f t="shared" si="227"/>
        <v>0</v>
      </c>
      <c r="AG281" s="16"/>
      <c r="AH281" s="17">
        <f>VLOOKUP(AG281,'DATABASE F&amp;B'!$C$3:$F$216,2,0)</f>
        <v>0</v>
      </c>
      <c r="AI281" s="18">
        <v>1</v>
      </c>
      <c r="AJ281" s="19">
        <f>VLOOKUP(AG281,'DATABASE F&amp;B'!$C$3:$F$216,4,0)</f>
        <v>0</v>
      </c>
      <c r="AK281" s="19">
        <f t="shared" si="228"/>
        <v>0</v>
      </c>
      <c r="AL281" s="16"/>
      <c r="AM281" s="17">
        <f>VLOOKUP(AL281,'DATABASE F&amp;B'!$C$3:$F$216,2,0)</f>
        <v>0</v>
      </c>
      <c r="AN281" s="18">
        <v>1</v>
      </c>
      <c r="AO281" s="19">
        <f>VLOOKUP(AL281,'DATABASE F&amp;B'!$C$3:$F$216,4,0)</f>
        <v>0</v>
      </c>
      <c r="AP281" s="19">
        <f t="shared" si="229"/>
        <v>0</v>
      </c>
      <c r="AQ281" s="16"/>
      <c r="AR281" s="17">
        <f>VLOOKUP(AQ281,'DATABASE F&amp;B'!$C$3:$F$216,2,0)</f>
        <v>0</v>
      </c>
      <c r="AS281" s="18">
        <v>1</v>
      </c>
      <c r="AT281" s="19">
        <f>VLOOKUP(AQ281,'DATABASE F&amp;B'!$C$3:$F$216,4,0)</f>
        <v>0</v>
      </c>
      <c r="AU281" s="19">
        <f t="shared" si="230"/>
        <v>0</v>
      </c>
      <c r="AV281" s="16"/>
      <c r="AW281" s="17">
        <f>VLOOKUP(AV281,'DATABASE F&amp;B'!$C$3:$F$216,2,0)</f>
        <v>0</v>
      </c>
      <c r="AX281" s="18"/>
      <c r="AY281" s="19">
        <f>VLOOKUP(AV281,'DATABASE F&amp;B'!$C$3:$F$216,4,0)</f>
        <v>0</v>
      </c>
      <c r="AZ281" s="19">
        <f t="shared" si="231"/>
        <v>0</v>
      </c>
      <c r="BA281" s="16"/>
      <c r="BB281" s="17">
        <f>VLOOKUP(BA281,'DATABASE F&amp;B'!$C$3:$F$216,2,0)</f>
        <v>0</v>
      </c>
      <c r="BC281" s="18"/>
      <c r="BD281" s="19">
        <f>VLOOKUP(BA281,'DATABASE F&amp;B'!$C$3:$F$216,4,0)</f>
        <v>0</v>
      </c>
      <c r="BE281" s="19">
        <f t="shared" si="232"/>
        <v>0</v>
      </c>
      <c r="BF281" s="16"/>
      <c r="BG281" s="17">
        <f>VLOOKUP(BF281,'DATABASE F&amp;B'!$C$3:$F$216,2,0)</f>
        <v>0</v>
      </c>
      <c r="BH281" s="18"/>
      <c r="BI281" s="19">
        <f>VLOOKUP(BF281,'DATABASE F&amp;B'!$C$3:$F$216,4,0)</f>
        <v>0</v>
      </c>
      <c r="BJ281" s="19">
        <f t="shared" si="233"/>
        <v>0</v>
      </c>
      <c r="BK281" s="16"/>
      <c r="BL281" s="17">
        <f>VLOOKUP(BK281,'DATABASE F&amp;B'!$C$3:$F$210,2,0)</f>
        <v>0</v>
      </c>
      <c r="BM281" s="18"/>
      <c r="BN281" s="19">
        <f>VLOOKUP(BK281,'DATABASE F&amp;B'!$C$3:$F$210,4,0)</f>
        <v>0</v>
      </c>
      <c r="BO281" s="19">
        <f t="shared" si="234"/>
        <v>0</v>
      </c>
      <c r="BP281" s="16"/>
      <c r="BQ281" s="17">
        <f>VLOOKUP(BP281,'DATABASE F&amp;B'!$C$3:$F$210,2,0)</f>
        <v>0</v>
      </c>
      <c r="BR281" s="18"/>
      <c r="BS281" s="19">
        <f>VLOOKUP(BP281,'DATABASE F&amp;B'!$C$3:$F$210,4,0)</f>
        <v>0</v>
      </c>
      <c r="BT281" s="19">
        <f t="shared" si="235"/>
        <v>0</v>
      </c>
      <c r="BU281" s="16"/>
      <c r="BV281" s="17">
        <f>VLOOKUP(BU281,'DATABASE F&amp;B'!$C$3:$F$210,2,0)</f>
        <v>0</v>
      </c>
      <c r="BW281" s="18"/>
      <c r="BX281" s="19">
        <f>VLOOKUP(BU281,'DATABASE F&amp;B'!$C$3:$F$210,4,0)</f>
        <v>0</v>
      </c>
      <c r="BY281" s="19">
        <f t="shared" si="236"/>
        <v>0</v>
      </c>
      <c r="BZ281" s="16"/>
      <c r="CA281" s="17">
        <f>VLOOKUP(BZ281,'DATABASE F&amp;B'!$C$3:$F$210,2,0)</f>
        <v>0</v>
      </c>
      <c r="CB281" s="18"/>
      <c r="CC281" s="19">
        <f>VLOOKUP(BZ281,'DATABASE F&amp;B'!$C$3:$F$210,4,0)</f>
        <v>0</v>
      </c>
      <c r="CD281" s="19">
        <f t="shared" si="237"/>
        <v>0</v>
      </c>
    </row>
    <row r="282" spans="1:82" ht="13.5" x14ac:dyDescent="0.25">
      <c r="A282" s="32" t="str">
        <f t="shared" si="218"/>
        <v>--20</v>
      </c>
      <c r="B282" s="22">
        <f t="shared" si="242"/>
        <v>278</v>
      </c>
      <c r="C282" s="22">
        <f t="shared" si="242"/>
        <v>278</v>
      </c>
      <c r="D282" s="34"/>
      <c r="E282" s="35"/>
      <c r="F282" s="35"/>
      <c r="G282" s="52"/>
      <c r="H282" s="36" t="str">
        <f t="shared" si="240"/>
        <v>RJ--278</v>
      </c>
      <c r="I282" s="36" t="str">
        <f t="shared" si="219"/>
        <v>--20</v>
      </c>
      <c r="J282" s="37" t="e">
        <f>VLOOKUP(D282,Laporan!$C$4:$D$34,2,0)</f>
        <v>#N/A</v>
      </c>
      <c r="K282" s="48"/>
      <c r="L282" s="13"/>
      <c r="M282" s="19">
        <f>SUMIF('DATABASE Room'!$B$3:$B$7,L282,'DATABASE Room'!$D$3:$D$7)</f>
        <v>0</v>
      </c>
      <c r="N282" s="13"/>
      <c r="O282" s="21">
        <f t="shared" si="220"/>
        <v>0</v>
      </c>
      <c r="P282" s="38"/>
      <c r="Q282" s="19">
        <f t="shared" si="221"/>
        <v>0</v>
      </c>
      <c r="R282" s="21">
        <f t="shared" si="222"/>
        <v>0</v>
      </c>
      <c r="S282" s="19">
        <f t="shared" si="223"/>
        <v>3</v>
      </c>
      <c r="T282" s="19">
        <f t="shared" si="224"/>
        <v>0</v>
      </c>
      <c r="U282" s="21">
        <f t="shared" si="225"/>
        <v>0</v>
      </c>
      <c r="V282" s="39"/>
      <c r="W282" s="16"/>
      <c r="X282" s="17">
        <f>VLOOKUP(W282,'DATABASE F&amp;B'!$C$3:$F$216,2,0)</f>
        <v>0</v>
      </c>
      <c r="Y282" s="18"/>
      <c r="Z282" s="19">
        <f>VLOOKUP(W282,'DATABASE F&amp;B'!$C$3:$F$216,4,0)</f>
        <v>0</v>
      </c>
      <c r="AA282" s="19">
        <f t="shared" si="226"/>
        <v>0</v>
      </c>
      <c r="AB282" s="16"/>
      <c r="AC282" s="17">
        <f>VLOOKUP(AB282,'DATABASE F&amp;B'!$C$3:$F$216,2,0)</f>
        <v>0</v>
      </c>
      <c r="AD282" s="18"/>
      <c r="AE282" s="19">
        <f>VLOOKUP(AB282,'DATABASE F&amp;B'!$C$3:$F$216,4,0)</f>
        <v>0</v>
      </c>
      <c r="AF282" s="19">
        <f t="shared" si="227"/>
        <v>0</v>
      </c>
      <c r="AG282" s="16"/>
      <c r="AH282" s="17">
        <f>VLOOKUP(AG282,'DATABASE F&amp;B'!$C$3:$F$216,2,0)</f>
        <v>0</v>
      </c>
      <c r="AI282" s="18">
        <v>1</v>
      </c>
      <c r="AJ282" s="19">
        <f>VLOOKUP(AG282,'DATABASE F&amp;B'!$C$3:$F$216,4,0)</f>
        <v>0</v>
      </c>
      <c r="AK282" s="19">
        <f t="shared" si="228"/>
        <v>0</v>
      </c>
      <c r="AL282" s="16"/>
      <c r="AM282" s="17">
        <f>VLOOKUP(AL282,'DATABASE F&amp;B'!$C$3:$F$216,2,0)</f>
        <v>0</v>
      </c>
      <c r="AN282" s="18">
        <v>1</v>
      </c>
      <c r="AO282" s="19">
        <f>VLOOKUP(AL282,'DATABASE F&amp;B'!$C$3:$F$216,4,0)</f>
        <v>0</v>
      </c>
      <c r="AP282" s="19">
        <f t="shared" si="229"/>
        <v>0</v>
      </c>
      <c r="AQ282" s="16"/>
      <c r="AR282" s="17">
        <f>VLOOKUP(AQ282,'DATABASE F&amp;B'!$C$3:$F$216,2,0)</f>
        <v>0</v>
      </c>
      <c r="AS282" s="18">
        <v>1</v>
      </c>
      <c r="AT282" s="19">
        <f>VLOOKUP(AQ282,'DATABASE F&amp;B'!$C$3:$F$216,4,0)</f>
        <v>0</v>
      </c>
      <c r="AU282" s="19">
        <f t="shared" si="230"/>
        <v>0</v>
      </c>
      <c r="AV282" s="16"/>
      <c r="AW282" s="17">
        <f>VLOOKUP(AV282,'DATABASE F&amp;B'!$C$3:$F$216,2,0)</f>
        <v>0</v>
      </c>
      <c r="AX282" s="18"/>
      <c r="AY282" s="19">
        <f>VLOOKUP(AV282,'DATABASE F&amp;B'!$C$3:$F$216,4,0)</f>
        <v>0</v>
      </c>
      <c r="AZ282" s="19">
        <f t="shared" si="231"/>
        <v>0</v>
      </c>
      <c r="BA282" s="16"/>
      <c r="BB282" s="17">
        <f>VLOOKUP(BA282,'DATABASE F&amp;B'!$C$3:$F$216,2,0)</f>
        <v>0</v>
      </c>
      <c r="BC282" s="18"/>
      <c r="BD282" s="19">
        <f>VLOOKUP(BA282,'DATABASE F&amp;B'!$C$3:$F$216,4,0)</f>
        <v>0</v>
      </c>
      <c r="BE282" s="19">
        <f t="shared" si="232"/>
        <v>0</v>
      </c>
      <c r="BF282" s="16"/>
      <c r="BG282" s="17">
        <f>VLOOKUP(BF282,'DATABASE F&amp;B'!$C$3:$F$216,2,0)</f>
        <v>0</v>
      </c>
      <c r="BH282" s="18"/>
      <c r="BI282" s="19">
        <f>VLOOKUP(BF282,'DATABASE F&amp;B'!$C$3:$F$216,4,0)</f>
        <v>0</v>
      </c>
      <c r="BJ282" s="19">
        <f t="shared" si="233"/>
        <v>0</v>
      </c>
      <c r="BK282" s="16"/>
      <c r="BL282" s="17">
        <f>VLOOKUP(BK282,'DATABASE F&amp;B'!$C$3:$F$210,2,0)</f>
        <v>0</v>
      </c>
      <c r="BM282" s="18"/>
      <c r="BN282" s="19">
        <f>VLOOKUP(BK282,'DATABASE F&amp;B'!$C$3:$F$210,4,0)</f>
        <v>0</v>
      </c>
      <c r="BO282" s="19">
        <f t="shared" si="234"/>
        <v>0</v>
      </c>
      <c r="BP282" s="16"/>
      <c r="BQ282" s="17">
        <f>VLOOKUP(BP282,'DATABASE F&amp;B'!$C$3:$F$210,2,0)</f>
        <v>0</v>
      </c>
      <c r="BR282" s="18"/>
      <c r="BS282" s="19">
        <f>VLOOKUP(BP282,'DATABASE F&amp;B'!$C$3:$F$210,4,0)</f>
        <v>0</v>
      </c>
      <c r="BT282" s="19">
        <f t="shared" si="235"/>
        <v>0</v>
      </c>
      <c r="BU282" s="16"/>
      <c r="BV282" s="17">
        <f>VLOOKUP(BU282,'DATABASE F&amp;B'!$C$3:$F$210,2,0)</f>
        <v>0</v>
      </c>
      <c r="BW282" s="18"/>
      <c r="BX282" s="19">
        <f>VLOOKUP(BU282,'DATABASE F&amp;B'!$C$3:$F$210,4,0)</f>
        <v>0</v>
      </c>
      <c r="BY282" s="19">
        <f t="shared" si="236"/>
        <v>0</v>
      </c>
      <c r="BZ282" s="16"/>
      <c r="CA282" s="17">
        <f>VLOOKUP(BZ282,'DATABASE F&amp;B'!$C$3:$F$210,2,0)</f>
        <v>0</v>
      </c>
      <c r="CB282" s="18"/>
      <c r="CC282" s="19">
        <f>VLOOKUP(BZ282,'DATABASE F&amp;B'!$C$3:$F$210,4,0)</f>
        <v>0</v>
      </c>
      <c r="CD282" s="19">
        <f t="shared" si="237"/>
        <v>0</v>
      </c>
    </row>
    <row r="283" spans="1:82" ht="13.5" x14ac:dyDescent="0.25">
      <c r="A283" s="32" t="str">
        <f t="shared" si="218"/>
        <v>--20</v>
      </c>
      <c r="B283" s="22">
        <f t="shared" si="242"/>
        <v>279</v>
      </c>
      <c r="C283" s="22">
        <f t="shared" si="242"/>
        <v>279</v>
      </c>
      <c r="D283" s="34"/>
      <c r="E283" s="35"/>
      <c r="F283" s="35"/>
      <c r="G283" s="52"/>
      <c r="H283" s="36" t="str">
        <f t="shared" si="240"/>
        <v>RJ--279</v>
      </c>
      <c r="I283" s="36" t="str">
        <f t="shared" si="219"/>
        <v>--20</v>
      </c>
      <c r="J283" s="37" t="e">
        <f>VLOOKUP(D283,Laporan!$C$4:$D$34,2,0)</f>
        <v>#N/A</v>
      </c>
      <c r="K283" s="48"/>
      <c r="L283" s="13"/>
      <c r="M283" s="19">
        <f>SUMIF('DATABASE Room'!$B$3:$B$7,L283,'DATABASE Room'!$D$3:$D$7)</f>
        <v>0</v>
      </c>
      <c r="N283" s="13"/>
      <c r="O283" s="21">
        <f t="shared" si="220"/>
        <v>0</v>
      </c>
      <c r="P283" s="38"/>
      <c r="Q283" s="19">
        <f t="shared" si="221"/>
        <v>0</v>
      </c>
      <c r="R283" s="21">
        <f t="shared" si="222"/>
        <v>0</v>
      </c>
      <c r="S283" s="19">
        <f t="shared" si="223"/>
        <v>3</v>
      </c>
      <c r="T283" s="19">
        <f t="shared" si="224"/>
        <v>0</v>
      </c>
      <c r="U283" s="21">
        <f t="shared" si="225"/>
        <v>0</v>
      </c>
      <c r="V283" s="39"/>
      <c r="W283" s="16"/>
      <c r="X283" s="17">
        <f>VLOOKUP(W283,'DATABASE F&amp;B'!$C$3:$F$216,2,0)</f>
        <v>0</v>
      </c>
      <c r="Y283" s="18"/>
      <c r="Z283" s="19">
        <f>VLOOKUP(W283,'DATABASE F&amp;B'!$C$3:$F$216,4,0)</f>
        <v>0</v>
      </c>
      <c r="AA283" s="19">
        <f t="shared" si="226"/>
        <v>0</v>
      </c>
      <c r="AB283" s="16"/>
      <c r="AC283" s="17">
        <f>VLOOKUP(AB283,'DATABASE F&amp;B'!$C$3:$F$216,2,0)</f>
        <v>0</v>
      </c>
      <c r="AD283" s="18"/>
      <c r="AE283" s="19">
        <f>VLOOKUP(AB283,'DATABASE F&amp;B'!$C$3:$F$216,4,0)</f>
        <v>0</v>
      </c>
      <c r="AF283" s="19">
        <f t="shared" si="227"/>
        <v>0</v>
      </c>
      <c r="AG283" s="16"/>
      <c r="AH283" s="17">
        <f>VLOOKUP(AG283,'DATABASE F&amp;B'!$C$3:$F$216,2,0)</f>
        <v>0</v>
      </c>
      <c r="AI283" s="18">
        <v>1</v>
      </c>
      <c r="AJ283" s="19">
        <f>VLOOKUP(AG283,'DATABASE F&amp;B'!$C$3:$F$216,4,0)</f>
        <v>0</v>
      </c>
      <c r="AK283" s="19">
        <f t="shared" si="228"/>
        <v>0</v>
      </c>
      <c r="AL283" s="16"/>
      <c r="AM283" s="17">
        <f>VLOOKUP(AL283,'DATABASE F&amp;B'!$C$3:$F$216,2,0)</f>
        <v>0</v>
      </c>
      <c r="AN283" s="18">
        <v>1</v>
      </c>
      <c r="AO283" s="19">
        <f>VLOOKUP(AL283,'DATABASE F&amp;B'!$C$3:$F$216,4,0)</f>
        <v>0</v>
      </c>
      <c r="AP283" s="19">
        <f t="shared" si="229"/>
        <v>0</v>
      </c>
      <c r="AQ283" s="16"/>
      <c r="AR283" s="17">
        <f>VLOOKUP(AQ283,'DATABASE F&amp;B'!$C$3:$F$216,2,0)</f>
        <v>0</v>
      </c>
      <c r="AS283" s="18">
        <v>1</v>
      </c>
      <c r="AT283" s="19">
        <f>VLOOKUP(AQ283,'DATABASE F&amp;B'!$C$3:$F$216,4,0)</f>
        <v>0</v>
      </c>
      <c r="AU283" s="19">
        <f t="shared" si="230"/>
        <v>0</v>
      </c>
      <c r="AV283" s="16"/>
      <c r="AW283" s="17">
        <f>VLOOKUP(AV283,'DATABASE F&amp;B'!$C$3:$F$216,2,0)</f>
        <v>0</v>
      </c>
      <c r="AX283" s="18"/>
      <c r="AY283" s="19">
        <f>VLOOKUP(AV283,'DATABASE F&amp;B'!$C$3:$F$216,4,0)</f>
        <v>0</v>
      </c>
      <c r="AZ283" s="19">
        <f t="shared" si="231"/>
        <v>0</v>
      </c>
      <c r="BA283" s="16"/>
      <c r="BB283" s="17">
        <f>VLOOKUP(BA283,'DATABASE F&amp;B'!$C$3:$F$216,2,0)</f>
        <v>0</v>
      </c>
      <c r="BC283" s="18"/>
      <c r="BD283" s="19">
        <f>VLOOKUP(BA283,'DATABASE F&amp;B'!$C$3:$F$216,4,0)</f>
        <v>0</v>
      </c>
      <c r="BE283" s="19">
        <f t="shared" si="232"/>
        <v>0</v>
      </c>
      <c r="BF283" s="16"/>
      <c r="BG283" s="17">
        <f>VLOOKUP(BF283,'DATABASE F&amp;B'!$C$3:$F$216,2,0)</f>
        <v>0</v>
      </c>
      <c r="BH283" s="18"/>
      <c r="BI283" s="19">
        <f>VLOOKUP(BF283,'DATABASE F&amp;B'!$C$3:$F$216,4,0)</f>
        <v>0</v>
      </c>
      <c r="BJ283" s="19">
        <f t="shared" si="233"/>
        <v>0</v>
      </c>
      <c r="BK283" s="16"/>
      <c r="BL283" s="17">
        <f>VLOOKUP(BK283,'DATABASE F&amp;B'!$C$3:$F$210,2,0)</f>
        <v>0</v>
      </c>
      <c r="BM283" s="18"/>
      <c r="BN283" s="19">
        <f>VLOOKUP(BK283,'DATABASE F&amp;B'!$C$3:$F$210,4,0)</f>
        <v>0</v>
      </c>
      <c r="BO283" s="19">
        <f t="shared" si="234"/>
        <v>0</v>
      </c>
      <c r="BP283" s="16"/>
      <c r="BQ283" s="17">
        <f>VLOOKUP(BP283,'DATABASE F&amp;B'!$C$3:$F$210,2,0)</f>
        <v>0</v>
      </c>
      <c r="BR283" s="18"/>
      <c r="BS283" s="19">
        <f>VLOOKUP(BP283,'DATABASE F&amp;B'!$C$3:$F$210,4,0)</f>
        <v>0</v>
      </c>
      <c r="BT283" s="19">
        <f t="shared" si="235"/>
        <v>0</v>
      </c>
      <c r="BU283" s="16"/>
      <c r="BV283" s="17">
        <f>VLOOKUP(BU283,'DATABASE F&amp;B'!$C$3:$F$210,2,0)</f>
        <v>0</v>
      </c>
      <c r="BW283" s="18"/>
      <c r="BX283" s="19">
        <f>VLOOKUP(BU283,'DATABASE F&amp;B'!$C$3:$F$210,4,0)</f>
        <v>0</v>
      </c>
      <c r="BY283" s="19">
        <f t="shared" si="236"/>
        <v>0</v>
      </c>
      <c r="BZ283" s="16"/>
      <c r="CA283" s="17">
        <f>VLOOKUP(BZ283,'DATABASE F&amp;B'!$C$3:$F$210,2,0)</f>
        <v>0</v>
      </c>
      <c r="CB283" s="18"/>
      <c r="CC283" s="19">
        <f>VLOOKUP(BZ283,'DATABASE F&amp;B'!$C$3:$F$210,4,0)</f>
        <v>0</v>
      </c>
      <c r="CD283" s="19">
        <f t="shared" si="237"/>
        <v>0</v>
      </c>
    </row>
    <row r="284" spans="1:82" ht="13.5" x14ac:dyDescent="0.25">
      <c r="A284" s="32" t="str">
        <f t="shared" si="218"/>
        <v>--20</v>
      </c>
      <c r="B284" s="22">
        <f t="shared" si="242"/>
        <v>280</v>
      </c>
      <c r="C284" s="22">
        <f t="shared" si="242"/>
        <v>280</v>
      </c>
      <c r="D284" s="34"/>
      <c r="E284" s="35"/>
      <c r="F284" s="35"/>
      <c r="G284" s="52"/>
      <c r="H284" s="36" t="str">
        <f t="shared" si="240"/>
        <v>RJ--280</v>
      </c>
      <c r="I284" s="36" t="str">
        <f t="shared" si="219"/>
        <v>--20</v>
      </c>
      <c r="J284" s="37" t="e">
        <f>VLOOKUP(D284,Laporan!$C$4:$D$34,2,0)</f>
        <v>#N/A</v>
      </c>
      <c r="K284" s="48"/>
      <c r="L284" s="13"/>
      <c r="M284" s="19">
        <f>SUMIF('DATABASE Room'!$B$3:$B$7,L284,'DATABASE Room'!$D$3:$D$7)</f>
        <v>0</v>
      </c>
      <c r="N284" s="13"/>
      <c r="O284" s="21">
        <f t="shared" si="220"/>
        <v>0</v>
      </c>
      <c r="P284" s="38"/>
      <c r="Q284" s="19">
        <f t="shared" si="221"/>
        <v>0</v>
      </c>
      <c r="R284" s="21">
        <f t="shared" si="222"/>
        <v>0</v>
      </c>
      <c r="S284" s="19">
        <f t="shared" si="223"/>
        <v>3</v>
      </c>
      <c r="T284" s="19">
        <f t="shared" si="224"/>
        <v>0</v>
      </c>
      <c r="U284" s="21">
        <f t="shared" si="225"/>
        <v>0</v>
      </c>
      <c r="V284" s="39"/>
      <c r="W284" s="16"/>
      <c r="X284" s="17">
        <f>VLOOKUP(W284,'DATABASE F&amp;B'!$C$3:$F$216,2,0)</f>
        <v>0</v>
      </c>
      <c r="Y284" s="18"/>
      <c r="Z284" s="19">
        <f>VLOOKUP(W284,'DATABASE F&amp;B'!$C$3:$F$216,4,0)</f>
        <v>0</v>
      </c>
      <c r="AA284" s="19">
        <f t="shared" si="226"/>
        <v>0</v>
      </c>
      <c r="AB284" s="16"/>
      <c r="AC284" s="17">
        <f>VLOOKUP(AB284,'DATABASE F&amp;B'!$C$3:$F$216,2,0)</f>
        <v>0</v>
      </c>
      <c r="AD284" s="18"/>
      <c r="AE284" s="19">
        <f>VLOOKUP(AB284,'DATABASE F&amp;B'!$C$3:$F$216,4,0)</f>
        <v>0</v>
      </c>
      <c r="AF284" s="19">
        <f t="shared" si="227"/>
        <v>0</v>
      </c>
      <c r="AG284" s="16"/>
      <c r="AH284" s="17">
        <f>VLOOKUP(AG284,'DATABASE F&amp;B'!$C$3:$F$216,2,0)</f>
        <v>0</v>
      </c>
      <c r="AI284" s="18">
        <v>1</v>
      </c>
      <c r="AJ284" s="19">
        <f>VLOOKUP(AG284,'DATABASE F&amp;B'!$C$3:$F$216,4,0)</f>
        <v>0</v>
      </c>
      <c r="AK284" s="19">
        <f t="shared" si="228"/>
        <v>0</v>
      </c>
      <c r="AL284" s="16"/>
      <c r="AM284" s="17">
        <f>VLOOKUP(AL284,'DATABASE F&amp;B'!$C$3:$F$216,2,0)</f>
        <v>0</v>
      </c>
      <c r="AN284" s="18">
        <v>1</v>
      </c>
      <c r="AO284" s="19">
        <f>VLOOKUP(AL284,'DATABASE F&amp;B'!$C$3:$F$216,4,0)</f>
        <v>0</v>
      </c>
      <c r="AP284" s="19">
        <f t="shared" si="229"/>
        <v>0</v>
      </c>
      <c r="AQ284" s="16"/>
      <c r="AR284" s="17">
        <f>VLOOKUP(AQ284,'DATABASE F&amp;B'!$C$3:$F$216,2,0)</f>
        <v>0</v>
      </c>
      <c r="AS284" s="18">
        <v>1</v>
      </c>
      <c r="AT284" s="19">
        <f>VLOOKUP(AQ284,'DATABASE F&amp;B'!$C$3:$F$216,4,0)</f>
        <v>0</v>
      </c>
      <c r="AU284" s="19">
        <f t="shared" si="230"/>
        <v>0</v>
      </c>
      <c r="AV284" s="16"/>
      <c r="AW284" s="17">
        <f>VLOOKUP(AV284,'DATABASE F&amp;B'!$C$3:$F$216,2,0)</f>
        <v>0</v>
      </c>
      <c r="AX284" s="18"/>
      <c r="AY284" s="19">
        <f>VLOOKUP(AV284,'DATABASE F&amp;B'!$C$3:$F$216,4,0)</f>
        <v>0</v>
      </c>
      <c r="AZ284" s="19">
        <f t="shared" si="231"/>
        <v>0</v>
      </c>
      <c r="BA284" s="16"/>
      <c r="BB284" s="17">
        <f>VLOOKUP(BA284,'DATABASE F&amp;B'!$C$3:$F$216,2,0)</f>
        <v>0</v>
      </c>
      <c r="BC284" s="18"/>
      <c r="BD284" s="19">
        <f>VLOOKUP(BA284,'DATABASE F&amp;B'!$C$3:$F$216,4,0)</f>
        <v>0</v>
      </c>
      <c r="BE284" s="19">
        <f t="shared" si="232"/>
        <v>0</v>
      </c>
      <c r="BF284" s="16"/>
      <c r="BG284" s="17">
        <f>VLOOKUP(BF284,'DATABASE F&amp;B'!$C$3:$F$216,2,0)</f>
        <v>0</v>
      </c>
      <c r="BH284" s="18"/>
      <c r="BI284" s="19">
        <f>VLOOKUP(BF284,'DATABASE F&amp;B'!$C$3:$F$216,4,0)</f>
        <v>0</v>
      </c>
      <c r="BJ284" s="19">
        <f t="shared" si="233"/>
        <v>0</v>
      </c>
      <c r="BK284" s="16"/>
      <c r="BL284" s="17">
        <f>VLOOKUP(BK284,'DATABASE F&amp;B'!$C$3:$F$210,2,0)</f>
        <v>0</v>
      </c>
      <c r="BM284" s="18"/>
      <c r="BN284" s="19">
        <f>VLOOKUP(BK284,'DATABASE F&amp;B'!$C$3:$F$210,4,0)</f>
        <v>0</v>
      </c>
      <c r="BO284" s="19">
        <f t="shared" si="234"/>
        <v>0</v>
      </c>
      <c r="BP284" s="16"/>
      <c r="BQ284" s="17">
        <f>VLOOKUP(BP284,'DATABASE F&amp;B'!$C$3:$F$210,2,0)</f>
        <v>0</v>
      </c>
      <c r="BR284" s="18"/>
      <c r="BS284" s="19">
        <f>VLOOKUP(BP284,'DATABASE F&amp;B'!$C$3:$F$210,4,0)</f>
        <v>0</v>
      </c>
      <c r="BT284" s="19">
        <f t="shared" si="235"/>
        <v>0</v>
      </c>
      <c r="BU284" s="16"/>
      <c r="BV284" s="17">
        <f>VLOOKUP(BU284,'DATABASE F&amp;B'!$C$3:$F$210,2,0)</f>
        <v>0</v>
      </c>
      <c r="BW284" s="18"/>
      <c r="BX284" s="19">
        <f>VLOOKUP(BU284,'DATABASE F&amp;B'!$C$3:$F$210,4,0)</f>
        <v>0</v>
      </c>
      <c r="BY284" s="19">
        <f t="shared" si="236"/>
        <v>0</v>
      </c>
      <c r="BZ284" s="16"/>
      <c r="CA284" s="17">
        <f>VLOOKUP(BZ284,'DATABASE F&amp;B'!$C$3:$F$210,2,0)</f>
        <v>0</v>
      </c>
      <c r="CB284" s="18"/>
      <c r="CC284" s="19">
        <f>VLOOKUP(BZ284,'DATABASE F&amp;B'!$C$3:$F$210,4,0)</f>
        <v>0</v>
      </c>
      <c r="CD284" s="19">
        <f t="shared" si="237"/>
        <v>0</v>
      </c>
    </row>
    <row r="285" spans="1:82" ht="13.5" x14ac:dyDescent="0.25">
      <c r="A285" s="32" t="str">
        <f t="shared" si="218"/>
        <v>--20</v>
      </c>
      <c r="B285" s="22">
        <f t="shared" si="242"/>
        <v>281</v>
      </c>
      <c r="C285" s="22">
        <f t="shared" si="242"/>
        <v>281</v>
      </c>
      <c r="D285" s="34"/>
      <c r="E285" s="35"/>
      <c r="F285" s="35"/>
      <c r="G285" s="52"/>
      <c r="H285" s="36" t="str">
        <f t="shared" si="240"/>
        <v>RJ--281</v>
      </c>
      <c r="I285" s="36" t="str">
        <f t="shared" si="219"/>
        <v>--20</v>
      </c>
      <c r="J285" s="37" t="e">
        <f>VLOOKUP(D285,Laporan!$C$4:$D$34,2,0)</f>
        <v>#N/A</v>
      </c>
      <c r="K285" s="48"/>
      <c r="L285" s="13"/>
      <c r="M285" s="19">
        <f>SUMIF('DATABASE Room'!$B$3:$B$7,L285,'DATABASE Room'!$D$3:$D$7)</f>
        <v>0</v>
      </c>
      <c r="N285" s="13"/>
      <c r="O285" s="21">
        <f t="shared" si="220"/>
        <v>0</v>
      </c>
      <c r="P285" s="38"/>
      <c r="Q285" s="19">
        <f t="shared" si="221"/>
        <v>0</v>
      </c>
      <c r="R285" s="21">
        <f t="shared" si="222"/>
        <v>0</v>
      </c>
      <c r="S285" s="19">
        <f t="shared" si="223"/>
        <v>3</v>
      </c>
      <c r="T285" s="19">
        <f t="shared" si="224"/>
        <v>0</v>
      </c>
      <c r="U285" s="21">
        <f t="shared" si="225"/>
        <v>0</v>
      </c>
      <c r="V285" s="39"/>
      <c r="W285" s="16"/>
      <c r="X285" s="17">
        <f>VLOOKUP(W285,'DATABASE F&amp;B'!$C$3:$F$216,2,0)</f>
        <v>0</v>
      </c>
      <c r="Y285" s="18"/>
      <c r="Z285" s="19">
        <f>VLOOKUP(W285,'DATABASE F&amp;B'!$C$3:$F$216,4,0)</f>
        <v>0</v>
      </c>
      <c r="AA285" s="19">
        <f t="shared" si="226"/>
        <v>0</v>
      </c>
      <c r="AB285" s="16"/>
      <c r="AC285" s="17">
        <f>VLOOKUP(AB285,'DATABASE F&amp;B'!$C$3:$F$216,2,0)</f>
        <v>0</v>
      </c>
      <c r="AD285" s="18"/>
      <c r="AE285" s="19">
        <f>VLOOKUP(AB285,'DATABASE F&amp;B'!$C$3:$F$216,4,0)</f>
        <v>0</v>
      </c>
      <c r="AF285" s="19">
        <f t="shared" si="227"/>
        <v>0</v>
      </c>
      <c r="AG285" s="16"/>
      <c r="AH285" s="17">
        <f>VLOOKUP(AG285,'DATABASE F&amp;B'!$C$3:$F$216,2,0)</f>
        <v>0</v>
      </c>
      <c r="AI285" s="18">
        <v>1</v>
      </c>
      <c r="AJ285" s="19">
        <f>VLOOKUP(AG285,'DATABASE F&amp;B'!$C$3:$F$216,4,0)</f>
        <v>0</v>
      </c>
      <c r="AK285" s="19">
        <f t="shared" si="228"/>
        <v>0</v>
      </c>
      <c r="AL285" s="16"/>
      <c r="AM285" s="17">
        <f>VLOOKUP(AL285,'DATABASE F&amp;B'!$C$3:$F$216,2,0)</f>
        <v>0</v>
      </c>
      <c r="AN285" s="18">
        <v>1</v>
      </c>
      <c r="AO285" s="19">
        <f>VLOOKUP(AL285,'DATABASE F&amp;B'!$C$3:$F$216,4,0)</f>
        <v>0</v>
      </c>
      <c r="AP285" s="19">
        <f t="shared" si="229"/>
        <v>0</v>
      </c>
      <c r="AQ285" s="16"/>
      <c r="AR285" s="17">
        <f>VLOOKUP(AQ285,'DATABASE F&amp;B'!$C$3:$F$216,2,0)</f>
        <v>0</v>
      </c>
      <c r="AS285" s="18">
        <v>1</v>
      </c>
      <c r="AT285" s="19">
        <f>VLOOKUP(AQ285,'DATABASE F&amp;B'!$C$3:$F$216,4,0)</f>
        <v>0</v>
      </c>
      <c r="AU285" s="19">
        <f t="shared" si="230"/>
        <v>0</v>
      </c>
      <c r="AV285" s="16"/>
      <c r="AW285" s="17">
        <f>VLOOKUP(AV285,'DATABASE F&amp;B'!$C$3:$F$216,2,0)</f>
        <v>0</v>
      </c>
      <c r="AX285" s="18"/>
      <c r="AY285" s="19">
        <f>VLOOKUP(AV285,'DATABASE F&amp;B'!$C$3:$F$216,4,0)</f>
        <v>0</v>
      </c>
      <c r="AZ285" s="19">
        <f t="shared" si="231"/>
        <v>0</v>
      </c>
      <c r="BA285" s="16"/>
      <c r="BB285" s="17">
        <f>VLOOKUP(BA285,'DATABASE F&amp;B'!$C$3:$F$216,2,0)</f>
        <v>0</v>
      </c>
      <c r="BC285" s="18"/>
      <c r="BD285" s="19">
        <f>VLOOKUP(BA285,'DATABASE F&amp;B'!$C$3:$F$216,4,0)</f>
        <v>0</v>
      </c>
      <c r="BE285" s="19">
        <f t="shared" si="232"/>
        <v>0</v>
      </c>
      <c r="BF285" s="16"/>
      <c r="BG285" s="17">
        <f>VLOOKUP(BF285,'DATABASE F&amp;B'!$C$3:$F$216,2,0)</f>
        <v>0</v>
      </c>
      <c r="BH285" s="18"/>
      <c r="BI285" s="19">
        <f>VLOOKUP(BF285,'DATABASE F&amp;B'!$C$3:$F$216,4,0)</f>
        <v>0</v>
      </c>
      <c r="BJ285" s="19">
        <f t="shared" si="233"/>
        <v>0</v>
      </c>
      <c r="BK285" s="16"/>
      <c r="BL285" s="17">
        <f>VLOOKUP(BK285,'DATABASE F&amp;B'!$C$3:$F$210,2,0)</f>
        <v>0</v>
      </c>
      <c r="BM285" s="18"/>
      <c r="BN285" s="19">
        <f>VLOOKUP(BK285,'DATABASE F&amp;B'!$C$3:$F$210,4,0)</f>
        <v>0</v>
      </c>
      <c r="BO285" s="19">
        <f t="shared" si="234"/>
        <v>0</v>
      </c>
      <c r="BP285" s="16"/>
      <c r="BQ285" s="17">
        <f>VLOOKUP(BP285,'DATABASE F&amp;B'!$C$3:$F$210,2,0)</f>
        <v>0</v>
      </c>
      <c r="BR285" s="18"/>
      <c r="BS285" s="19">
        <f>VLOOKUP(BP285,'DATABASE F&amp;B'!$C$3:$F$210,4,0)</f>
        <v>0</v>
      </c>
      <c r="BT285" s="19">
        <f t="shared" si="235"/>
        <v>0</v>
      </c>
      <c r="BU285" s="16"/>
      <c r="BV285" s="17">
        <f>VLOOKUP(BU285,'DATABASE F&amp;B'!$C$3:$F$210,2,0)</f>
        <v>0</v>
      </c>
      <c r="BW285" s="18"/>
      <c r="BX285" s="19">
        <f>VLOOKUP(BU285,'DATABASE F&amp;B'!$C$3:$F$210,4,0)</f>
        <v>0</v>
      </c>
      <c r="BY285" s="19">
        <f t="shared" si="236"/>
        <v>0</v>
      </c>
      <c r="BZ285" s="16"/>
      <c r="CA285" s="17">
        <f>VLOOKUP(BZ285,'DATABASE F&amp;B'!$C$3:$F$210,2,0)</f>
        <v>0</v>
      </c>
      <c r="CB285" s="18"/>
      <c r="CC285" s="19">
        <f>VLOOKUP(BZ285,'DATABASE F&amp;B'!$C$3:$F$210,4,0)</f>
        <v>0</v>
      </c>
      <c r="CD285" s="19">
        <f t="shared" si="237"/>
        <v>0</v>
      </c>
    </row>
    <row r="286" spans="1:82" ht="13.5" x14ac:dyDescent="0.25">
      <c r="A286" s="32" t="str">
        <f t="shared" si="218"/>
        <v>--20</v>
      </c>
      <c r="B286" s="22">
        <f t="shared" si="242"/>
        <v>282</v>
      </c>
      <c r="C286" s="22">
        <f t="shared" si="242"/>
        <v>282</v>
      </c>
      <c r="D286" s="34"/>
      <c r="E286" s="35"/>
      <c r="F286" s="35"/>
      <c r="G286" s="52"/>
      <c r="H286" s="36" t="str">
        <f t="shared" si="240"/>
        <v>RJ--282</v>
      </c>
      <c r="I286" s="36" t="str">
        <f t="shared" si="219"/>
        <v>--20</v>
      </c>
      <c r="J286" s="37" t="e">
        <f>VLOOKUP(D286,Laporan!$C$4:$D$34,2,0)</f>
        <v>#N/A</v>
      </c>
      <c r="K286" s="48"/>
      <c r="L286" s="13"/>
      <c r="M286" s="19">
        <f>SUMIF('DATABASE Room'!$B$3:$B$7,L286,'DATABASE Room'!$D$3:$D$7)</f>
        <v>0</v>
      </c>
      <c r="N286" s="13"/>
      <c r="O286" s="21">
        <f t="shared" si="220"/>
        <v>0</v>
      </c>
      <c r="P286" s="38"/>
      <c r="Q286" s="19">
        <f t="shared" si="221"/>
        <v>0</v>
      </c>
      <c r="R286" s="21">
        <f t="shared" si="222"/>
        <v>0</v>
      </c>
      <c r="S286" s="19">
        <f t="shared" si="223"/>
        <v>3</v>
      </c>
      <c r="T286" s="19">
        <f t="shared" si="224"/>
        <v>0</v>
      </c>
      <c r="U286" s="21">
        <f t="shared" si="225"/>
        <v>0</v>
      </c>
      <c r="V286" s="39"/>
      <c r="W286" s="16"/>
      <c r="X286" s="17">
        <f>VLOOKUP(W286,'DATABASE F&amp;B'!$C$3:$F$216,2,0)</f>
        <v>0</v>
      </c>
      <c r="Y286" s="18"/>
      <c r="Z286" s="19">
        <f>VLOOKUP(W286,'DATABASE F&amp;B'!$C$3:$F$216,4,0)</f>
        <v>0</v>
      </c>
      <c r="AA286" s="19">
        <f t="shared" si="226"/>
        <v>0</v>
      </c>
      <c r="AB286" s="16"/>
      <c r="AC286" s="17">
        <f>VLOOKUP(AB286,'DATABASE F&amp;B'!$C$3:$F$216,2,0)</f>
        <v>0</v>
      </c>
      <c r="AD286" s="18"/>
      <c r="AE286" s="19">
        <f>VLOOKUP(AB286,'DATABASE F&amp;B'!$C$3:$F$216,4,0)</f>
        <v>0</v>
      </c>
      <c r="AF286" s="19">
        <f t="shared" si="227"/>
        <v>0</v>
      </c>
      <c r="AG286" s="16"/>
      <c r="AH286" s="17">
        <f>VLOOKUP(AG286,'DATABASE F&amp;B'!$C$3:$F$216,2,0)</f>
        <v>0</v>
      </c>
      <c r="AI286" s="18">
        <v>1</v>
      </c>
      <c r="AJ286" s="19">
        <f>VLOOKUP(AG286,'DATABASE F&amp;B'!$C$3:$F$216,4,0)</f>
        <v>0</v>
      </c>
      <c r="AK286" s="19">
        <f t="shared" si="228"/>
        <v>0</v>
      </c>
      <c r="AL286" s="16"/>
      <c r="AM286" s="17">
        <f>VLOOKUP(AL286,'DATABASE F&amp;B'!$C$3:$F$216,2,0)</f>
        <v>0</v>
      </c>
      <c r="AN286" s="18">
        <v>1</v>
      </c>
      <c r="AO286" s="19">
        <f>VLOOKUP(AL286,'DATABASE F&amp;B'!$C$3:$F$216,4,0)</f>
        <v>0</v>
      </c>
      <c r="AP286" s="19">
        <f t="shared" si="229"/>
        <v>0</v>
      </c>
      <c r="AQ286" s="16"/>
      <c r="AR286" s="17">
        <f>VLOOKUP(AQ286,'DATABASE F&amp;B'!$C$3:$F$216,2,0)</f>
        <v>0</v>
      </c>
      <c r="AS286" s="18">
        <v>1</v>
      </c>
      <c r="AT286" s="19">
        <f>VLOOKUP(AQ286,'DATABASE F&amp;B'!$C$3:$F$216,4,0)</f>
        <v>0</v>
      </c>
      <c r="AU286" s="19">
        <f t="shared" si="230"/>
        <v>0</v>
      </c>
      <c r="AV286" s="16"/>
      <c r="AW286" s="17">
        <f>VLOOKUP(AV286,'DATABASE F&amp;B'!$C$3:$F$216,2,0)</f>
        <v>0</v>
      </c>
      <c r="AX286" s="18"/>
      <c r="AY286" s="19">
        <f>VLOOKUP(AV286,'DATABASE F&amp;B'!$C$3:$F$216,4,0)</f>
        <v>0</v>
      </c>
      <c r="AZ286" s="19">
        <f t="shared" si="231"/>
        <v>0</v>
      </c>
      <c r="BA286" s="16"/>
      <c r="BB286" s="17">
        <f>VLOOKUP(BA286,'DATABASE F&amp;B'!$C$3:$F$216,2,0)</f>
        <v>0</v>
      </c>
      <c r="BC286" s="18"/>
      <c r="BD286" s="19">
        <f>VLOOKUP(BA286,'DATABASE F&amp;B'!$C$3:$F$216,4,0)</f>
        <v>0</v>
      </c>
      <c r="BE286" s="19">
        <f t="shared" si="232"/>
        <v>0</v>
      </c>
      <c r="BF286" s="16"/>
      <c r="BG286" s="17">
        <f>VLOOKUP(BF286,'DATABASE F&amp;B'!$C$3:$F$216,2,0)</f>
        <v>0</v>
      </c>
      <c r="BH286" s="18"/>
      <c r="BI286" s="19">
        <f>VLOOKUP(BF286,'DATABASE F&amp;B'!$C$3:$F$216,4,0)</f>
        <v>0</v>
      </c>
      <c r="BJ286" s="19">
        <f t="shared" si="233"/>
        <v>0</v>
      </c>
      <c r="BK286" s="16"/>
      <c r="BL286" s="17">
        <f>VLOOKUP(BK286,'DATABASE F&amp;B'!$C$3:$F$210,2,0)</f>
        <v>0</v>
      </c>
      <c r="BM286" s="18"/>
      <c r="BN286" s="19">
        <f>VLOOKUP(BK286,'DATABASE F&amp;B'!$C$3:$F$210,4,0)</f>
        <v>0</v>
      </c>
      <c r="BO286" s="19">
        <f t="shared" si="234"/>
        <v>0</v>
      </c>
      <c r="BP286" s="16"/>
      <c r="BQ286" s="17">
        <f>VLOOKUP(BP286,'DATABASE F&amp;B'!$C$3:$F$210,2,0)</f>
        <v>0</v>
      </c>
      <c r="BR286" s="18"/>
      <c r="BS286" s="19">
        <f>VLOOKUP(BP286,'DATABASE F&amp;B'!$C$3:$F$210,4,0)</f>
        <v>0</v>
      </c>
      <c r="BT286" s="19">
        <f t="shared" si="235"/>
        <v>0</v>
      </c>
      <c r="BU286" s="16"/>
      <c r="BV286" s="17">
        <f>VLOOKUP(BU286,'DATABASE F&amp;B'!$C$3:$F$210,2,0)</f>
        <v>0</v>
      </c>
      <c r="BW286" s="18"/>
      <c r="BX286" s="19">
        <f>VLOOKUP(BU286,'DATABASE F&amp;B'!$C$3:$F$210,4,0)</f>
        <v>0</v>
      </c>
      <c r="BY286" s="19">
        <f t="shared" si="236"/>
        <v>0</v>
      </c>
      <c r="BZ286" s="16"/>
      <c r="CA286" s="17">
        <f>VLOOKUP(BZ286,'DATABASE F&amp;B'!$C$3:$F$210,2,0)</f>
        <v>0</v>
      </c>
      <c r="CB286" s="18"/>
      <c r="CC286" s="19">
        <f>VLOOKUP(BZ286,'DATABASE F&amp;B'!$C$3:$F$210,4,0)</f>
        <v>0</v>
      </c>
      <c r="CD286" s="19">
        <f t="shared" si="237"/>
        <v>0</v>
      </c>
    </row>
    <row r="287" spans="1:82" ht="13.5" x14ac:dyDescent="0.25">
      <c r="A287" s="32" t="str">
        <f t="shared" si="218"/>
        <v>--20</v>
      </c>
      <c r="B287" s="22">
        <f t="shared" si="242"/>
        <v>283</v>
      </c>
      <c r="C287" s="22">
        <f t="shared" si="242"/>
        <v>283</v>
      </c>
      <c r="D287" s="34"/>
      <c r="E287" s="35"/>
      <c r="F287" s="35"/>
      <c r="G287" s="52"/>
      <c r="H287" s="36" t="str">
        <f t="shared" si="240"/>
        <v>RJ--283</v>
      </c>
      <c r="I287" s="36" t="str">
        <f t="shared" si="219"/>
        <v>--20</v>
      </c>
      <c r="J287" s="37" t="e">
        <f>VLOOKUP(D287,Laporan!$C$4:$D$34,2,0)</f>
        <v>#N/A</v>
      </c>
      <c r="K287" s="48"/>
      <c r="L287" s="13"/>
      <c r="M287" s="19">
        <f>SUMIF('DATABASE Room'!$B$3:$B$7,L287,'DATABASE Room'!$D$3:$D$7)</f>
        <v>0</v>
      </c>
      <c r="N287" s="13"/>
      <c r="O287" s="21">
        <f t="shared" si="220"/>
        <v>0</v>
      </c>
      <c r="P287" s="38"/>
      <c r="Q287" s="19">
        <f t="shared" si="221"/>
        <v>0</v>
      </c>
      <c r="R287" s="21">
        <f t="shared" si="222"/>
        <v>0</v>
      </c>
      <c r="S287" s="19">
        <f t="shared" si="223"/>
        <v>3</v>
      </c>
      <c r="T287" s="19">
        <f t="shared" si="224"/>
        <v>0</v>
      </c>
      <c r="U287" s="21">
        <f t="shared" si="225"/>
        <v>0</v>
      </c>
      <c r="V287" s="39"/>
      <c r="W287" s="16"/>
      <c r="X287" s="17">
        <f>VLOOKUP(W287,'DATABASE F&amp;B'!$C$3:$F$216,2,0)</f>
        <v>0</v>
      </c>
      <c r="Y287" s="18"/>
      <c r="Z287" s="19">
        <f>VLOOKUP(W287,'DATABASE F&amp;B'!$C$3:$F$216,4,0)</f>
        <v>0</v>
      </c>
      <c r="AA287" s="19">
        <f t="shared" si="226"/>
        <v>0</v>
      </c>
      <c r="AB287" s="16"/>
      <c r="AC287" s="17">
        <f>VLOOKUP(AB287,'DATABASE F&amp;B'!$C$3:$F$216,2,0)</f>
        <v>0</v>
      </c>
      <c r="AD287" s="18"/>
      <c r="AE287" s="19">
        <f>VLOOKUP(AB287,'DATABASE F&amp;B'!$C$3:$F$216,4,0)</f>
        <v>0</v>
      </c>
      <c r="AF287" s="19">
        <f t="shared" si="227"/>
        <v>0</v>
      </c>
      <c r="AG287" s="16"/>
      <c r="AH287" s="17">
        <f>VLOOKUP(AG287,'DATABASE F&amp;B'!$C$3:$F$216,2,0)</f>
        <v>0</v>
      </c>
      <c r="AI287" s="18">
        <v>1</v>
      </c>
      <c r="AJ287" s="19">
        <f>VLOOKUP(AG287,'DATABASE F&amp;B'!$C$3:$F$216,4,0)</f>
        <v>0</v>
      </c>
      <c r="AK287" s="19">
        <f t="shared" si="228"/>
        <v>0</v>
      </c>
      <c r="AL287" s="16"/>
      <c r="AM287" s="17">
        <f>VLOOKUP(AL287,'DATABASE F&amp;B'!$C$3:$F$216,2,0)</f>
        <v>0</v>
      </c>
      <c r="AN287" s="18">
        <v>1</v>
      </c>
      <c r="AO287" s="19">
        <f>VLOOKUP(AL287,'DATABASE F&amp;B'!$C$3:$F$216,4,0)</f>
        <v>0</v>
      </c>
      <c r="AP287" s="19">
        <f t="shared" si="229"/>
        <v>0</v>
      </c>
      <c r="AQ287" s="16"/>
      <c r="AR287" s="17">
        <f>VLOOKUP(AQ287,'DATABASE F&amp;B'!$C$3:$F$216,2,0)</f>
        <v>0</v>
      </c>
      <c r="AS287" s="18">
        <v>1</v>
      </c>
      <c r="AT287" s="19">
        <f>VLOOKUP(AQ287,'DATABASE F&amp;B'!$C$3:$F$216,4,0)</f>
        <v>0</v>
      </c>
      <c r="AU287" s="19">
        <f t="shared" si="230"/>
        <v>0</v>
      </c>
      <c r="AV287" s="16"/>
      <c r="AW287" s="17">
        <f>VLOOKUP(AV287,'DATABASE F&amp;B'!$C$3:$F$216,2,0)</f>
        <v>0</v>
      </c>
      <c r="AX287" s="18"/>
      <c r="AY287" s="19">
        <f>VLOOKUP(AV287,'DATABASE F&amp;B'!$C$3:$F$216,4,0)</f>
        <v>0</v>
      </c>
      <c r="AZ287" s="19">
        <f t="shared" si="231"/>
        <v>0</v>
      </c>
      <c r="BA287" s="16"/>
      <c r="BB287" s="17">
        <f>VLOOKUP(BA287,'DATABASE F&amp;B'!$C$3:$F$216,2,0)</f>
        <v>0</v>
      </c>
      <c r="BC287" s="18"/>
      <c r="BD287" s="19">
        <f>VLOOKUP(BA287,'DATABASE F&amp;B'!$C$3:$F$216,4,0)</f>
        <v>0</v>
      </c>
      <c r="BE287" s="19">
        <f t="shared" si="232"/>
        <v>0</v>
      </c>
      <c r="BF287" s="16"/>
      <c r="BG287" s="17">
        <f>VLOOKUP(BF287,'DATABASE F&amp;B'!$C$3:$F$216,2,0)</f>
        <v>0</v>
      </c>
      <c r="BH287" s="18"/>
      <c r="BI287" s="19">
        <f>VLOOKUP(BF287,'DATABASE F&amp;B'!$C$3:$F$216,4,0)</f>
        <v>0</v>
      </c>
      <c r="BJ287" s="19">
        <f t="shared" si="233"/>
        <v>0</v>
      </c>
      <c r="BK287" s="16"/>
      <c r="BL287" s="17">
        <f>VLOOKUP(BK287,'DATABASE F&amp;B'!$C$3:$F$210,2,0)</f>
        <v>0</v>
      </c>
      <c r="BM287" s="18"/>
      <c r="BN287" s="19">
        <f>VLOOKUP(BK287,'DATABASE F&amp;B'!$C$3:$F$210,4,0)</f>
        <v>0</v>
      </c>
      <c r="BO287" s="19">
        <f t="shared" si="234"/>
        <v>0</v>
      </c>
      <c r="BP287" s="16"/>
      <c r="BQ287" s="17">
        <f>VLOOKUP(BP287,'DATABASE F&amp;B'!$C$3:$F$210,2,0)</f>
        <v>0</v>
      </c>
      <c r="BR287" s="18"/>
      <c r="BS287" s="19">
        <f>VLOOKUP(BP287,'DATABASE F&amp;B'!$C$3:$F$210,4,0)</f>
        <v>0</v>
      </c>
      <c r="BT287" s="19">
        <f t="shared" si="235"/>
        <v>0</v>
      </c>
      <c r="BU287" s="16"/>
      <c r="BV287" s="17">
        <f>VLOOKUP(BU287,'DATABASE F&amp;B'!$C$3:$F$210,2,0)</f>
        <v>0</v>
      </c>
      <c r="BW287" s="18"/>
      <c r="BX287" s="19">
        <f>VLOOKUP(BU287,'DATABASE F&amp;B'!$C$3:$F$210,4,0)</f>
        <v>0</v>
      </c>
      <c r="BY287" s="19">
        <f t="shared" si="236"/>
        <v>0</v>
      </c>
      <c r="BZ287" s="16"/>
      <c r="CA287" s="17">
        <f>VLOOKUP(BZ287,'DATABASE F&amp;B'!$C$3:$F$210,2,0)</f>
        <v>0</v>
      </c>
      <c r="CB287" s="18"/>
      <c r="CC287" s="19">
        <f>VLOOKUP(BZ287,'DATABASE F&amp;B'!$C$3:$F$210,4,0)</f>
        <v>0</v>
      </c>
      <c r="CD287" s="19">
        <f t="shared" si="237"/>
        <v>0</v>
      </c>
    </row>
    <row r="288" spans="1:82" ht="13.5" x14ac:dyDescent="0.25">
      <c r="A288" s="32" t="str">
        <f t="shared" si="218"/>
        <v>--20</v>
      </c>
      <c r="B288" s="22">
        <f t="shared" si="242"/>
        <v>284</v>
      </c>
      <c r="C288" s="22">
        <f t="shared" si="242"/>
        <v>284</v>
      </c>
      <c r="D288" s="34"/>
      <c r="E288" s="35"/>
      <c r="F288" s="35"/>
      <c r="G288" s="52"/>
      <c r="H288" s="36" t="str">
        <f t="shared" si="240"/>
        <v>RJ--284</v>
      </c>
      <c r="I288" s="36" t="str">
        <f t="shared" si="219"/>
        <v>--20</v>
      </c>
      <c r="J288" s="37" t="e">
        <f>VLOOKUP(D288,Laporan!$C$4:$D$34,2,0)</f>
        <v>#N/A</v>
      </c>
      <c r="K288" s="48"/>
      <c r="L288" s="13"/>
      <c r="M288" s="19">
        <f>SUMIF('DATABASE Room'!$B$3:$B$7,L288,'DATABASE Room'!$D$3:$D$7)</f>
        <v>0</v>
      </c>
      <c r="N288" s="13"/>
      <c r="O288" s="21">
        <f t="shared" si="220"/>
        <v>0</v>
      </c>
      <c r="P288" s="38"/>
      <c r="Q288" s="19">
        <f t="shared" si="221"/>
        <v>0</v>
      </c>
      <c r="R288" s="21">
        <f t="shared" si="222"/>
        <v>0</v>
      </c>
      <c r="S288" s="19">
        <f t="shared" si="223"/>
        <v>3</v>
      </c>
      <c r="T288" s="19">
        <f t="shared" si="224"/>
        <v>0</v>
      </c>
      <c r="U288" s="21">
        <f t="shared" si="225"/>
        <v>0</v>
      </c>
      <c r="V288" s="39"/>
      <c r="W288" s="16"/>
      <c r="X288" s="17">
        <f>VLOOKUP(W288,'DATABASE F&amp;B'!$C$3:$F$216,2,0)</f>
        <v>0</v>
      </c>
      <c r="Y288" s="18"/>
      <c r="Z288" s="19">
        <f>VLOOKUP(W288,'DATABASE F&amp;B'!$C$3:$F$216,4,0)</f>
        <v>0</v>
      </c>
      <c r="AA288" s="19">
        <f t="shared" si="226"/>
        <v>0</v>
      </c>
      <c r="AB288" s="16"/>
      <c r="AC288" s="17">
        <f>VLOOKUP(AB288,'DATABASE F&amp;B'!$C$3:$F$216,2,0)</f>
        <v>0</v>
      </c>
      <c r="AD288" s="18"/>
      <c r="AE288" s="19">
        <f>VLOOKUP(AB288,'DATABASE F&amp;B'!$C$3:$F$216,4,0)</f>
        <v>0</v>
      </c>
      <c r="AF288" s="19">
        <f t="shared" si="227"/>
        <v>0</v>
      </c>
      <c r="AG288" s="16"/>
      <c r="AH288" s="17">
        <f>VLOOKUP(AG288,'DATABASE F&amp;B'!$C$3:$F$216,2,0)</f>
        <v>0</v>
      </c>
      <c r="AI288" s="18">
        <v>1</v>
      </c>
      <c r="AJ288" s="19">
        <f>VLOOKUP(AG288,'DATABASE F&amp;B'!$C$3:$F$216,4,0)</f>
        <v>0</v>
      </c>
      <c r="AK288" s="19">
        <f t="shared" si="228"/>
        <v>0</v>
      </c>
      <c r="AL288" s="16"/>
      <c r="AM288" s="17">
        <f>VLOOKUP(AL288,'DATABASE F&amp;B'!$C$3:$F$216,2,0)</f>
        <v>0</v>
      </c>
      <c r="AN288" s="18">
        <v>1</v>
      </c>
      <c r="AO288" s="19">
        <f>VLOOKUP(AL288,'DATABASE F&amp;B'!$C$3:$F$216,4,0)</f>
        <v>0</v>
      </c>
      <c r="AP288" s="19">
        <f t="shared" si="229"/>
        <v>0</v>
      </c>
      <c r="AQ288" s="16"/>
      <c r="AR288" s="17">
        <f>VLOOKUP(AQ288,'DATABASE F&amp;B'!$C$3:$F$216,2,0)</f>
        <v>0</v>
      </c>
      <c r="AS288" s="18">
        <v>1</v>
      </c>
      <c r="AT288" s="19">
        <f>VLOOKUP(AQ288,'DATABASE F&amp;B'!$C$3:$F$216,4,0)</f>
        <v>0</v>
      </c>
      <c r="AU288" s="19">
        <f t="shared" si="230"/>
        <v>0</v>
      </c>
      <c r="AV288" s="16"/>
      <c r="AW288" s="17">
        <f>VLOOKUP(AV288,'DATABASE F&amp;B'!$C$3:$F$216,2,0)</f>
        <v>0</v>
      </c>
      <c r="AX288" s="18"/>
      <c r="AY288" s="19">
        <f>VLOOKUP(AV288,'DATABASE F&amp;B'!$C$3:$F$216,4,0)</f>
        <v>0</v>
      </c>
      <c r="AZ288" s="19">
        <f t="shared" si="231"/>
        <v>0</v>
      </c>
      <c r="BA288" s="16"/>
      <c r="BB288" s="17">
        <f>VLOOKUP(BA288,'DATABASE F&amp;B'!$C$3:$F$216,2,0)</f>
        <v>0</v>
      </c>
      <c r="BC288" s="18"/>
      <c r="BD288" s="19">
        <f>VLOOKUP(BA288,'DATABASE F&amp;B'!$C$3:$F$216,4,0)</f>
        <v>0</v>
      </c>
      <c r="BE288" s="19">
        <f t="shared" si="232"/>
        <v>0</v>
      </c>
      <c r="BF288" s="16"/>
      <c r="BG288" s="17">
        <f>VLOOKUP(BF288,'DATABASE F&amp;B'!$C$3:$F$216,2,0)</f>
        <v>0</v>
      </c>
      <c r="BH288" s="18"/>
      <c r="BI288" s="19">
        <f>VLOOKUP(BF288,'DATABASE F&amp;B'!$C$3:$F$216,4,0)</f>
        <v>0</v>
      </c>
      <c r="BJ288" s="19">
        <f t="shared" si="233"/>
        <v>0</v>
      </c>
      <c r="BK288" s="16"/>
      <c r="BL288" s="17">
        <f>VLOOKUP(BK288,'DATABASE F&amp;B'!$C$3:$F$210,2,0)</f>
        <v>0</v>
      </c>
      <c r="BM288" s="18"/>
      <c r="BN288" s="19">
        <f>VLOOKUP(BK288,'DATABASE F&amp;B'!$C$3:$F$210,4,0)</f>
        <v>0</v>
      </c>
      <c r="BO288" s="19">
        <f t="shared" si="234"/>
        <v>0</v>
      </c>
      <c r="BP288" s="16"/>
      <c r="BQ288" s="17">
        <f>VLOOKUP(BP288,'DATABASE F&amp;B'!$C$3:$F$210,2,0)</f>
        <v>0</v>
      </c>
      <c r="BR288" s="18"/>
      <c r="BS288" s="19">
        <f>VLOOKUP(BP288,'DATABASE F&amp;B'!$C$3:$F$210,4,0)</f>
        <v>0</v>
      </c>
      <c r="BT288" s="19">
        <f t="shared" si="235"/>
        <v>0</v>
      </c>
      <c r="BU288" s="16"/>
      <c r="BV288" s="17">
        <f>VLOOKUP(BU288,'DATABASE F&amp;B'!$C$3:$F$210,2,0)</f>
        <v>0</v>
      </c>
      <c r="BW288" s="18"/>
      <c r="BX288" s="19">
        <f>VLOOKUP(BU288,'DATABASE F&amp;B'!$C$3:$F$210,4,0)</f>
        <v>0</v>
      </c>
      <c r="BY288" s="19">
        <f t="shared" si="236"/>
        <v>0</v>
      </c>
      <c r="BZ288" s="16"/>
      <c r="CA288" s="17">
        <f>VLOOKUP(BZ288,'DATABASE F&amp;B'!$C$3:$F$210,2,0)</f>
        <v>0</v>
      </c>
      <c r="CB288" s="18"/>
      <c r="CC288" s="19">
        <f>VLOOKUP(BZ288,'DATABASE F&amp;B'!$C$3:$F$210,4,0)</f>
        <v>0</v>
      </c>
      <c r="CD288" s="19">
        <f t="shared" si="237"/>
        <v>0</v>
      </c>
    </row>
    <row r="289" spans="1:82" ht="13.5" x14ac:dyDescent="0.25">
      <c r="A289" s="32" t="str">
        <f t="shared" si="218"/>
        <v>--20</v>
      </c>
      <c r="B289" s="22">
        <f t="shared" si="242"/>
        <v>285</v>
      </c>
      <c r="C289" s="22">
        <f t="shared" si="242"/>
        <v>285</v>
      </c>
      <c r="D289" s="34"/>
      <c r="E289" s="35"/>
      <c r="F289" s="35"/>
      <c r="G289" s="52"/>
      <c r="H289" s="36" t="str">
        <f t="shared" si="240"/>
        <v>RJ--285</v>
      </c>
      <c r="I289" s="36" t="str">
        <f t="shared" si="219"/>
        <v>--20</v>
      </c>
      <c r="J289" s="37" t="e">
        <f>VLOOKUP(D289,Laporan!$C$4:$D$34,2,0)</f>
        <v>#N/A</v>
      </c>
      <c r="K289" s="48"/>
      <c r="L289" s="13"/>
      <c r="M289" s="19">
        <f>SUMIF('DATABASE Room'!$B$3:$B$7,L289,'DATABASE Room'!$D$3:$D$7)</f>
        <v>0</v>
      </c>
      <c r="N289" s="13"/>
      <c r="O289" s="21">
        <f t="shared" si="220"/>
        <v>0</v>
      </c>
      <c r="P289" s="38"/>
      <c r="Q289" s="19">
        <f t="shared" si="221"/>
        <v>0</v>
      </c>
      <c r="R289" s="21">
        <f t="shared" si="222"/>
        <v>0</v>
      </c>
      <c r="S289" s="19">
        <f t="shared" si="223"/>
        <v>3</v>
      </c>
      <c r="T289" s="19">
        <f t="shared" si="224"/>
        <v>0</v>
      </c>
      <c r="U289" s="21">
        <f t="shared" si="225"/>
        <v>0</v>
      </c>
      <c r="V289" s="39"/>
      <c r="W289" s="16"/>
      <c r="X289" s="17">
        <f>VLOOKUP(W289,'DATABASE F&amp;B'!$C$3:$F$216,2,0)</f>
        <v>0</v>
      </c>
      <c r="Y289" s="18"/>
      <c r="Z289" s="19">
        <f>VLOOKUP(W289,'DATABASE F&amp;B'!$C$3:$F$216,4,0)</f>
        <v>0</v>
      </c>
      <c r="AA289" s="19">
        <f t="shared" si="226"/>
        <v>0</v>
      </c>
      <c r="AB289" s="16"/>
      <c r="AC289" s="17">
        <f>VLOOKUP(AB289,'DATABASE F&amp;B'!$C$3:$F$216,2,0)</f>
        <v>0</v>
      </c>
      <c r="AD289" s="18"/>
      <c r="AE289" s="19">
        <f>VLOOKUP(AB289,'DATABASE F&amp;B'!$C$3:$F$216,4,0)</f>
        <v>0</v>
      </c>
      <c r="AF289" s="19">
        <f t="shared" si="227"/>
        <v>0</v>
      </c>
      <c r="AG289" s="16"/>
      <c r="AH289" s="17">
        <f>VLOOKUP(AG289,'DATABASE F&amp;B'!$C$3:$F$216,2,0)</f>
        <v>0</v>
      </c>
      <c r="AI289" s="18">
        <v>1</v>
      </c>
      <c r="AJ289" s="19">
        <f>VLOOKUP(AG289,'DATABASE F&amp;B'!$C$3:$F$216,4,0)</f>
        <v>0</v>
      </c>
      <c r="AK289" s="19">
        <f t="shared" si="228"/>
        <v>0</v>
      </c>
      <c r="AL289" s="16"/>
      <c r="AM289" s="17">
        <f>VLOOKUP(AL289,'DATABASE F&amp;B'!$C$3:$F$216,2,0)</f>
        <v>0</v>
      </c>
      <c r="AN289" s="18">
        <v>1</v>
      </c>
      <c r="AO289" s="19">
        <f>VLOOKUP(AL289,'DATABASE F&amp;B'!$C$3:$F$216,4,0)</f>
        <v>0</v>
      </c>
      <c r="AP289" s="19">
        <f t="shared" si="229"/>
        <v>0</v>
      </c>
      <c r="AQ289" s="16"/>
      <c r="AR289" s="17">
        <f>VLOOKUP(AQ289,'DATABASE F&amp;B'!$C$3:$F$216,2,0)</f>
        <v>0</v>
      </c>
      <c r="AS289" s="18">
        <v>1</v>
      </c>
      <c r="AT289" s="19">
        <f>VLOOKUP(AQ289,'DATABASE F&amp;B'!$C$3:$F$216,4,0)</f>
        <v>0</v>
      </c>
      <c r="AU289" s="19">
        <f t="shared" si="230"/>
        <v>0</v>
      </c>
      <c r="AV289" s="16"/>
      <c r="AW289" s="17">
        <f>VLOOKUP(AV289,'DATABASE F&amp;B'!$C$3:$F$216,2,0)</f>
        <v>0</v>
      </c>
      <c r="AX289" s="18"/>
      <c r="AY289" s="19">
        <f>VLOOKUP(AV289,'DATABASE F&amp;B'!$C$3:$F$216,4,0)</f>
        <v>0</v>
      </c>
      <c r="AZ289" s="19">
        <f t="shared" si="231"/>
        <v>0</v>
      </c>
      <c r="BA289" s="16"/>
      <c r="BB289" s="17">
        <f>VLOOKUP(BA289,'DATABASE F&amp;B'!$C$3:$F$216,2,0)</f>
        <v>0</v>
      </c>
      <c r="BC289" s="18"/>
      <c r="BD289" s="19">
        <f>VLOOKUP(BA289,'DATABASE F&amp;B'!$C$3:$F$216,4,0)</f>
        <v>0</v>
      </c>
      <c r="BE289" s="19">
        <f t="shared" si="232"/>
        <v>0</v>
      </c>
      <c r="BF289" s="16"/>
      <c r="BG289" s="17">
        <f>VLOOKUP(BF289,'DATABASE F&amp;B'!$C$3:$F$216,2,0)</f>
        <v>0</v>
      </c>
      <c r="BH289" s="18"/>
      <c r="BI289" s="19">
        <f>VLOOKUP(BF289,'DATABASE F&amp;B'!$C$3:$F$216,4,0)</f>
        <v>0</v>
      </c>
      <c r="BJ289" s="19">
        <f t="shared" si="233"/>
        <v>0</v>
      </c>
      <c r="BK289" s="16"/>
      <c r="BL289" s="17">
        <f>VLOOKUP(BK289,'DATABASE F&amp;B'!$C$3:$F$210,2,0)</f>
        <v>0</v>
      </c>
      <c r="BM289" s="18"/>
      <c r="BN289" s="19">
        <f>VLOOKUP(BK289,'DATABASE F&amp;B'!$C$3:$F$210,4,0)</f>
        <v>0</v>
      </c>
      <c r="BO289" s="19">
        <f t="shared" si="234"/>
        <v>0</v>
      </c>
      <c r="BP289" s="16"/>
      <c r="BQ289" s="17">
        <f>VLOOKUP(BP289,'DATABASE F&amp;B'!$C$3:$F$210,2,0)</f>
        <v>0</v>
      </c>
      <c r="BR289" s="18"/>
      <c r="BS289" s="19">
        <f>VLOOKUP(BP289,'DATABASE F&amp;B'!$C$3:$F$210,4,0)</f>
        <v>0</v>
      </c>
      <c r="BT289" s="19">
        <f t="shared" si="235"/>
        <v>0</v>
      </c>
      <c r="BU289" s="16"/>
      <c r="BV289" s="17">
        <f>VLOOKUP(BU289,'DATABASE F&amp;B'!$C$3:$F$210,2,0)</f>
        <v>0</v>
      </c>
      <c r="BW289" s="18"/>
      <c r="BX289" s="19">
        <f>VLOOKUP(BU289,'DATABASE F&amp;B'!$C$3:$F$210,4,0)</f>
        <v>0</v>
      </c>
      <c r="BY289" s="19">
        <f t="shared" si="236"/>
        <v>0</v>
      </c>
      <c r="BZ289" s="16"/>
      <c r="CA289" s="17">
        <f>VLOOKUP(BZ289,'DATABASE F&amp;B'!$C$3:$F$210,2,0)</f>
        <v>0</v>
      </c>
      <c r="CB289" s="18"/>
      <c r="CC289" s="19">
        <f>VLOOKUP(BZ289,'DATABASE F&amp;B'!$C$3:$F$210,4,0)</f>
        <v>0</v>
      </c>
      <c r="CD289" s="19">
        <f t="shared" si="237"/>
        <v>0</v>
      </c>
    </row>
    <row r="290" spans="1:82" ht="13.5" x14ac:dyDescent="0.25">
      <c r="A290" s="32" t="str">
        <f t="shared" si="218"/>
        <v>--20</v>
      </c>
      <c r="B290" s="22">
        <f t="shared" si="242"/>
        <v>286</v>
      </c>
      <c r="C290" s="22">
        <f t="shared" si="242"/>
        <v>286</v>
      </c>
      <c r="D290" s="34"/>
      <c r="E290" s="35"/>
      <c r="F290" s="35"/>
      <c r="G290" s="52"/>
      <c r="H290" s="36" t="str">
        <f t="shared" si="240"/>
        <v>RJ--286</v>
      </c>
      <c r="I290" s="36" t="str">
        <f t="shared" si="219"/>
        <v>--20</v>
      </c>
      <c r="J290" s="37" t="e">
        <f>VLOOKUP(D290,Laporan!$C$4:$D$34,2,0)</f>
        <v>#N/A</v>
      </c>
      <c r="K290" s="48"/>
      <c r="L290" s="13"/>
      <c r="M290" s="19">
        <f>SUMIF('DATABASE Room'!$B$3:$B$7,L290,'DATABASE Room'!$D$3:$D$7)</f>
        <v>0</v>
      </c>
      <c r="N290" s="13"/>
      <c r="O290" s="21">
        <f t="shared" si="220"/>
        <v>0</v>
      </c>
      <c r="P290" s="38"/>
      <c r="Q290" s="19">
        <f t="shared" si="221"/>
        <v>0</v>
      </c>
      <c r="R290" s="21">
        <f t="shared" si="222"/>
        <v>0</v>
      </c>
      <c r="S290" s="19">
        <f t="shared" si="223"/>
        <v>3</v>
      </c>
      <c r="T290" s="19">
        <f t="shared" si="224"/>
        <v>0</v>
      </c>
      <c r="U290" s="21">
        <f t="shared" si="225"/>
        <v>0</v>
      </c>
      <c r="V290" s="39"/>
      <c r="W290" s="16"/>
      <c r="X290" s="17">
        <f>VLOOKUP(W290,'DATABASE F&amp;B'!$C$3:$F$216,2,0)</f>
        <v>0</v>
      </c>
      <c r="Y290" s="18"/>
      <c r="Z290" s="19">
        <f>VLOOKUP(W290,'DATABASE F&amp;B'!$C$3:$F$216,4,0)</f>
        <v>0</v>
      </c>
      <c r="AA290" s="19">
        <f t="shared" si="226"/>
        <v>0</v>
      </c>
      <c r="AB290" s="16"/>
      <c r="AC290" s="17">
        <f>VLOOKUP(AB290,'DATABASE F&amp;B'!$C$3:$F$216,2,0)</f>
        <v>0</v>
      </c>
      <c r="AD290" s="18"/>
      <c r="AE290" s="19">
        <f>VLOOKUP(AB290,'DATABASE F&amp;B'!$C$3:$F$216,4,0)</f>
        <v>0</v>
      </c>
      <c r="AF290" s="19">
        <f t="shared" si="227"/>
        <v>0</v>
      </c>
      <c r="AG290" s="16"/>
      <c r="AH290" s="17">
        <f>VLOOKUP(AG290,'DATABASE F&amp;B'!$C$3:$F$216,2,0)</f>
        <v>0</v>
      </c>
      <c r="AI290" s="18">
        <v>1</v>
      </c>
      <c r="AJ290" s="19">
        <f>VLOOKUP(AG290,'DATABASE F&amp;B'!$C$3:$F$216,4,0)</f>
        <v>0</v>
      </c>
      <c r="AK290" s="19">
        <f t="shared" si="228"/>
        <v>0</v>
      </c>
      <c r="AL290" s="16"/>
      <c r="AM290" s="17">
        <f>VLOOKUP(AL290,'DATABASE F&amp;B'!$C$3:$F$216,2,0)</f>
        <v>0</v>
      </c>
      <c r="AN290" s="18">
        <v>1</v>
      </c>
      <c r="AO290" s="19">
        <f>VLOOKUP(AL290,'DATABASE F&amp;B'!$C$3:$F$216,4,0)</f>
        <v>0</v>
      </c>
      <c r="AP290" s="19">
        <f t="shared" si="229"/>
        <v>0</v>
      </c>
      <c r="AQ290" s="16"/>
      <c r="AR290" s="17">
        <f>VLOOKUP(AQ290,'DATABASE F&amp;B'!$C$3:$F$216,2,0)</f>
        <v>0</v>
      </c>
      <c r="AS290" s="18">
        <v>1</v>
      </c>
      <c r="AT290" s="19">
        <f>VLOOKUP(AQ290,'DATABASE F&amp;B'!$C$3:$F$216,4,0)</f>
        <v>0</v>
      </c>
      <c r="AU290" s="19">
        <f t="shared" si="230"/>
        <v>0</v>
      </c>
      <c r="AV290" s="16"/>
      <c r="AW290" s="17">
        <f>VLOOKUP(AV290,'DATABASE F&amp;B'!$C$3:$F$216,2,0)</f>
        <v>0</v>
      </c>
      <c r="AX290" s="18"/>
      <c r="AY290" s="19">
        <f>VLOOKUP(AV290,'DATABASE F&amp;B'!$C$3:$F$216,4,0)</f>
        <v>0</v>
      </c>
      <c r="AZ290" s="19">
        <f t="shared" si="231"/>
        <v>0</v>
      </c>
      <c r="BA290" s="16"/>
      <c r="BB290" s="17">
        <f>VLOOKUP(BA290,'DATABASE F&amp;B'!$C$3:$F$216,2,0)</f>
        <v>0</v>
      </c>
      <c r="BC290" s="18"/>
      <c r="BD290" s="19">
        <f>VLOOKUP(BA290,'DATABASE F&amp;B'!$C$3:$F$216,4,0)</f>
        <v>0</v>
      </c>
      <c r="BE290" s="19">
        <f t="shared" si="232"/>
        <v>0</v>
      </c>
      <c r="BF290" s="16"/>
      <c r="BG290" s="17">
        <f>VLOOKUP(BF290,'DATABASE F&amp;B'!$C$3:$F$216,2,0)</f>
        <v>0</v>
      </c>
      <c r="BH290" s="18"/>
      <c r="BI290" s="19">
        <f>VLOOKUP(BF290,'DATABASE F&amp;B'!$C$3:$F$216,4,0)</f>
        <v>0</v>
      </c>
      <c r="BJ290" s="19">
        <f t="shared" si="233"/>
        <v>0</v>
      </c>
      <c r="BK290" s="16"/>
      <c r="BL290" s="17">
        <f>VLOOKUP(BK290,'DATABASE F&amp;B'!$C$3:$F$210,2,0)</f>
        <v>0</v>
      </c>
      <c r="BM290" s="18"/>
      <c r="BN290" s="19">
        <f>VLOOKUP(BK290,'DATABASE F&amp;B'!$C$3:$F$210,4,0)</f>
        <v>0</v>
      </c>
      <c r="BO290" s="19">
        <f t="shared" si="234"/>
        <v>0</v>
      </c>
      <c r="BP290" s="16"/>
      <c r="BQ290" s="17">
        <f>VLOOKUP(BP290,'DATABASE F&amp;B'!$C$3:$F$210,2,0)</f>
        <v>0</v>
      </c>
      <c r="BR290" s="18"/>
      <c r="BS290" s="19">
        <f>VLOOKUP(BP290,'DATABASE F&amp;B'!$C$3:$F$210,4,0)</f>
        <v>0</v>
      </c>
      <c r="BT290" s="19">
        <f t="shared" si="235"/>
        <v>0</v>
      </c>
      <c r="BU290" s="16"/>
      <c r="BV290" s="17">
        <f>VLOOKUP(BU290,'DATABASE F&amp;B'!$C$3:$F$210,2,0)</f>
        <v>0</v>
      </c>
      <c r="BW290" s="18"/>
      <c r="BX290" s="19">
        <f>VLOOKUP(BU290,'DATABASE F&amp;B'!$C$3:$F$210,4,0)</f>
        <v>0</v>
      </c>
      <c r="BY290" s="19">
        <f t="shared" si="236"/>
        <v>0</v>
      </c>
      <c r="BZ290" s="16"/>
      <c r="CA290" s="17">
        <f>VLOOKUP(BZ290,'DATABASE F&amp;B'!$C$3:$F$210,2,0)</f>
        <v>0</v>
      </c>
      <c r="CB290" s="18"/>
      <c r="CC290" s="19">
        <f>VLOOKUP(BZ290,'DATABASE F&amp;B'!$C$3:$F$210,4,0)</f>
        <v>0</v>
      </c>
      <c r="CD290" s="19">
        <f t="shared" si="237"/>
        <v>0</v>
      </c>
    </row>
    <row r="291" spans="1:82" ht="13.5" x14ac:dyDescent="0.25">
      <c r="A291" s="32" t="str">
        <f t="shared" si="218"/>
        <v>--20</v>
      </c>
      <c r="B291" s="22">
        <f t="shared" si="242"/>
        <v>287</v>
      </c>
      <c r="C291" s="22">
        <f t="shared" si="242"/>
        <v>287</v>
      </c>
      <c r="D291" s="34"/>
      <c r="E291" s="35"/>
      <c r="F291" s="35"/>
      <c r="G291" s="52"/>
      <c r="H291" s="36" t="str">
        <f t="shared" si="240"/>
        <v>RJ--287</v>
      </c>
      <c r="I291" s="36" t="str">
        <f t="shared" si="219"/>
        <v>--20</v>
      </c>
      <c r="J291" s="37" t="e">
        <f>VLOOKUP(D291,Laporan!$C$4:$D$34,2,0)</f>
        <v>#N/A</v>
      </c>
      <c r="K291" s="48"/>
      <c r="L291" s="13"/>
      <c r="M291" s="19">
        <f>SUMIF('DATABASE Room'!$B$3:$B$7,L291,'DATABASE Room'!$D$3:$D$7)</f>
        <v>0</v>
      </c>
      <c r="N291" s="13"/>
      <c r="O291" s="21">
        <f t="shared" si="220"/>
        <v>0</v>
      </c>
      <c r="P291" s="38"/>
      <c r="Q291" s="19">
        <f t="shared" si="221"/>
        <v>0</v>
      </c>
      <c r="R291" s="21">
        <f t="shared" si="222"/>
        <v>0</v>
      </c>
      <c r="S291" s="19">
        <f t="shared" si="223"/>
        <v>3</v>
      </c>
      <c r="T291" s="19">
        <f t="shared" si="224"/>
        <v>0</v>
      </c>
      <c r="U291" s="21">
        <f t="shared" si="225"/>
        <v>0</v>
      </c>
      <c r="V291" s="39"/>
      <c r="W291" s="16"/>
      <c r="X291" s="17">
        <f>VLOOKUP(W291,'DATABASE F&amp;B'!$C$3:$F$216,2,0)</f>
        <v>0</v>
      </c>
      <c r="Y291" s="18"/>
      <c r="Z291" s="19">
        <f>VLOOKUP(W291,'DATABASE F&amp;B'!$C$3:$F$216,4,0)</f>
        <v>0</v>
      </c>
      <c r="AA291" s="19">
        <f t="shared" si="226"/>
        <v>0</v>
      </c>
      <c r="AB291" s="16"/>
      <c r="AC291" s="17">
        <f>VLOOKUP(AB291,'DATABASE F&amp;B'!$C$3:$F$216,2,0)</f>
        <v>0</v>
      </c>
      <c r="AD291" s="18"/>
      <c r="AE291" s="19">
        <f>VLOOKUP(AB291,'DATABASE F&amp;B'!$C$3:$F$216,4,0)</f>
        <v>0</v>
      </c>
      <c r="AF291" s="19">
        <f t="shared" si="227"/>
        <v>0</v>
      </c>
      <c r="AG291" s="16"/>
      <c r="AH291" s="17">
        <f>VLOOKUP(AG291,'DATABASE F&amp;B'!$C$3:$F$216,2,0)</f>
        <v>0</v>
      </c>
      <c r="AI291" s="18">
        <v>1</v>
      </c>
      <c r="AJ291" s="19">
        <f>VLOOKUP(AG291,'DATABASE F&amp;B'!$C$3:$F$216,4,0)</f>
        <v>0</v>
      </c>
      <c r="AK291" s="19">
        <f t="shared" si="228"/>
        <v>0</v>
      </c>
      <c r="AL291" s="16"/>
      <c r="AM291" s="17">
        <f>VLOOKUP(AL291,'DATABASE F&amp;B'!$C$3:$F$216,2,0)</f>
        <v>0</v>
      </c>
      <c r="AN291" s="18">
        <v>1</v>
      </c>
      <c r="AO291" s="19">
        <f>VLOOKUP(AL291,'DATABASE F&amp;B'!$C$3:$F$216,4,0)</f>
        <v>0</v>
      </c>
      <c r="AP291" s="19">
        <f t="shared" si="229"/>
        <v>0</v>
      </c>
      <c r="AQ291" s="16"/>
      <c r="AR291" s="17">
        <f>VLOOKUP(AQ291,'DATABASE F&amp;B'!$C$3:$F$216,2,0)</f>
        <v>0</v>
      </c>
      <c r="AS291" s="18">
        <v>1</v>
      </c>
      <c r="AT291" s="19">
        <f>VLOOKUP(AQ291,'DATABASE F&amp;B'!$C$3:$F$216,4,0)</f>
        <v>0</v>
      </c>
      <c r="AU291" s="19">
        <f t="shared" si="230"/>
        <v>0</v>
      </c>
      <c r="AV291" s="16"/>
      <c r="AW291" s="17">
        <f>VLOOKUP(AV291,'DATABASE F&amp;B'!$C$3:$F$216,2,0)</f>
        <v>0</v>
      </c>
      <c r="AX291" s="18"/>
      <c r="AY291" s="19">
        <f>VLOOKUP(AV291,'DATABASE F&amp;B'!$C$3:$F$216,4,0)</f>
        <v>0</v>
      </c>
      <c r="AZ291" s="19">
        <f t="shared" si="231"/>
        <v>0</v>
      </c>
      <c r="BA291" s="16"/>
      <c r="BB291" s="17">
        <f>VLOOKUP(BA291,'DATABASE F&amp;B'!$C$3:$F$216,2,0)</f>
        <v>0</v>
      </c>
      <c r="BC291" s="18"/>
      <c r="BD291" s="19">
        <f>VLOOKUP(BA291,'DATABASE F&amp;B'!$C$3:$F$216,4,0)</f>
        <v>0</v>
      </c>
      <c r="BE291" s="19">
        <f t="shared" si="232"/>
        <v>0</v>
      </c>
      <c r="BF291" s="16"/>
      <c r="BG291" s="17">
        <f>VLOOKUP(BF291,'DATABASE F&amp;B'!$C$3:$F$216,2,0)</f>
        <v>0</v>
      </c>
      <c r="BH291" s="18"/>
      <c r="BI291" s="19">
        <f>VLOOKUP(BF291,'DATABASE F&amp;B'!$C$3:$F$216,4,0)</f>
        <v>0</v>
      </c>
      <c r="BJ291" s="19">
        <f t="shared" si="233"/>
        <v>0</v>
      </c>
      <c r="BK291" s="16"/>
      <c r="BL291" s="17">
        <f>VLOOKUP(BK291,'DATABASE F&amp;B'!$C$3:$F$210,2,0)</f>
        <v>0</v>
      </c>
      <c r="BM291" s="18"/>
      <c r="BN291" s="19">
        <f>VLOOKUP(BK291,'DATABASE F&amp;B'!$C$3:$F$210,4,0)</f>
        <v>0</v>
      </c>
      <c r="BO291" s="19">
        <f t="shared" si="234"/>
        <v>0</v>
      </c>
      <c r="BP291" s="16"/>
      <c r="BQ291" s="17">
        <f>VLOOKUP(BP291,'DATABASE F&amp;B'!$C$3:$F$210,2,0)</f>
        <v>0</v>
      </c>
      <c r="BR291" s="18"/>
      <c r="BS291" s="19">
        <f>VLOOKUP(BP291,'DATABASE F&amp;B'!$C$3:$F$210,4,0)</f>
        <v>0</v>
      </c>
      <c r="BT291" s="19">
        <f t="shared" si="235"/>
        <v>0</v>
      </c>
      <c r="BU291" s="16"/>
      <c r="BV291" s="17">
        <f>VLOOKUP(BU291,'DATABASE F&amp;B'!$C$3:$F$210,2,0)</f>
        <v>0</v>
      </c>
      <c r="BW291" s="18"/>
      <c r="BX291" s="19">
        <f>VLOOKUP(BU291,'DATABASE F&amp;B'!$C$3:$F$210,4,0)</f>
        <v>0</v>
      </c>
      <c r="BY291" s="19">
        <f t="shared" si="236"/>
        <v>0</v>
      </c>
      <c r="BZ291" s="16"/>
      <c r="CA291" s="17">
        <f>VLOOKUP(BZ291,'DATABASE F&amp;B'!$C$3:$F$210,2,0)</f>
        <v>0</v>
      </c>
      <c r="CB291" s="18"/>
      <c r="CC291" s="19">
        <f>VLOOKUP(BZ291,'DATABASE F&amp;B'!$C$3:$F$210,4,0)</f>
        <v>0</v>
      </c>
      <c r="CD291" s="19">
        <f t="shared" si="237"/>
        <v>0</v>
      </c>
    </row>
    <row r="292" spans="1:82" ht="13.5" x14ac:dyDescent="0.25">
      <c r="A292" s="32" t="str">
        <f t="shared" ref="A292:A302" si="243">CONCATENATE(F292,"-",E292,"-20",G292)</f>
        <v>--20</v>
      </c>
      <c r="B292" s="22">
        <f t="shared" si="242"/>
        <v>288</v>
      </c>
      <c r="C292" s="22">
        <f t="shared" si="242"/>
        <v>288</v>
      </c>
      <c r="D292" s="34"/>
      <c r="E292" s="35"/>
      <c r="F292" s="35"/>
      <c r="G292" s="52"/>
      <c r="H292" s="36" t="str">
        <f t="shared" si="240"/>
        <v>RJ--288</v>
      </c>
      <c r="I292" s="36" t="str">
        <f t="shared" ref="I292:I302" si="244">CONCATENATE(E292,"-",F292,"-20",G292)</f>
        <v>--20</v>
      </c>
      <c r="J292" s="37" t="e">
        <f>VLOOKUP(D292,Laporan!$C$4:$D$34,2,0)</f>
        <v>#N/A</v>
      </c>
      <c r="K292" s="48"/>
      <c r="L292" s="13"/>
      <c r="M292" s="19">
        <f>SUMIF('DATABASE Room'!$B$3:$B$7,L292,'DATABASE Room'!$D$3:$D$7)</f>
        <v>0</v>
      </c>
      <c r="N292" s="13"/>
      <c r="O292" s="21">
        <f t="shared" ref="O292:O302" si="245">N292*M292</f>
        <v>0</v>
      </c>
      <c r="P292" s="38"/>
      <c r="Q292" s="19">
        <f t="shared" ref="Q292:Q302" si="246">P292*M292</f>
        <v>0</v>
      </c>
      <c r="R292" s="21">
        <f t="shared" ref="R292:R302" si="247">O292+Q292</f>
        <v>0</v>
      </c>
      <c r="S292" s="19">
        <f t="shared" ref="S292:S302" si="248">SUMIF($W$4:$CD$4,$S$4,W292:CD292)</f>
        <v>3</v>
      </c>
      <c r="T292" s="19">
        <f t="shared" ref="T292:T302" si="249">SUMIF($W$4:$CD$4,$T$4,W292:CD292)</f>
        <v>0</v>
      </c>
      <c r="U292" s="21">
        <f t="shared" ref="U292:U302" si="250">R292+T292</f>
        <v>0</v>
      </c>
      <c r="V292" s="39"/>
      <c r="W292" s="16"/>
      <c r="X292" s="17">
        <f>VLOOKUP(W292,'DATABASE F&amp;B'!$C$3:$F$216,2,0)</f>
        <v>0</v>
      </c>
      <c r="Y292" s="18"/>
      <c r="Z292" s="19">
        <f>VLOOKUP(W292,'DATABASE F&amp;B'!$C$3:$F$216,4,0)</f>
        <v>0</v>
      </c>
      <c r="AA292" s="19">
        <f t="shared" ref="AA292:AA302" si="251">Y292*Z292</f>
        <v>0</v>
      </c>
      <c r="AB292" s="16"/>
      <c r="AC292" s="17">
        <f>VLOOKUP(AB292,'DATABASE F&amp;B'!$C$3:$F$216,2,0)</f>
        <v>0</v>
      </c>
      <c r="AD292" s="18"/>
      <c r="AE292" s="19">
        <f>VLOOKUP(AB292,'DATABASE F&amp;B'!$C$3:$F$216,4,0)</f>
        <v>0</v>
      </c>
      <c r="AF292" s="19">
        <f t="shared" ref="AF292:AF302" si="252">AD292*AE292</f>
        <v>0</v>
      </c>
      <c r="AG292" s="16"/>
      <c r="AH292" s="17">
        <f>VLOOKUP(AG292,'DATABASE F&amp;B'!$C$3:$F$216,2,0)</f>
        <v>0</v>
      </c>
      <c r="AI292" s="18">
        <v>1</v>
      </c>
      <c r="AJ292" s="19">
        <f>VLOOKUP(AG292,'DATABASE F&amp;B'!$C$3:$F$216,4,0)</f>
        <v>0</v>
      </c>
      <c r="AK292" s="19">
        <f t="shared" ref="AK292:AK302" si="253">AI292*AJ292</f>
        <v>0</v>
      </c>
      <c r="AL292" s="16"/>
      <c r="AM292" s="17">
        <f>VLOOKUP(AL292,'DATABASE F&amp;B'!$C$3:$F$216,2,0)</f>
        <v>0</v>
      </c>
      <c r="AN292" s="18">
        <v>1</v>
      </c>
      <c r="AO292" s="19">
        <f>VLOOKUP(AL292,'DATABASE F&amp;B'!$C$3:$F$216,4,0)</f>
        <v>0</v>
      </c>
      <c r="AP292" s="19">
        <f t="shared" ref="AP292:AP302" si="254">AN292*AO292</f>
        <v>0</v>
      </c>
      <c r="AQ292" s="16"/>
      <c r="AR292" s="17">
        <f>VLOOKUP(AQ292,'DATABASE F&amp;B'!$C$3:$F$216,2,0)</f>
        <v>0</v>
      </c>
      <c r="AS292" s="18">
        <v>1</v>
      </c>
      <c r="AT292" s="19">
        <f>VLOOKUP(AQ292,'DATABASE F&amp;B'!$C$3:$F$216,4,0)</f>
        <v>0</v>
      </c>
      <c r="AU292" s="19">
        <f t="shared" ref="AU292:AU302" si="255">AS292*AT292</f>
        <v>0</v>
      </c>
      <c r="AV292" s="16"/>
      <c r="AW292" s="17">
        <f>VLOOKUP(AV292,'DATABASE F&amp;B'!$C$3:$F$216,2,0)</f>
        <v>0</v>
      </c>
      <c r="AX292" s="18"/>
      <c r="AY292" s="19">
        <f>VLOOKUP(AV292,'DATABASE F&amp;B'!$C$3:$F$216,4,0)</f>
        <v>0</v>
      </c>
      <c r="AZ292" s="19">
        <f t="shared" ref="AZ292:AZ302" si="256">AX292*AY292</f>
        <v>0</v>
      </c>
      <c r="BA292" s="16"/>
      <c r="BB292" s="17">
        <f>VLOOKUP(BA292,'DATABASE F&amp;B'!$C$3:$F$216,2,0)</f>
        <v>0</v>
      </c>
      <c r="BC292" s="18"/>
      <c r="BD292" s="19">
        <f>VLOOKUP(BA292,'DATABASE F&amp;B'!$C$3:$F$216,4,0)</f>
        <v>0</v>
      </c>
      <c r="BE292" s="19">
        <f t="shared" ref="BE292:BE302" si="257">BC292*BD292</f>
        <v>0</v>
      </c>
      <c r="BF292" s="16"/>
      <c r="BG292" s="17">
        <f>VLOOKUP(BF292,'DATABASE F&amp;B'!$C$3:$F$216,2,0)</f>
        <v>0</v>
      </c>
      <c r="BH292" s="18"/>
      <c r="BI292" s="19">
        <f>VLOOKUP(BF292,'DATABASE F&amp;B'!$C$3:$F$216,4,0)</f>
        <v>0</v>
      </c>
      <c r="BJ292" s="19">
        <f t="shared" ref="BJ292:BJ302" si="258">BH292*BI292</f>
        <v>0</v>
      </c>
      <c r="BK292" s="16"/>
      <c r="BL292" s="17">
        <f>VLOOKUP(BK292,'DATABASE F&amp;B'!$C$3:$F$210,2,0)</f>
        <v>0</v>
      </c>
      <c r="BM292" s="18"/>
      <c r="BN292" s="19">
        <f>VLOOKUP(BK292,'DATABASE F&amp;B'!$C$3:$F$210,4,0)</f>
        <v>0</v>
      </c>
      <c r="BO292" s="19">
        <f t="shared" ref="BO292:BO302" si="259">BM292*BN292</f>
        <v>0</v>
      </c>
      <c r="BP292" s="16"/>
      <c r="BQ292" s="17">
        <f>VLOOKUP(BP292,'DATABASE F&amp;B'!$C$3:$F$210,2,0)</f>
        <v>0</v>
      </c>
      <c r="BR292" s="18"/>
      <c r="BS292" s="19">
        <f>VLOOKUP(BP292,'DATABASE F&amp;B'!$C$3:$F$210,4,0)</f>
        <v>0</v>
      </c>
      <c r="BT292" s="19">
        <f t="shared" ref="BT292:BT302" si="260">BR292*BS292</f>
        <v>0</v>
      </c>
      <c r="BU292" s="16"/>
      <c r="BV292" s="17">
        <f>VLOOKUP(BU292,'DATABASE F&amp;B'!$C$3:$F$210,2,0)</f>
        <v>0</v>
      </c>
      <c r="BW292" s="18"/>
      <c r="BX292" s="19">
        <f>VLOOKUP(BU292,'DATABASE F&amp;B'!$C$3:$F$210,4,0)</f>
        <v>0</v>
      </c>
      <c r="BY292" s="19">
        <f t="shared" ref="BY292:BY302" si="261">BW292*BX292</f>
        <v>0</v>
      </c>
      <c r="BZ292" s="16"/>
      <c r="CA292" s="17">
        <f>VLOOKUP(BZ292,'DATABASE F&amp;B'!$C$3:$F$210,2,0)</f>
        <v>0</v>
      </c>
      <c r="CB292" s="18"/>
      <c r="CC292" s="19">
        <f>VLOOKUP(BZ292,'DATABASE F&amp;B'!$C$3:$F$210,4,0)</f>
        <v>0</v>
      </c>
      <c r="CD292" s="19">
        <f t="shared" ref="CD292:CD302" si="262">CB292*CC292</f>
        <v>0</v>
      </c>
    </row>
    <row r="293" spans="1:82" ht="13.5" x14ac:dyDescent="0.25">
      <c r="A293" s="32" t="str">
        <f t="shared" si="243"/>
        <v>--20</v>
      </c>
      <c r="B293" s="22">
        <f t="shared" si="242"/>
        <v>289</v>
      </c>
      <c r="C293" s="22">
        <f t="shared" si="242"/>
        <v>289</v>
      </c>
      <c r="D293" s="34"/>
      <c r="E293" s="35"/>
      <c r="F293" s="35"/>
      <c r="G293" s="52"/>
      <c r="H293" s="36" t="str">
        <f t="shared" si="240"/>
        <v>RJ--289</v>
      </c>
      <c r="I293" s="36" t="str">
        <f t="shared" si="244"/>
        <v>--20</v>
      </c>
      <c r="J293" s="37" t="e">
        <f>VLOOKUP(D293,Laporan!$C$4:$D$34,2,0)</f>
        <v>#N/A</v>
      </c>
      <c r="K293" s="48"/>
      <c r="L293" s="13"/>
      <c r="M293" s="19">
        <f>SUMIF('DATABASE Room'!$B$3:$B$7,L293,'DATABASE Room'!$D$3:$D$7)</f>
        <v>0</v>
      </c>
      <c r="N293" s="13"/>
      <c r="O293" s="21">
        <f t="shared" si="245"/>
        <v>0</v>
      </c>
      <c r="P293" s="38"/>
      <c r="Q293" s="19">
        <f t="shared" si="246"/>
        <v>0</v>
      </c>
      <c r="R293" s="21">
        <f t="shared" si="247"/>
        <v>0</v>
      </c>
      <c r="S293" s="19">
        <f t="shared" si="248"/>
        <v>3</v>
      </c>
      <c r="T293" s="19">
        <f t="shared" si="249"/>
        <v>0</v>
      </c>
      <c r="U293" s="21">
        <f t="shared" si="250"/>
        <v>0</v>
      </c>
      <c r="V293" s="39"/>
      <c r="W293" s="16"/>
      <c r="X293" s="17">
        <f>VLOOKUP(W293,'DATABASE F&amp;B'!$C$3:$F$216,2,0)</f>
        <v>0</v>
      </c>
      <c r="Y293" s="18"/>
      <c r="Z293" s="19">
        <f>VLOOKUP(W293,'DATABASE F&amp;B'!$C$3:$F$216,4,0)</f>
        <v>0</v>
      </c>
      <c r="AA293" s="19">
        <f t="shared" si="251"/>
        <v>0</v>
      </c>
      <c r="AB293" s="16"/>
      <c r="AC293" s="17">
        <f>VLOOKUP(AB293,'DATABASE F&amp;B'!$C$3:$F$216,2,0)</f>
        <v>0</v>
      </c>
      <c r="AD293" s="18"/>
      <c r="AE293" s="19">
        <f>VLOOKUP(AB293,'DATABASE F&amp;B'!$C$3:$F$216,4,0)</f>
        <v>0</v>
      </c>
      <c r="AF293" s="19">
        <f t="shared" si="252"/>
        <v>0</v>
      </c>
      <c r="AG293" s="16"/>
      <c r="AH293" s="17">
        <f>VLOOKUP(AG293,'DATABASE F&amp;B'!$C$3:$F$216,2,0)</f>
        <v>0</v>
      </c>
      <c r="AI293" s="18">
        <v>1</v>
      </c>
      <c r="AJ293" s="19">
        <f>VLOOKUP(AG293,'DATABASE F&amp;B'!$C$3:$F$216,4,0)</f>
        <v>0</v>
      </c>
      <c r="AK293" s="19">
        <f t="shared" si="253"/>
        <v>0</v>
      </c>
      <c r="AL293" s="16"/>
      <c r="AM293" s="17">
        <f>VLOOKUP(AL293,'DATABASE F&amp;B'!$C$3:$F$216,2,0)</f>
        <v>0</v>
      </c>
      <c r="AN293" s="18">
        <v>1</v>
      </c>
      <c r="AO293" s="19">
        <f>VLOOKUP(AL293,'DATABASE F&amp;B'!$C$3:$F$216,4,0)</f>
        <v>0</v>
      </c>
      <c r="AP293" s="19">
        <f t="shared" si="254"/>
        <v>0</v>
      </c>
      <c r="AQ293" s="16"/>
      <c r="AR293" s="17">
        <f>VLOOKUP(AQ293,'DATABASE F&amp;B'!$C$3:$F$216,2,0)</f>
        <v>0</v>
      </c>
      <c r="AS293" s="18">
        <v>1</v>
      </c>
      <c r="AT293" s="19">
        <f>VLOOKUP(AQ293,'DATABASE F&amp;B'!$C$3:$F$216,4,0)</f>
        <v>0</v>
      </c>
      <c r="AU293" s="19">
        <f t="shared" si="255"/>
        <v>0</v>
      </c>
      <c r="AV293" s="16"/>
      <c r="AW293" s="17">
        <f>VLOOKUP(AV293,'DATABASE F&amp;B'!$C$3:$F$216,2,0)</f>
        <v>0</v>
      </c>
      <c r="AX293" s="18"/>
      <c r="AY293" s="19">
        <f>VLOOKUP(AV293,'DATABASE F&amp;B'!$C$3:$F$216,4,0)</f>
        <v>0</v>
      </c>
      <c r="AZ293" s="19">
        <f t="shared" si="256"/>
        <v>0</v>
      </c>
      <c r="BA293" s="16"/>
      <c r="BB293" s="17">
        <f>VLOOKUP(BA293,'DATABASE F&amp;B'!$C$3:$F$216,2,0)</f>
        <v>0</v>
      </c>
      <c r="BC293" s="18"/>
      <c r="BD293" s="19">
        <f>VLOOKUP(BA293,'DATABASE F&amp;B'!$C$3:$F$216,4,0)</f>
        <v>0</v>
      </c>
      <c r="BE293" s="19">
        <f t="shared" si="257"/>
        <v>0</v>
      </c>
      <c r="BF293" s="16"/>
      <c r="BG293" s="17">
        <f>VLOOKUP(BF293,'DATABASE F&amp;B'!$C$3:$F$216,2,0)</f>
        <v>0</v>
      </c>
      <c r="BH293" s="18"/>
      <c r="BI293" s="19">
        <f>VLOOKUP(BF293,'DATABASE F&amp;B'!$C$3:$F$216,4,0)</f>
        <v>0</v>
      </c>
      <c r="BJ293" s="19">
        <f t="shared" si="258"/>
        <v>0</v>
      </c>
      <c r="BK293" s="16"/>
      <c r="BL293" s="17">
        <f>VLOOKUP(BK293,'DATABASE F&amp;B'!$C$3:$F$210,2,0)</f>
        <v>0</v>
      </c>
      <c r="BM293" s="18"/>
      <c r="BN293" s="19">
        <f>VLOOKUP(BK293,'DATABASE F&amp;B'!$C$3:$F$210,4,0)</f>
        <v>0</v>
      </c>
      <c r="BO293" s="19">
        <f t="shared" si="259"/>
        <v>0</v>
      </c>
      <c r="BP293" s="16"/>
      <c r="BQ293" s="17">
        <f>VLOOKUP(BP293,'DATABASE F&amp;B'!$C$3:$F$210,2,0)</f>
        <v>0</v>
      </c>
      <c r="BR293" s="18"/>
      <c r="BS293" s="19">
        <f>VLOOKUP(BP293,'DATABASE F&amp;B'!$C$3:$F$210,4,0)</f>
        <v>0</v>
      </c>
      <c r="BT293" s="19">
        <f t="shared" si="260"/>
        <v>0</v>
      </c>
      <c r="BU293" s="16"/>
      <c r="BV293" s="17">
        <f>VLOOKUP(BU293,'DATABASE F&amp;B'!$C$3:$F$210,2,0)</f>
        <v>0</v>
      </c>
      <c r="BW293" s="18"/>
      <c r="BX293" s="19">
        <f>VLOOKUP(BU293,'DATABASE F&amp;B'!$C$3:$F$210,4,0)</f>
        <v>0</v>
      </c>
      <c r="BY293" s="19">
        <f t="shared" si="261"/>
        <v>0</v>
      </c>
      <c r="BZ293" s="16"/>
      <c r="CA293" s="17">
        <f>VLOOKUP(BZ293,'DATABASE F&amp;B'!$C$3:$F$210,2,0)</f>
        <v>0</v>
      </c>
      <c r="CB293" s="18"/>
      <c r="CC293" s="19">
        <f>VLOOKUP(BZ293,'DATABASE F&amp;B'!$C$3:$F$210,4,0)</f>
        <v>0</v>
      </c>
      <c r="CD293" s="19">
        <f t="shared" si="262"/>
        <v>0</v>
      </c>
    </row>
    <row r="294" spans="1:82" ht="13.5" x14ac:dyDescent="0.25">
      <c r="A294" s="32" t="str">
        <f t="shared" si="243"/>
        <v>--20</v>
      </c>
      <c r="B294" s="22">
        <f t="shared" si="242"/>
        <v>290</v>
      </c>
      <c r="C294" s="22">
        <f t="shared" si="242"/>
        <v>290</v>
      </c>
      <c r="D294" s="34"/>
      <c r="E294" s="35"/>
      <c r="F294" s="35"/>
      <c r="G294" s="52"/>
      <c r="H294" s="36" t="str">
        <f t="shared" si="240"/>
        <v>RJ--290</v>
      </c>
      <c r="I294" s="36" t="str">
        <f t="shared" si="244"/>
        <v>--20</v>
      </c>
      <c r="J294" s="37" t="e">
        <f>VLOOKUP(D294,Laporan!$C$4:$D$34,2,0)</f>
        <v>#N/A</v>
      </c>
      <c r="K294" s="48"/>
      <c r="L294" s="13"/>
      <c r="M294" s="19">
        <f>SUMIF('DATABASE Room'!$B$3:$B$7,L294,'DATABASE Room'!$D$3:$D$7)</f>
        <v>0</v>
      </c>
      <c r="N294" s="13"/>
      <c r="O294" s="21">
        <f t="shared" si="245"/>
        <v>0</v>
      </c>
      <c r="P294" s="38"/>
      <c r="Q294" s="19">
        <f t="shared" si="246"/>
        <v>0</v>
      </c>
      <c r="R294" s="21">
        <f t="shared" si="247"/>
        <v>0</v>
      </c>
      <c r="S294" s="19">
        <f t="shared" si="248"/>
        <v>3</v>
      </c>
      <c r="T294" s="19">
        <f t="shared" si="249"/>
        <v>0</v>
      </c>
      <c r="U294" s="21">
        <f t="shared" si="250"/>
        <v>0</v>
      </c>
      <c r="V294" s="39"/>
      <c r="W294" s="16"/>
      <c r="X294" s="17">
        <f>VLOOKUP(W294,'DATABASE F&amp;B'!$C$3:$F$216,2,0)</f>
        <v>0</v>
      </c>
      <c r="Y294" s="18"/>
      <c r="Z294" s="19">
        <f>VLOOKUP(W294,'DATABASE F&amp;B'!$C$3:$F$216,4,0)</f>
        <v>0</v>
      </c>
      <c r="AA294" s="19">
        <f t="shared" si="251"/>
        <v>0</v>
      </c>
      <c r="AB294" s="16"/>
      <c r="AC294" s="17">
        <f>VLOOKUP(AB294,'DATABASE F&amp;B'!$C$3:$F$216,2,0)</f>
        <v>0</v>
      </c>
      <c r="AD294" s="18"/>
      <c r="AE294" s="19">
        <f>VLOOKUP(AB294,'DATABASE F&amp;B'!$C$3:$F$216,4,0)</f>
        <v>0</v>
      </c>
      <c r="AF294" s="19">
        <f t="shared" si="252"/>
        <v>0</v>
      </c>
      <c r="AG294" s="16"/>
      <c r="AH294" s="17">
        <f>VLOOKUP(AG294,'DATABASE F&amp;B'!$C$3:$F$216,2,0)</f>
        <v>0</v>
      </c>
      <c r="AI294" s="18">
        <v>1</v>
      </c>
      <c r="AJ294" s="19">
        <f>VLOOKUP(AG294,'DATABASE F&amp;B'!$C$3:$F$216,4,0)</f>
        <v>0</v>
      </c>
      <c r="AK294" s="19">
        <f t="shared" si="253"/>
        <v>0</v>
      </c>
      <c r="AL294" s="16"/>
      <c r="AM294" s="17">
        <f>VLOOKUP(AL294,'DATABASE F&amp;B'!$C$3:$F$216,2,0)</f>
        <v>0</v>
      </c>
      <c r="AN294" s="18">
        <v>1</v>
      </c>
      <c r="AO294" s="19">
        <f>VLOOKUP(AL294,'DATABASE F&amp;B'!$C$3:$F$216,4,0)</f>
        <v>0</v>
      </c>
      <c r="AP294" s="19">
        <f t="shared" si="254"/>
        <v>0</v>
      </c>
      <c r="AQ294" s="16"/>
      <c r="AR294" s="17">
        <f>VLOOKUP(AQ294,'DATABASE F&amp;B'!$C$3:$F$216,2,0)</f>
        <v>0</v>
      </c>
      <c r="AS294" s="18">
        <v>1</v>
      </c>
      <c r="AT294" s="19">
        <f>VLOOKUP(AQ294,'DATABASE F&amp;B'!$C$3:$F$216,4,0)</f>
        <v>0</v>
      </c>
      <c r="AU294" s="19">
        <f t="shared" si="255"/>
        <v>0</v>
      </c>
      <c r="AV294" s="16"/>
      <c r="AW294" s="17">
        <f>VLOOKUP(AV294,'DATABASE F&amp;B'!$C$3:$F$216,2,0)</f>
        <v>0</v>
      </c>
      <c r="AX294" s="18"/>
      <c r="AY294" s="19">
        <f>VLOOKUP(AV294,'DATABASE F&amp;B'!$C$3:$F$216,4,0)</f>
        <v>0</v>
      </c>
      <c r="AZ294" s="19">
        <f t="shared" si="256"/>
        <v>0</v>
      </c>
      <c r="BA294" s="16"/>
      <c r="BB294" s="17">
        <f>VLOOKUP(BA294,'DATABASE F&amp;B'!$C$3:$F$216,2,0)</f>
        <v>0</v>
      </c>
      <c r="BC294" s="18"/>
      <c r="BD294" s="19">
        <f>VLOOKUP(BA294,'DATABASE F&amp;B'!$C$3:$F$216,4,0)</f>
        <v>0</v>
      </c>
      <c r="BE294" s="19">
        <f t="shared" si="257"/>
        <v>0</v>
      </c>
      <c r="BF294" s="16"/>
      <c r="BG294" s="17">
        <f>VLOOKUP(BF294,'DATABASE F&amp;B'!$C$3:$F$216,2,0)</f>
        <v>0</v>
      </c>
      <c r="BH294" s="18"/>
      <c r="BI294" s="19">
        <f>VLOOKUP(BF294,'DATABASE F&amp;B'!$C$3:$F$216,4,0)</f>
        <v>0</v>
      </c>
      <c r="BJ294" s="19">
        <f t="shared" si="258"/>
        <v>0</v>
      </c>
      <c r="BK294" s="16"/>
      <c r="BL294" s="17">
        <f>VLOOKUP(BK294,'DATABASE F&amp;B'!$C$3:$F$210,2,0)</f>
        <v>0</v>
      </c>
      <c r="BM294" s="18"/>
      <c r="BN294" s="19">
        <f>VLOOKUP(BK294,'DATABASE F&amp;B'!$C$3:$F$210,4,0)</f>
        <v>0</v>
      </c>
      <c r="BO294" s="19">
        <f t="shared" si="259"/>
        <v>0</v>
      </c>
      <c r="BP294" s="16"/>
      <c r="BQ294" s="17">
        <f>VLOOKUP(BP294,'DATABASE F&amp;B'!$C$3:$F$210,2,0)</f>
        <v>0</v>
      </c>
      <c r="BR294" s="18"/>
      <c r="BS294" s="19">
        <f>VLOOKUP(BP294,'DATABASE F&amp;B'!$C$3:$F$210,4,0)</f>
        <v>0</v>
      </c>
      <c r="BT294" s="19">
        <f t="shared" si="260"/>
        <v>0</v>
      </c>
      <c r="BU294" s="16"/>
      <c r="BV294" s="17">
        <f>VLOOKUP(BU294,'DATABASE F&amp;B'!$C$3:$F$210,2,0)</f>
        <v>0</v>
      </c>
      <c r="BW294" s="18"/>
      <c r="BX294" s="19">
        <f>VLOOKUP(BU294,'DATABASE F&amp;B'!$C$3:$F$210,4,0)</f>
        <v>0</v>
      </c>
      <c r="BY294" s="19">
        <f t="shared" si="261"/>
        <v>0</v>
      </c>
      <c r="BZ294" s="16"/>
      <c r="CA294" s="17">
        <f>VLOOKUP(BZ294,'DATABASE F&amp;B'!$C$3:$F$210,2,0)</f>
        <v>0</v>
      </c>
      <c r="CB294" s="18"/>
      <c r="CC294" s="19">
        <f>VLOOKUP(BZ294,'DATABASE F&amp;B'!$C$3:$F$210,4,0)</f>
        <v>0</v>
      </c>
      <c r="CD294" s="19">
        <f t="shared" si="262"/>
        <v>0</v>
      </c>
    </row>
    <row r="295" spans="1:82" ht="13.5" x14ac:dyDescent="0.25">
      <c r="A295" s="32" t="str">
        <f t="shared" si="243"/>
        <v>--20</v>
      </c>
      <c r="B295" s="22">
        <f t="shared" ref="B295:C310" si="263">B294+1</f>
        <v>291</v>
      </c>
      <c r="C295" s="22">
        <f t="shared" si="263"/>
        <v>291</v>
      </c>
      <c r="D295" s="34"/>
      <c r="E295" s="35"/>
      <c r="F295" s="35"/>
      <c r="G295" s="52"/>
      <c r="H295" s="36" t="str">
        <f t="shared" si="240"/>
        <v>RJ--291</v>
      </c>
      <c r="I295" s="36" t="str">
        <f t="shared" si="244"/>
        <v>--20</v>
      </c>
      <c r="J295" s="37" t="e">
        <f>VLOOKUP(D295,Laporan!$C$4:$D$34,2,0)</f>
        <v>#N/A</v>
      </c>
      <c r="K295" s="48"/>
      <c r="L295" s="13"/>
      <c r="M295" s="19">
        <f>SUMIF('DATABASE Room'!$B$3:$B$7,L295,'DATABASE Room'!$D$3:$D$7)</f>
        <v>0</v>
      </c>
      <c r="N295" s="13"/>
      <c r="O295" s="21">
        <f t="shared" si="245"/>
        <v>0</v>
      </c>
      <c r="P295" s="38"/>
      <c r="Q295" s="19">
        <f t="shared" si="246"/>
        <v>0</v>
      </c>
      <c r="R295" s="21">
        <f t="shared" si="247"/>
        <v>0</v>
      </c>
      <c r="S295" s="19">
        <f t="shared" si="248"/>
        <v>3</v>
      </c>
      <c r="T295" s="19">
        <f t="shared" si="249"/>
        <v>0</v>
      </c>
      <c r="U295" s="21">
        <f t="shared" si="250"/>
        <v>0</v>
      </c>
      <c r="V295" s="39"/>
      <c r="W295" s="16"/>
      <c r="X295" s="17">
        <f>VLOOKUP(W295,'DATABASE F&amp;B'!$C$3:$F$216,2,0)</f>
        <v>0</v>
      </c>
      <c r="Y295" s="18"/>
      <c r="Z295" s="19">
        <f>VLOOKUP(W295,'DATABASE F&amp;B'!$C$3:$F$216,4,0)</f>
        <v>0</v>
      </c>
      <c r="AA295" s="19">
        <f t="shared" si="251"/>
        <v>0</v>
      </c>
      <c r="AB295" s="16"/>
      <c r="AC295" s="17">
        <f>VLOOKUP(AB295,'DATABASE F&amp;B'!$C$3:$F$216,2,0)</f>
        <v>0</v>
      </c>
      <c r="AD295" s="18"/>
      <c r="AE295" s="19">
        <f>VLOOKUP(AB295,'DATABASE F&amp;B'!$C$3:$F$216,4,0)</f>
        <v>0</v>
      </c>
      <c r="AF295" s="19">
        <f t="shared" si="252"/>
        <v>0</v>
      </c>
      <c r="AG295" s="16"/>
      <c r="AH295" s="17">
        <f>VLOOKUP(AG295,'DATABASE F&amp;B'!$C$3:$F$216,2,0)</f>
        <v>0</v>
      </c>
      <c r="AI295" s="18">
        <v>1</v>
      </c>
      <c r="AJ295" s="19">
        <f>VLOOKUP(AG295,'DATABASE F&amp;B'!$C$3:$F$216,4,0)</f>
        <v>0</v>
      </c>
      <c r="AK295" s="19">
        <f t="shared" si="253"/>
        <v>0</v>
      </c>
      <c r="AL295" s="16"/>
      <c r="AM295" s="17">
        <f>VLOOKUP(AL295,'DATABASE F&amp;B'!$C$3:$F$216,2,0)</f>
        <v>0</v>
      </c>
      <c r="AN295" s="18">
        <v>1</v>
      </c>
      <c r="AO295" s="19">
        <f>VLOOKUP(AL295,'DATABASE F&amp;B'!$C$3:$F$216,4,0)</f>
        <v>0</v>
      </c>
      <c r="AP295" s="19">
        <f t="shared" si="254"/>
        <v>0</v>
      </c>
      <c r="AQ295" s="16"/>
      <c r="AR295" s="17">
        <f>VLOOKUP(AQ295,'DATABASE F&amp;B'!$C$3:$F$216,2,0)</f>
        <v>0</v>
      </c>
      <c r="AS295" s="18">
        <v>1</v>
      </c>
      <c r="AT295" s="19">
        <f>VLOOKUP(AQ295,'DATABASE F&amp;B'!$C$3:$F$216,4,0)</f>
        <v>0</v>
      </c>
      <c r="AU295" s="19">
        <f t="shared" si="255"/>
        <v>0</v>
      </c>
      <c r="AV295" s="16"/>
      <c r="AW295" s="17">
        <f>VLOOKUP(AV295,'DATABASE F&amp;B'!$C$3:$F$216,2,0)</f>
        <v>0</v>
      </c>
      <c r="AX295" s="18"/>
      <c r="AY295" s="19">
        <f>VLOOKUP(AV295,'DATABASE F&amp;B'!$C$3:$F$216,4,0)</f>
        <v>0</v>
      </c>
      <c r="AZ295" s="19">
        <f t="shared" si="256"/>
        <v>0</v>
      </c>
      <c r="BA295" s="16"/>
      <c r="BB295" s="17">
        <f>VLOOKUP(BA295,'DATABASE F&amp;B'!$C$3:$F$216,2,0)</f>
        <v>0</v>
      </c>
      <c r="BC295" s="18"/>
      <c r="BD295" s="19">
        <f>VLOOKUP(BA295,'DATABASE F&amp;B'!$C$3:$F$216,4,0)</f>
        <v>0</v>
      </c>
      <c r="BE295" s="19">
        <f t="shared" si="257"/>
        <v>0</v>
      </c>
      <c r="BF295" s="16"/>
      <c r="BG295" s="17">
        <f>VLOOKUP(BF295,'DATABASE F&amp;B'!$C$3:$F$216,2,0)</f>
        <v>0</v>
      </c>
      <c r="BH295" s="18"/>
      <c r="BI295" s="19">
        <f>VLOOKUP(BF295,'DATABASE F&amp;B'!$C$3:$F$216,4,0)</f>
        <v>0</v>
      </c>
      <c r="BJ295" s="19">
        <f t="shared" si="258"/>
        <v>0</v>
      </c>
      <c r="BK295" s="16"/>
      <c r="BL295" s="17">
        <f>VLOOKUP(BK295,'DATABASE F&amp;B'!$C$3:$F$210,2,0)</f>
        <v>0</v>
      </c>
      <c r="BM295" s="18"/>
      <c r="BN295" s="19">
        <f>VLOOKUP(BK295,'DATABASE F&amp;B'!$C$3:$F$210,4,0)</f>
        <v>0</v>
      </c>
      <c r="BO295" s="19">
        <f t="shared" si="259"/>
        <v>0</v>
      </c>
      <c r="BP295" s="16"/>
      <c r="BQ295" s="17">
        <f>VLOOKUP(BP295,'DATABASE F&amp;B'!$C$3:$F$210,2,0)</f>
        <v>0</v>
      </c>
      <c r="BR295" s="18"/>
      <c r="BS295" s="19">
        <f>VLOOKUP(BP295,'DATABASE F&amp;B'!$C$3:$F$210,4,0)</f>
        <v>0</v>
      </c>
      <c r="BT295" s="19">
        <f t="shared" si="260"/>
        <v>0</v>
      </c>
      <c r="BU295" s="16"/>
      <c r="BV295" s="17">
        <f>VLOOKUP(BU295,'DATABASE F&amp;B'!$C$3:$F$210,2,0)</f>
        <v>0</v>
      </c>
      <c r="BW295" s="18"/>
      <c r="BX295" s="19">
        <f>VLOOKUP(BU295,'DATABASE F&amp;B'!$C$3:$F$210,4,0)</f>
        <v>0</v>
      </c>
      <c r="BY295" s="19">
        <f t="shared" si="261"/>
        <v>0</v>
      </c>
      <c r="BZ295" s="16"/>
      <c r="CA295" s="17">
        <f>VLOOKUP(BZ295,'DATABASE F&amp;B'!$C$3:$F$210,2,0)</f>
        <v>0</v>
      </c>
      <c r="CB295" s="18"/>
      <c r="CC295" s="19">
        <f>VLOOKUP(BZ295,'DATABASE F&amp;B'!$C$3:$F$210,4,0)</f>
        <v>0</v>
      </c>
      <c r="CD295" s="19">
        <f t="shared" si="262"/>
        <v>0</v>
      </c>
    </row>
    <row r="296" spans="1:82" ht="13.5" x14ac:dyDescent="0.25">
      <c r="A296" s="32" t="str">
        <f t="shared" si="243"/>
        <v>--20</v>
      </c>
      <c r="B296" s="22">
        <f t="shared" si="263"/>
        <v>292</v>
      </c>
      <c r="C296" s="22">
        <f t="shared" si="263"/>
        <v>292</v>
      </c>
      <c r="D296" s="34"/>
      <c r="E296" s="35"/>
      <c r="F296" s="35"/>
      <c r="G296" s="52"/>
      <c r="H296" s="36" t="str">
        <f t="shared" si="240"/>
        <v>RJ--292</v>
      </c>
      <c r="I296" s="36" t="str">
        <f t="shared" si="244"/>
        <v>--20</v>
      </c>
      <c r="J296" s="37" t="e">
        <f>VLOOKUP(D296,Laporan!$C$4:$D$34,2,0)</f>
        <v>#N/A</v>
      </c>
      <c r="K296" s="48"/>
      <c r="L296" s="13"/>
      <c r="M296" s="19">
        <f>SUMIF('DATABASE Room'!$B$3:$B$7,L296,'DATABASE Room'!$D$3:$D$7)</f>
        <v>0</v>
      </c>
      <c r="N296" s="13"/>
      <c r="O296" s="21">
        <f t="shared" si="245"/>
        <v>0</v>
      </c>
      <c r="P296" s="38"/>
      <c r="Q296" s="19">
        <f t="shared" si="246"/>
        <v>0</v>
      </c>
      <c r="R296" s="21">
        <f t="shared" si="247"/>
        <v>0</v>
      </c>
      <c r="S296" s="19">
        <f t="shared" si="248"/>
        <v>3</v>
      </c>
      <c r="T296" s="19">
        <f t="shared" si="249"/>
        <v>0</v>
      </c>
      <c r="U296" s="21">
        <f t="shared" si="250"/>
        <v>0</v>
      </c>
      <c r="V296" s="39"/>
      <c r="W296" s="16"/>
      <c r="X296" s="17">
        <f>VLOOKUP(W296,'DATABASE F&amp;B'!$C$3:$F$216,2,0)</f>
        <v>0</v>
      </c>
      <c r="Y296" s="18"/>
      <c r="Z296" s="19">
        <f>VLOOKUP(W296,'DATABASE F&amp;B'!$C$3:$F$216,4,0)</f>
        <v>0</v>
      </c>
      <c r="AA296" s="19">
        <f t="shared" si="251"/>
        <v>0</v>
      </c>
      <c r="AB296" s="16"/>
      <c r="AC296" s="17">
        <f>VLOOKUP(AB296,'DATABASE F&amp;B'!$C$3:$F$216,2,0)</f>
        <v>0</v>
      </c>
      <c r="AD296" s="18"/>
      <c r="AE296" s="19">
        <f>VLOOKUP(AB296,'DATABASE F&amp;B'!$C$3:$F$216,4,0)</f>
        <v>0</v>
      </c>
      <c r="AF296" s="19">
        <f t="shared" si="252"/>
        <v>0</v>
      </c>
      <c r="AG296" s="16"/>
      <c r="AH296" s="17">
        <f>VLOOKUP(AG296,'DATABASE F&amp;B'!$C$3:$F$216,2,0)</f>
        <v>0</v>
      </c>
      <c r="AI296" s="18">
        <v>1</v>
      </c>
      <c r="AJ296" s="19">
        <f>VLOOKUP(AG296,'DATABASE F&amp;B'!$C$3:$F$216,4,0)</f>
        <v>0</v>
      </c>
      <c r="AK296" s="19">
        <f t="shared" si="253"/>
        <v>0</v>
      </c>
      <c r="AL296" s="16"/>
      <c r="AM296" s="17">
        <f>VLOOKUP(AL296,'DATABASE F&amp;B'!$C$3:$F$216,2,0)</f>
        <v>0</v>
      </c>
      <c r="AN296" s="18">
        <v>1</v>
      </c>
      <c r="AO296" s="19">
        <f>VLOOKUP(AL296,'DATABASE F&amp;B'!$C$3:$F$216,4,0)</f>
        <v>0</v>
      </c>
      <c r="AP296" s="19">
        <f t="shared" si="254"/>
        <v>0</v>
      </c>
      <c r="AQ296" s="16"/>
      <c r="AR296" s="17">
        <f>VLOOKUP(AQ296,'DATABASE F&amp;B'!$C$3:$F$216,2,0)</f>
        <v>0</v>
      </c>
      <c r="AS296" s="18">
        <v>1</v>
      </c>
      <c r="AT296" s="19">
        <f>VLOOKUP(AQ296,'DATABASE F&amp;B'!$C$3:$F$216,4,0)</f>
        <v>0</v>
      </c>
      <c r="AU296" s="19">
        <f t="shared" si="255"/>
        <v>0</v>
      </c>
      <c r="AV296" s="16"/>
      <c r="AW296" s="17">
        <f>VLOOKUP(AV296,'DATABASE F&amp;B'!$C$3:$F$216,2,0)</f>
        <v>0</v>
      </c>
      <c r="AX296" s="18"/>
      <c r="AY296" s="19">
        <f>VLOOKUP(AV296,'DATABASE F&amp;B'!$C$3:$F$216,4,0)</f>
        <v>0</v>
      </c>
      <c r="AZ296" s="19">
        <f t="shared" si="256"/>
        <v>0</v>
      </c>
      <c r="BA296" s="16"/>
      <c r="BB296" s="17">
        <f>VLOOKUP(BA296,'DATABASE F&amp;B'!$C$3:$F$216,2,0)</f>
        <v>0</v>
      </c>
      <c r="BC296" s="18"/>
      <c r="BD296" s="19">
        <f>VLOOKUP(BA296,'DATABASE F&amp;B'!$C$3:$F$216,4,0)</f>
        <v>0</v>
      </c>
      <c r="BE296" s="19">
        <f t="shared" si="257"/>
        <v>0</v>
      </c>
      <c r="BF296" s="16"/>
      <c r="BG296" s="17">
        <f>VLOOKUP(BF296,'DATABASE F&amp;B'!$C$3:$F$216,2,0)</f>
        <v>0</v>
      </c>
      <c r="BH296" s="18"/>
      <c r="BI296" s="19">
        <f>VLOOKUP(BF296,'DATABASE F&amp;B'!$C$3:$F$216,4,0)</f>
        <v>0</v>
      </c>
      <c r="BJ296" s="19">
        <f t="shared" si="258"/>
        <v>0</v>
      </c>
      <c r="BK296" s="16"/>
      <c r="BL296" s="17">
        <f>VLOOKUP(BK296,'DATABASE F&amp;B'!$C$3:$F$210,2,0)</f>
        <v>0</v>
      </c>
      <c r="BM296" s="18"/>
      <c r="BN296" s="19">
        <f>VLOOKUP(BK296,'DATABASE F&amp;B'!$C$3:$F$210,4,0)</f>
        <v>0</v>
      </c>
      <c r="BO296" s="19">
        <f t="shared" si="259"/>
        <v>0</v>
      </c>
      <c r="BP296" s="16"/>
      <c r="BQ296" s="17">
        <f>VLOOKUP(BP296,'DATABASE F&amp;B'!$C$3:$F$210,2,0)</f>
        <v>0</v>
      </c>
      <c r="BR296" s="18"/>
      <c r="BS296" s="19">
        <f>VLOOKUP(BP296,'DATABASE F&amp;B'!$C$3:$F$210,4,0)</f>
        <v>0</v>
      </c>
      <c r="BT296" s="19">
        <f t="shared" si="260"/>
        <v>0</v>
      </c>
      <c r="BU296" s="16"/>
      <c r="BV296" s="17">
        <f>VLOOKUP(BU296,'DATABASE F&amp;B'!$C$3:$F$210,2,0)</f>
        <v>0</v>
      </c>
      <c r="BW296" s="18"/>
      <c r="BX296" s="19">
        <f>VLOOKUP(BU296,'DATABASE F&amp;B'!$C$3:$F$210,4,0)</f>
        <v>0</v>
      </c>
      <c r="BY296" s="19">
        <f t="shared" si="261"/>
        <v>0</v>
      </c>
      <c r="BZ296" s="16"/>
      <c r="CA296" s="17">
        <f>VLOOKUP(BZ296,'DATABASE F&amp;B'!$C$3:$F$210,2,0)</f>
        <v>0</v>
      </c>
      <c r="CB296" s="18"/>
      <c r="CC296" s="19">
        <f>VLOOKUP(BZ296,'DATABASE F&amp;B'!$C$3:$F$210,4,0)</f>
        <v>0</v>
      </c>
      <c r="CD296" s="19">
        <f t="shared" si="262"/>
        <v>0</v>
      </c>
    </row>
    <row r="297" spans="1:82" ht="13.5" x14ac:dyDescent="0.25">
      <c r="A297" s="32" t="str">
        <f t="shared" si="243"/>
        <v>--20</v>
      </c>
      <c r="B297" s="22">
        <f t="shared" si="263"/>
        <v>293</v>
      </c>
      <c r="C297" s="22">
        <f t="shared" si="263"/>
        <v>293</v>
      </c>
      <c r="D297" s="34"/>
      <c r="E297" s="35"/>
      <c r="F297" s="35"/>
      <c r="G297" s="52"/>
      <c r="H297" s="36" t="str">
        <f t="shared" si="240"/>
        <v>RJ--293</v>
      </c>
      <c r="I297" s="36" t="str">
        <f t="shared" si="244"/>
        <v>--20</v>
      </c>
      <c r="J297" s="37" t="e">
        <f>VLOOKUP(D297,Laporan!$C$4:$D$34,2,0)</f>
        <v>#N/A</v>
      </c>
      <c r="K297" s="48"/>
      <c r="L297" s="13"/>
      <c r="M297" s="19">
        <f>SUMIF('DATABASE Room'!$B$3:$B$7,L297,'DATABASE Room'!$D$3:$D$7)</f>
        <v>0</v>
      </c>
      <c r="N297" s="13"/>
      <c r="O297" s="21">
        <f t="shared" si="245"/>
        <v>0</v>
      </c>
      <c r="P297" s="38"/>
      <c r="Q297" s="19">
        <f t="shared" si="246"/>
        <v>0</v>
      </c>
      <c r="R297" s="21">
        <f t="shared" si="247"/>
        <v>0</v>
      </c>
      <c r="S297" s="19">
        <f t="shared" si="248"/>
        <v>3</v>
      </c>
      <c r="T297" s="19">
        <f t="shared" si="249"/>
        <v>0</v>
      </c>
      <c r="U297" s="21">
        <f t="shared" si="250"/>
        <v>0</v>
      </c>
      <c r="V297" s="39"/>
      <c r="W297" s="16"/>
      <c r="X297" s="17">
        <f>VLOOKUP(W297,'DATABASE F&amp;B'!$C$3:$F$216,2,0)</f>
        <v>0</v>
      </c>
      <c r="Y297" s="18"/>
      <c r="Z297" s="19">
        <f>VLOOKUP(W297,'DATABASE F&amp;B'!$C$3:$F$216,4,0)</f>
        <v>0</v>
      </c>
      <c r="AA297" s="19">
        <f t="shared" si="251"/>
        <v>0</v>
      </c>
      <c r="AB297" s="16"/>
      <c r="AC297" s="17">
        <f>VLOOKUP(AB297,'DATABASE F&amp;B'!$C$3:$F$216,2,0)</f>
        <v>0</v>
      </c>
      <c r="AD297" s="18"/>
      <c r="AE297" s="19">
        <f>VLOOKUP(AB297,'DATABASE F&amp;B'!$C$3:$F$216,4,0)</f>
        <v>0</v>
      </c>
      <c r="AF297" s="19">
        <f t="shared" si="252"/>
        <v>0</v>
      </c>
      <c r="AG297" s="16"/>
      <c r="AH297" s="17">
        <f>VLOOKUP(AG297,'DATABASE F&amp;B'!$C$3:$F$216,2,0)</f>
        <v>0</v>
      </c>
      <c r="AI297" s="18">
        <v>1</v>
      </c>
      <c r="AJ297" s="19">
        <f>VLOOKUP(AG297,'DATABASE F&amp;B'!$C$3:$F$216,4,0)</f>
        <v>0</v>
      </c>
      <c r="AK297" s="19">
        <f t="shared" si="253"/>
        <v>0</v>
      </c>
      <c r="AL297" s="16"/>
      <c r="AM297" s="17">
        <f>VLOOKUP(AL297,'DATABASE F&amp;B'!$C$3:$F$216,2,0)</f>
        <v>0</v>
      </c>
      <c r="AN297" s="18">
        <v>1</v>
      </c>
      <c r="AO297" s="19">
        <f>VLOOKUP(AL297,'DATABASE F&amp;B'!$C$3:$F$216,4,0)</f>
        <v>0</v>
      </c>
      <c r="AP297" s="19">
        <f t="shared" si="254"/>
        <v>0</v>
      </c>
      <c r="AQ297" s="16"/>
      <c r="AR297" s="17">
        <f>VLOOKUP(AQ297,'DATABASE F&amp;B'!$C$3:$F$216,2,0)</f>
        <v>0</v>
      </c>
      <c r="AS297" s="18">
        <v>1</v>
      </c>
      <c r="AT297" s="19">
        <f>VLOOKUP(AQ297,'DATABASE F&amp;B'!$C$3:$F$216,4,0)</f>
        <v>0</v>
      </c>
      <c r="AU297" s="19">
        <f t="shared" si="255"/>
        <v>0</v>
      </c>
      <c r="AV297" s="16"/>
      <c r="AW297" s="17">
        <f>VLOOKUP(AV297,'DATABASE F&amp;B'!$C$3:$F$216,2,0)</f>
        <v>0</v>
      </c>
      <c r="AX297" s="18"/>
      <c r="AY297" s="19">
        <f>VLOOKUP(AV297,'DATABASE F&amp;B'!$C$3:$F$216,4,0)</f>
        <v>0</v>
      </c>
      <c r="AZ297" s="19">
        <f t="shared" si="256"/>
        <v>0</v>
      </c>
      <c r="BA297" s="16"/>
      <c r="BB297" s="17">
        <f>VLOOKUP(BA297,'DATABASE F&amp;B'!$C$3:$F$216,2,0)</f>
        <v>0</v>
      </c>
      <c r="BC297" s="18"/>
      <c r="BD297" s="19">
        <f>VLOOKUP(BA297,'DATABASE F&amp;B'!$C$3:$F$216,4,0)</f>
        <v>0</v>
      </c>
      <c r="BE297" s="19">
        <f t="shared" si="257"/>
        <v>0</v>
      </c>
      <c r="BF297" s="16"/>
      <c r="BG297" s="17">
        <f>VLOOKUP(BF297,'DATABASE F&amp;B'!$C$3:$F$216,2,0)</f>
        <v>0</v>
      </c>
      <c r="BH297" s="18"/>
      <c r="BI297" s="19">
        <f>VLOOKUP(BF297,'DATABASE F&amp;B'!$C$3:$F$216,4,0)</f>
        <v>0</v>
      </c>
      <c r="BJ297" s="19">
        <f t="shared" si="258"/>
        <v>0</v>
      </c>
      <c r="BK297" s="16"/>
      <c r="BL297" s="17">
        <f>VLOOKUP(BK297,'DATABASE F&amp;B'!$C$3:$F$210,2,0)</f>
        <v>0</v>
      </c>
      <c r="BM297" s="18"/>
      <c r="BN297" s="19">
        <f>VLOOKUP(BK297,'DATABASE F&amp;B'!$C$3:$F$210,4,0)</f>
        <v>0</v>
      </c>
      <c r="BO297" s="19">
        <f t="shared" si="259"/>
        <v>0</v>
      </c>
      <c r="BP297" s="16"/>
      <c r="BQ297" s="17">
        <f>VLOOKUP(BP297,'DATABASE F&amp;B'!$C$3:$F$210,2,0)</f>
        <v>0</v>
      </c>
      <c r="BR297" s="18"/>
      <c r="BS297" s="19">
        <f>VLOOKUP(BP297,'DATABASE F&amp;B'!$C$3:$F$210,4,0)</f>
        <v>0</v>
      </c>
      <c r="BT297" s="19">
        <f t="shared" si="260"/>
        <v>0</v>
      </c>
      <c r="BU297" s="16"/>
      <c r="BV297" s="17">
        <f>VLOOKUP(BU297,'DATABASE F&amp;B'!$C$3:$F$210,2,0)</f>
        <v>0</v>
      </c>
      <c r="BW297" s="18"/>
      <c r="BX297" s="19">
        <f>VLOOKUP(BU297,'DATABASE F&amp;B'!$C$3:$F$210,4,0)</f>
        <v>0</v>
      </c>
      <c r="BY297" s="19">
        <f t="shared" si="261"/>
        <v>0</v>
      </c>
      <c r="BZ297" s="16"/>
      <c r="CA297" s="17">
        <f>VLOOKUP(BZ297,'DATABASE F&amp;B'!$C$3:$F$210,2,0)</f>
        <v>0</v>
      </c>
      <c r="CB297" s="18"/>
      <c r="CC297" s="19">
        <f>VLOOKUP(BZ297,'DATABASE F&amp;B'!$C$3:$F$210,4,0)</f>
        <v>0</v>
      </c>
      <c r="CD297" s="19">
        <f t="shared" si="262"/>
        <v>0</v>
      </c>
    </row>
    <row r="298" spans="1:82" ht="13.5" x14ac:dyDescent="0.25">
      <c r="A298" s="32" t="str">
        <f t="shared" si="243"/>
        <v>--20</v>
      </c>
      <c r="B298" s="22">
        <f t="shared" si="263"/>
        <v>294</v>
      </c>
      <c r="C298" s="22">
        <f t="shared" si="263"/>
        <v>294</v>
      </c>
      <c r="D298" s="34"/>
      <c r="E298" s="35"/>
      <c r="F298" s="35"/>
      <c r="G298" s="52"/>
      <c r="H298" s="36" t="str">
        <f t="shared" si="240"/>
        <v>RJ--294</v>
      </c>
      <c r="I298" s="36" t="str">
        <f t="shared" si="244"/>
        <v>--20</v>
      </c>
      <c r="J298" s="37" t="e">
        <f>VLOOKUP(D298,Laporan!$C$4:$D$34,2,0)</f>
        <v>#N/A</v>
      </c>
      <c r="K298" s="48"/>
      <c r="L298" s="13"/>
      <c r="M298" s="19">
        <f>SUMIF('DATABASE Room'!$B$3:$B$7,L298,'DATABASE Room'!$D$3:$D$7)</f>
        <v>0</v>
      </c>
      <c r="N298" s="13"/>
      <c r="O298" s="21">
        <f t="shared" si="245"/>
        <v>0</v>
      </c>
      <c r="P298" s="38"/>
      <c r="Q298" s="19">
        <f t="shared" si="246"/>
        <v>0</v>
      </c>
      <c r="R298" s="21">
        <f t="shared" si="247"/>
        <v>0</v>
      </c>
      <c r="S298" s="19">
        <f t="shared" si="248"/>
        <v>3</v>
      </c>
      <c r="T298" s="19">
        <f t="shared" si="249"/>
        <v>0</v>
      </c>
      <c r="U298" s="21">
        <f t="shared" si="250"/>
        <v>0</v>
      </c>
      <c r="V298" s="39"/>
      <c r="W298" s="16"/>
      <c r="X298" s="17">
        <f>VLOOKUP(W298,'DATABASE F&amp;B'!$C$3:$F$216,2,0)</f>
        <v>0</v>
      </c>
      <c r="Y298" s="18"/>
      <c r="Z298" s="19">
        <f>VLOOKUP(W298,'DATABASE F&amp;B'!$C$3:$F$216,4,0)</f>
        <v>0</v>
      </c>
      <c r="AA298" s="19">
        <f t="shared" si="251"/>
        <v>0</v>
      </c>
      <c r="AB298" s="16"/>
      <c r="AC298" s="17">
        <f>VLOOKUP(AB298,'DATABASE F&amp;B'!$C$3:$F$216,2,0)</f>
        <v>0</v>
      </c>
      <c r="AD298" s="18"/>
      <c r="AE298" s="19">
        <f>VLOOKUP(AB298,'DATABASE F&amp;B'!$C$3:$F$216,4,0)</f>
        <v>0</v>
      </c>
      <c r="AF298" s="19">
        <f t="shared" si="252"/>
        <v>0</v>
      </c>
      <c r="AG298" s="16"/>
      <c r="AH298" s="17">
        <f>VLOOKUP(AG298,'DATABASE F&amp;B'!$C$3:$F$216,2,0)</f>
        <v>0</v>
      </c>
      <c r="AI298" s="18">
        <v>1</v>
      </c>
      <c r="AJ298" s="19">
        <f>VLOOKUP(AG298,'DATABASE F&amp;B'!$C$3:$F$216,4,0)</f>
        <v>0</v>
      </c>
      <c r="AK298" s="19">
        <f t="shared" si="253"/>
        <v>0</v>
      </c>
      <c r="AL298" s="16"/>
      <c r="AM298" s="17">
        <f>VLOOKUP(AL298,'DATABASE F&amp;B'!$C$3:$F$216,2,0)</f>
        <v>0</v>
      </c>
      <c r="AN298" s="18">
        <v>1</v>
      </c>
      <c r="AO298" s="19">
        <f>VLOOKUP(AL298,'DATABASE F&amp;B'!$C$3:$F$216,4,0)</f>
        <v>0</v>
      </c>
      <c r="AP298" s="19">
        <f t="shared" si="254"/>
        <v>0</v>
      </c>
      <c r="AQ298" s="16"/>
      <c r="AR298" s="17">
        <f>VLOOKUP(AQ298,'DATABASE F&amp;B'!$C$3:$F$216,2,0)</f>
        <v>0</v>
      </c>
      <c r="AS298" s="18">
        <v>1</v>
      </c>
      <c r="AT298" s="19">
        <f>VLOOKUP(AQ298,'DATABASE F&amp;B'!$C$3:$F$216,4,0)</f>
        <v>0</v>
      </c>
      <c r="AU298" s="19">
        <f t="shared" si="255"/>
        <v>0</v>
      </c>
      <c r="AV298" s="16"/>
      <c r="AW298" s="17">
        <f>VLOOKUP(AV298,'DATABASE F&amp;B'!$C$3:$F$216,2,0)</f>
        <v>0</v>
      </c>
      <c r="AX298" s="18"/>
      <c r="AY298" s="19">
        <f>VLOOKUP(AV298,'DATABASE F&amp;B'!$C$3:$F$216,4,0)</f>
        <v>0</v>
      </c>
      <c r="AZ298" s="19">
        <f t="shared" si="256"/>
        <v>0</v>
      </c>
      <c r="BA298" s="16"/>
      <c r="BB298" s="17">
        <f>VLOOKUP(BA298,'DATABASE F&amp;B'!$C$3:$F$216,2,0)</f>
        <v>0</v>
      </c>
      <c r="BC298" s="18"/>
      <c r="BD298" s="19">
        <f>VLOOKUP(BA298,'DATABASE F&amp;B'!$C$3:$F$216,4,0)</f>
        <v>0</v>
      </c>
      <c r="BE298" s="19">
        <f t="shared" si="257"/>
        <v>0</v>
      </c>
      <c r="BF298" s="16"/>
      <c r="BG298" s="17">
        <f>VLOOKUP(BF298,'DATABASE F&amp;B'!$C$3:$F$216,2,0)</f>
        <v>0</v>
      </c>
      <c r="BH298" s="18"/>
      <c r="BI298" s="19">
        <f>VLOOKUP(BF298,'DATABASE F&amp;B'!$C$3:$F$216,4,0)</f>
        <v>0</v>
      </c>
      <c r="BJ298" s="19">
        <f t="shared" si="258"/>
        <v>0</v>
      </c>
      <c r="BK298" s="16"/>
      <c r="BL298" s="17">
        <f>VLOOKUP(BK298,'DATABASE F&amp;B'!$C$3:$F$210,2,0)</f>
        <v>0</v>
      </c>
      <c r="BM298" s="18"/>
      <c r="BN298" s="19">
        <f>VLOOKUP(BK298,'DATABASE F&amp;B'!$C$3:$F$210,4,0)</f>
        <v>0</v>
      </c>
      <c r="BO298" s="19">
        <f t="shared" si="259"/>
        <v>0</v>
      </c>
      <c r="BP298" s="16"/>
      <c r="BQ298" s="17">
        <f>VLOOKUP(BP298,'DATABASE F&amp;B'!$C$3:$F$210,2,0)</f>
        <v>0</v>
      </c>
      <c r="BR298" s="18"/>
      <c r="BS298" s="19">
        <f>VLOOKUP(BP298,'DATABASE F&amp;B'!$C$3:$F$210,4,0)</f>
        <v>0</v>
      </c>
      <c r="BT298" s="19">
        <f t="shared" si="260"/>
        <v>0</v>
      </c>
      <c r="BU298" s="16"/>
      <c r="BV298" s="17">
        <f>VLOOKUP(BU298,'DATABASE F&amp;B'!$C$3:$F$210,2,0)</f>
        <v>0</v>
      </c>
      <c r="BW298" s="18"/>
      <c r="BX298" s="19">
        <f>VLOOKUP(BU298,'DATABASE F&amp;B'!$C$3:$F$210,4,0)</f>
        <v>0</v>
      </c>
      <c r="BY298" s="19">
        <f t="shared" si="261"/>
        <v>0</v>
      </c>
      <c r="BZ298" s="16"/>
      <c r="CA298" s="17">
        <f>VLOOKUP(BZ298,'DATABASE F&amp;B'!$C$3:$F$210,2,0)</f>
        <v>0</v>
      </c>
      <c r="CB298" s="18"/>
      <c r="CC298" s="19">
        <f>VLOOKUP(BZ298,'DATABASE F&amp;B'!$C$3:$F$210,4,0)</f>
        <v>0</v>
      </c>
      <c r="CD298" s="19">
        <f t="shared" si="262"/>
        <v>0</v>
      </c>
    </row>
    <row r="299" spans="1:82" ht="13.5" x14ac:dyDescent="0.25">
      <c r="A299" s="32" t="str">
        <f t="shared" si="243"/>
        <v>--20</v>
      </c>
      <c r="B299" s="22">
        <f t="shared" si="263"/>
        <v>295</v>
      </c>
      <c r="C299" s="22">
        <f t="shared" si="263"/>
        <v>295</v>
      </c>
      <c r="D299" s="34"/>
      <c r="E299" s="35"/>
      <c r="F299" s="35"/>
      <c r="G299" s="52"/>
      <c r="H299" s="36" t="str">
        <f t="shared" si="240"/>
        <v>RJ--295</v>
      </c>
      <c r="I299" s="36" t="str">
        <f t="shared" si="244"/>
        <v>--20</v>
      </c>
      <c r="J299" s="37" t="e">
        <f>VLOOKUP(D299,Laporan!$C$4:$D$34,2,0)</f>
        <v>#N/A</v>
      </c>
      <c r="K299" s="48"/>
      <c r="L299" s="13"/>
      <c r="M299" s="19">
        <f>SUMIF('DATABASE Room'!$B$3:$B$7,L299,'DATABASE Room'!$D$3:$D$7)</f>
        <v>0</v>
      </c>
      <c r="N299" s="13"/>
      <c r="O299" s="21">
        <f t="shared" si="245"/>
        <v>0</v>
      </c>
      <c r="P299" s="38"/>
      <c r="Q299" s="19">
        <f t="shared" si="246"/>
        <v>0</v>
      </c>
      <c r="R299" s="21">
        <f t="shared" si="247"/>
        <v>0</v>
      </c>
      <c r="S299" s="19">
        <f t="shared" si="248"/>
        <v>3</v>
      </c>
      <c r="T299" s="19">
        <f t="shared" si="249"/>
        <v>0</v>
      </c>
      <c r="U299" s="21">
        <f t="shared" si="250"/>
        <v>0</v>
      </c>
      <c r="V299" s="39"/>
      <c r="W299" s="16"/>
      <c r="X299" s="17">
        <f>VLOOKUP(W299,'DATABASE F&amp;B'!$C$3:$F$216,2,0)</f>
        <v>0</v>
      </c>
      <c r="Y299" s="18"/>
      <c r="Z299" s="19">
        <f>VLOOKUP(W299,'DATABASE F&amp;B'!$C$3:$F$216,4,0)</f>
        <v>0</v>
      </c>
      <c r="AA299" s="19">
        <f t="shared" si="251"/>
        <v>0</v>
      </c>
      <c r="AB299" s="16"/>
      <c r="AC299" s="17">
        <f>VLOOKUP(AB299,'DATABASE F&amp;B'!$C$3:$F$216,2,0)</f>
        <v>0</v>
      </c>
      <c r="AD299" s="18"/>
      <c r="AE299" s="19">
        <f>VLOOKUP(AB299,'DATABASE F&amp;B'!$C$3:$F$216,4,0)</f>
        <v>0</v>
      </c>
      <c r="AF299" s="19">
        <f t="shared" si="252"/>
        <v>0</v>
      </c>
      <c r="AG299" s="16"/>
      <c r="AH299" s="17">
        <f>VLOOKUP(AG299,'DATABASE F&amp;B'!$C$3:$F$216,2,0)</f>
        <v>0</v>
      </c>
      <c r="AI299" s="18">
        <v>1</v>
      </c>
      <c r="AJ299" s="19">
        <f>VLOOKUP(AG299,'DATABASE F&amp;B'!$C$3:$F$216,4,0)</f>
        <v>0</v>
      </c>
      <c r="AK299" s="19">
        <f t="shared" si="253"/>
        <v>0</v>
      </c>
      <c r="AL299" s="16"/>
      <c r="AM299" s="17">
        <f>VLOOKUP(AL299,'DATABASE F&amp;B'!$C$3:$F$216,2,0)</f>
        <v>0</v>
      </c>
      <c r="AN299" s="18">
        <v>1</v>
      </c>
      <c r="AO299" s="19">
        <f>VLOOKUP(AL299,'DATABASE F&amp;B'!$C$3:$F$216,4,0)</f>
        <v>0</v>
      </c>
      <c r="AP299" s="19">
        <f t="shared" si="254"/>
        <v>0</v>
      </c>
      <c r="AQ299" s="16"/>
      <c r="AR299" s="17">
        <f>VLOOKUP(AQ299,'DATABASE F&amp;B'!$C$3:$F$216,2,0)</f>
        <v>0</v>
      </c>
      <c r="AS299" s="18">
        <v>1</v>
      </c>
      <c r="AT299" s="19">
        <f>VLOOKUP(AQ299,'DATABASE F&amp;B'!$C$3:$F$216,4,0)</f>
        <v>0</v>
      </c>
      <c r="AU299" s="19">
        <f t="shared" si="255"/>
        <v>0</v>
      </c>
      <c r="AV299" s="16"/>
      <c r="AW299" s="17">
        <f>VLOOKUP(AV299,'DATABASE F&amp;B'!$C$3:$F$216,2,0)</f>
        <v>0</v>
      </c>
      <c r="AX299" s="18"/>
      <c r="AY299" s="19">
        <f>VLOOKUP(AV299,'DATABASE F&amp;B'!$C$3:$F$216,4,0)</f>
        <v>0</v>
      </c>
      <c r="AZ299" s="19">
        <f t="shared" si="256"/>
        <v>0</v>
      </c>
      <c r="BA299" s="16"/>
      <c r="BB299" s="17">
        <f>VLOOKUP(BA299,'DATABASE F&amp;B'!$C$3:$F$216,2,0)</f>
        <v>0</v>
      </c>
      <c r="BC299" s="18"/>
      <c r="BD299" s="19">
        <f>VLOOKUP(BA299,'DATABASE F&amp;B'!$C$3:$F$216,4,0)</f>
        <v>0</v>
      </c>
      <c r="BE299" s="19">
        <f t="shared" si="257"/>
        <v>0</v>
      </c>
      <c r="BF299" s="16"/>
      <c r="BG299" s="17">
        <f>VLOOKUP(BF299,'DATABASE F&amp;B'!$C$3:$F$216,2,0)</f>
        <v>0</v>
      </c>
      <c r="BH299" s="18"/>
      <c r="BI299" s="19">
        <f>VLOOKUP(BF299,'DATABASE F&amp;B'!$C$3:$F$216,4,0)</f>
        <v>0</v>
      </c>
      <c r="BJ299" s="19">
        <f t="shared" si="258"/>
        <v>0</v>
      </c>
      <c r="BK299" s="16"/>
      <c r="BL299" s="17">
        <f>VLOOKUP(BK299,'DATABASE F&amp;B'!$C$3:$F$210,2,0)</f>
        <v>0</v>
      </c>
      <c r="BM299" s="18"/>
      <c r="BN299" s="19">
        <f>VLOOKUP(BK299,'DATABASE F&amp;B'!$C$3:$F$210,4,0)</f>
        <v>0</v>
      </c>
      <c r="BO299" s="19">
        <f t="shared" si="259"/>
        <v>0</v>
      </c>
      <c r="BP299" s="16"/>
      <c r="BQ299" s="17">
        <f>VLOOKUP(BP299,'DATABASE F&amp;B'!$C$3:$F$210,2,0)</f>
        <v>0</v>
      </c>
      <c r="BR299" s="18"/>
      <c r="BS299" s="19">
        <f>VLOOKUP(BP299,'DATABASE F&amp;B'!$C$3:$F$210,4,0)</f>
        <v>0</v>
      </c>
      <c r="BT299" s="19">
        <f t="shared" si="260"/>
        <v>0</v>
      </c>
      <c r="BU299" s="16"/>
      <c r="BV299" s="17">
        <f>VLOOKUP(BU299,'DATABASE F&amp;B'!$C$3:$F$210,2,0)</f>
        <v>0</v>
      </c>
      <c r="BW299" s="18"/>
      <c r="BX299" s="19">
        <f>VLOOKUP(BU299,'DATABASE F&amp;B'!$C$3:$F$210,4,0)</f>
        <v>0</v>
      </c>
      <c r="BY299" s="19">
        <f t="shared" si="261"/>
        <v>0</v>
      </c>
      <c r="BZ299" s="16"/>
      <c r="CA299" s="17">
        <f>VLOOKUP(BZ299,'DATABASE F&amp;B'!$C$3:$F$210,2,0)</f>
        <v>0</v>
      </c>
      <c r="CB299" s="18"/>
      <c r="CC299" s="19">
        <f>VLOOKUP(BZ299,'DATABASE F&amp;B'!$C$3:$F$210,4,0)</f>
        <v>0</v>
      </c>
      <c r="CD299" s="19">
        <f t="shared" si="262"/>
        <v>0</v>
      </c>
    </row>
    <row r="300" spans="1:82" ht="13.5" x14ac:dyDescent="0.25">
      <c r="A300" s="32" t="str">
        <f t="shared" si="243"/>
        <v>--20</v>
      </c>
      <c r="B300" s="22">
        <f t="shared" si="263"/>
        <v>296</v>
      </c>
      <c r="C300" s="22">
        <f t="shared" si="263"/>
        <v>296</v>
      </c>
      <c r="D300" s="34"/>
      <c r="E300" s="35"/>
      <c r="F300" s="35"/>
      <c r="G300" s="52"/>
      <c r="H300" s="36" t="str">
        <f t="shared" si="240"/>
        <v>RJ--296</v>
      </c>
      <c r="I300" s="36" t="str">
        <f t="shared" si="244"/>
        <v>--20</v>
      </c>
      <c r="J300" s="37" t="e">
        <f>VLOOKUP(D300,Laporan!$C$4:$D$34,2,0)</f>
        <v>#N/A</v>
      </c>
      <c r="K300" s="48"/>
      <c r="L300" s="13"/>
      <c r="M300" s="19">
        <f>SUMIF('DATABASE Room'!$B$3:$B$7,L300,'DATABASE Room'!$D$3:$D$7)</f>
        <v>0</v>
      </c>
      <c r="N300" s="13"/>
      <c r="O300" s="21">
        <f t="shared" si="245"/>
        <v>0</v>
      </c>
      <c r="P300" s="38"/>
      <c r="Q300" s="19">
        <f t="shared" si="246"/>
        <v>0</v>
      </c>
      <c r="R300" s="21">
        <f t="shared" si="247"/>
        <v>0</v>
      </c>
      <c r="S300" s="19">
        <f t="shared" si="248"/>
        <v>3</v>
      </c>
      <c r="T300" s="19">
        <f t="shared" si="249"/>
        <v>0</v>
      </c>
      <c r="U300" s="21">
        <f t="shared" si="250"/>
        <v>0</v>
      </c>
      <c r="V300" s="39"/>
      <c r="W300" s="16"/>
      <c r="X300" s="17">
        <f>VLOOKUP(W300,'DATABASE F&amp;B'!$C$3:$F$216,2,0)</f>
        <v>0</v>
      </c>
      <c r="Y300" s="18"/>
      <c r="Z300" s="19">
        <f>VLOOKUP(W300,'DATABASE F&amp;B'!$C$3:$F$216,4,0)</f>
        <v>0</v>
      </c>
      <c r="AA300" s="19">
        <f t="shared" si="251"/>
        <v>0</v>
      </c>
      <c r="AB300" s="16"/>
      <c r="AC300" s="17">
        <f>VLOOKUP(AB300,'DATABASE F&amp;B'!$C$3:$F$216,2,0)</f>
        <v>0</v>
      </c>
      <c r="AD300" s="18"/>
      <c r="AE300" s="19">
        <f>VLOOKUP(AB300,'DATABASE F&amp;B'!$C$3:$F$216,4,0)</f>
        <v>0</v>
      </c>
      <c r="AF300" s="19">
        <f t="shared" si="252"/>
        <v>0</v>
      </c>
      <c r="AG300" s="16"/>
      <c r="AH300" s="17">
        <f>VLOOKUP(AG300,'DATABASE F&amp;B'!$C$3:$F$216,2,0)</f>
        <v>0</v>
      </c>
      <c r="AI300" s="18">
        <v>1</v>
      </c>
      <c r="AJ300" s="19">
        <f>VLOOKUP(AG300,'DATABASE F&amp;B'!$C$3:$F$216,4,0)</f>
        <v>0</v>
      </c>
      <c r="AK300" s="19">
        <f t="shared" si="253"/>
        <v>0</v>
      </c>
      <c r="AL300" s="16"/>
      <c r="AM300" s="17">
        <f>VLOOKUP(AL300,'DATABASE F&amp;B'!$C$3:$F$216,2,0)</f>
        <v>0</v>
      </c>
      <c r="AN300" s="18">
        <v>1</v>
      </c>
      <c r="AO300" s="19">
        <f>VLOOKUP(AL300,'DATABASE F&amp;B'!$C$3:$F$216,4,0)</f>
        <v>0</v>
      </c>
      <c r="AP300" s="19">
        <f t="shared" si="254"/>
        <v>0</v>
      </c>
      <c r="AQ300" s="16"/>
      <c r="AR300" s="17">
        <f>VLOOKUP(AQ300,'DATABASE F&amp;B'!$C$3:$F$216,2,0)</f>
        <v>0</v>
      </c>
      <c r="AS300" s="18">
        <v>1</v>
      </c>
      <c r="AT300" s="19">
        <f>VLOOKUP(AQ300,'DATABASE F&amp;B'!$C$3:$F$216,4,0)</f>
        <v>0</v>
      </c>
      <c r="AU300" s="19">
        <f t="shared" si="255"/>
        <v>0</v>
      </c>
      <c r="AV300" s="16"/>
      <c r="AW300" s="17">
        <f>VLOOKUP(AV300,'DATABASE F&amp;B'!$C$3:$F$216,2,0)</f>
        <v>0</v>
      </c>
      <c r="AX300" s="18"/>
      <c r="AY300" s="19">
        <f>VLOOKUP(AV300,'DATABASE F&amp;B'!$C$3:$F$216,4,0)</f>
        <v>0</v>
      </c>
      <c r="AZ300" s="19">
        <f t="shared" si="256"/>
        <v>0</v>
      </c>
      <c r="BA300" s="16"/>
      <c r="BB300" s="17">
        <f>VLOOKUP(BA300,'DATABASE F&amp;B'!$C$3:$F$216,2,0)</f>
        <v>0</v>
      </c>
      <c r="BC300" s="18"/>
      <c r="BD300" s="19">
        <f>VLOOKUP(BA300,'DATABASE F&amp;B'!$C$3:$F$216,4,0)</f>
        <v>0</v>
      </c>
      <c r="BE300" s="19">
        <f t="shared" si="257"/>
        <v>0</v>
      </c>
      <c r="BF300" s="16"/>
      <c r="BG300" s="17">
        <f>VLOOKUP(BF300,'DATABASE F&amp;B'!$C$3:$F$216,2,0)</f>
        <v>0</v>
      </c>
      <c r="BH300" s="18"/>
      <c r="BI300" s="19">
        <f>VLOOKUP(BF300,'DATABASE F&amp;B'!$C$3:$F$216,4,0)</f>
        <v>0</v>
      </c>
      <c r="BJ300" s="19">
        <f t="shared" si="258"/>
        <v>0</v>
      </c>
      <c r="BK300" s="16"/>
      <c r="BL300" s="17">
        <f>VLOOKUP(BK300,'DATABASE F&amp;B'!$C$3:$F$210,2,0)</f>
        <v>0</v>
      </c>
      <c r="BM300" s="18"/>
      <c r="BN300" s="19">
        <f>VLOOKUP(BK300,'DATABASE F&amp;B'!$C$3:$F$210,4,0)</f>
        <v>0</v>
      </c>
      <c r="BO300" s="19">
        <f t="shared" si="259"/>
        <v>0</v>
      </c>
      <c r="BP300" s="16"/>
      <c r="BQ300" s="17">
        <f>VLOOKUP(BP300,'DATABASE F&amp;B'!$C$3:$F$210,2,0)</f>
        <v>0</v>
      </c>
      <c r="BR300" s="18"/>
      <c r="BS300" s="19">
        <f>VLOOKUP(BP300,'DATABASE F&amp;B'!$C$3:$F$210,4,0)</f>
        <v>0</v>
      </c>
      <c r="BT300" s="19">
        <f t="shared" si="260"/>
        <v>0</v>
      </c>
      <c r="BU300" s="16"/>
      <c r="BV300" s="17">
        <f>VLOOKUP(BU300,'DATABASE F&amp;B'!$C$3:$F$210,2,0)</f>
        <v>0</v>
      </c>
      <c r="BW300" s="18"/>
      <c r="BX300" s="19">
        <f>VLOOKUP(BU300,'DATABASE F&amp;B'!$C$3:$F$210,4,0)</f>
        <v>0</v>
      </c>
      <c r="BY300" s="19">
        <f t="shared" si="261"/>
        <v>0</v>
      </c>
      <c r="BZ300" s="16"/>
      <c r="CA300" s="17">
        <f>VLOOKUP(BZ300,'DATABASE F&amp;B'!$C$3:$F$210,2,0)</f>
        <v>0</v>
      </c>
      <c r="CB300" s="18"/>
      <c r="CC300" s="19">
        <f>VLOOKUP(BZ300,'DATABASE F&amp;B'!$C$3:$F$210,4,0)</f>
        <v>0</v>
      </c>
      <c r="CD300" s="19">
        <f t="shared" si="262"/>
        <v>0</v>
      </c>
    </row>
    <row r="301" spans="1:82" ht="13.5" x14ac:dyDescent="0.25">
      <c r="A301" s="32" t="str">
        <f t="shared" si="243"/>
        <v>--20</v>
      </c>
      <c r="B301" s="22">
        <f t="shared" si="263"/>
        <v>297</v>
      </c>
      <c r="C301" s="22">
        <f t="shared" si="263"/>
        <v>297</v>
      </c>
      <c r="D301" s="34"/>
      <c r="E301" s="35"/>
      <c r="F301" s="35"/>
      <c r="G301" s="52"/>
      <c r="H301" s="36" t="str">
        <f t="shared" si="240"/>
        <v>RJ--297</v>
      </c>
      <c r="I301" s="36" t="str">
        <f t="shared" si="244"/>
        <v>--20</v>
      </c>
      <c r="J301" s="37" t="e">
        <f>VLOOKUP(D301,Laporan!$C$4:$D$34,2,0)</f>
        <v>#N/A</v>
      </c>
      <c r="K301" s="48"/>
      <c r="L301" s="13"/>
      <c r="M301" s="19">
        <f>SUMIF('DATABASE Room'!$B$3:$B$7,L301,'DATABASE Room'!$D$3:$D$7)</f>
        <v>0</v>
      </c>
      <c r="N301" s="13"/>
      <c r="O301" s="21">
        <f t="shared" si="245"/>
        <v>0</v>
      </c>
      <c r="P301" s="38"/>
      <c r="Q301" s="19">
        <f t="shared" si="246"/>
        <v>0</v>
      </c>
      <c r="R301" s="21">
        <f t="shared" si="247"/>
        <v>0</v>
      </c>
      <c r="S301" s="19">
        <f t="shared" si="248"/>
        <v>3</v>
      </c>
      <c r="T301" s="19">
        <f t="shared" si="249"/>
        <v>0</v>
      </c>
      <c r="U301" s="21">
        <f t="shared" si="250"/>
        <v>0</v>
      </c>
      <c r="V301" s="39"/>
      <c r="W301" s="16"/>
      <c r="X301" s="17">
        <f>VLOOKUP(W301,'DATABASE F&amp;B'!$C$3:$F$216,2,0)</f>
        <v>0</v>
      </c>
      <c r="Y301" s="18"/>
      <c r="Z301" s="19">
        <f>VLOOKUP(W301,'DATABASE F&amp;B'!$C$3:$F$216,4,0)</f>
        <v>0</v>
      </c>
      <c r="AA301" s="19">
        <f t="shared" si="251"/>
        <v>0</v>
      </c>
      <c r="AB301" s="16"/>
      <c r="AC301" s="17">
        <f>VLOOKUP(AB301,'DATABASE F&amp;B'!$C$3:$F$216,2,0)</f>
        <v>0</v>
      </c>
      <c r="AD301" s="18"/>
      <c r="AE301" s="19">
        <f>VLOOKUP(AB301,'DATABASE F&amp;B'!$C$3:$F$216,4,0)</f>
        <v>0</v>
      </c>
      <c r="AF301" s="19">
        <f t="shared" si="252"/>
        <v>0</v>
      </c>
      <c r="AG301" s="16"/>
      <c r="AH301" s="17">
        <f>VLOOKUP(AG301,'DATABASE F&amp;B'!$C$3:$F$216,2,0)</f>
        <v>0</v>
      </c>
      <c r="AI301" s="18">
        <v>1</v>
      </c>
      <c r="AJ301" s="19">
        <f>VLOOKUP(AG301,'DATABASE F&amp;B'!$C$3:$F$216,4,0)</f>
        <v>0</v>
      </c>
      <c r="AK301" s="19">
        <f t="shared" si="253"/>
        <v>0</v>
      </c>
      <c r="AL301" s="16"/>
      <c r="AM301" s="17">
        <f>VLOOKUP(AL301,'DATABASE F&amp;B'!$C$3:$F$216,2,0)</f>
        <v>0</v>
      </c>
      <c r="AN301" s="18">
        <v>1</v>
      </c>
      <c r="AO301" s="19">
        <f>VLOOKUP(AL301,'DATABASE F&amp;B'!$C$3:$F$216,4,0)</f>
        <v>0</v>
      </c>
      <c r="AP301" s="19">
        <f t="shared" si="254"/>
        <v>0</v>
      </c>
      <c r="AQ301" s="16"/>
      <c r="AR301" s="17">
        <f>VLOOKUP(AQ301,'DATABASE F&amp;B'!$C$3:$F$216,2,0)</f>
        <v>0</v>
      </c>
      <c r="AS301" s="18">
        <v>1</v>
      </c>
      <c r="AT301" s="19">
        <f>VLOOKUP(AQ301,'DATABASE F&amp;B'!$C$3:$F$216,4,0)</f>
        <v>0</v>
      </c>
      <c r="AU301" s="19">
        <f t="shared" si="255"/>
        <v>0</v>
      </c>
      <c r="AV301" s="16"/>
      <c r="AW301" s="17">
        <f>VLOOKUP(AV301,'DATABASE F&amp;B'!$C$3:$F$216,2,0)</f>
        <v>0</v>
      </c>
      <c r="AX301" s="18"/>
      <c r="AY301" s="19">
        <f>VLOOKUP(AV301,'DATABASE F&amp;B'!$C$3:$F$216,4,0)</f>
        <v>0</v>
      </c>
      <c r="AZ301" s="19">
        <f t="shared" si="256"/>
        <v>0</v>
      </c>
      <c r="BA301" s="16"/>
      <c r="BB301" s="17">
        <f>VLOOKUP(BA301,'DATABASE F&amp;B'!$C$3:$F$216,2,0)</f>
        <v>0</v>
      </c>
      <c r="BC301" s="18"/>
      <c r="BD301" s="19">
        <f>VLOOKUP(BA301,'DATABASE F&amp;B'!$C$3:$F$216,4,0)</f>
        <v>0</v>
      </c>
      <c r="BE301" s="19">
        <f t="shared" si="257"/>
        <v>0</v>
      </c>
      <c r="BF301" s="16"/>
      <c r="BG301" s="17">
        <f>VLOOKUP(BF301,'DATABASE F&amp;B'!$C$3:$F$216,2,0)</f>
        <v>0</v>
      </c>
      <c r="BH301" s="18"/>
      <c r="BI301" s="19">
        <f>VLOOKUP(BF301,'DATABASE F&amp;B'!$C$3:$F$216,4,0)</f>
        <v>0</v>
      </c>
      <c r="BJ301" s="19">
        <f t="shared" si="258"/>
        <v>0</v>
      </c>
      <c r="BK301" s="16"/>
      <c r="BL301" s="17">
        <f>VLOOKUP(BK301,'DATABASE F&amp;B'!$C$3:$F$210,2,0)</f>
        <v>0</v>
      </c>
      <c r="BM301" s="18"/>
      <c r="BN301" s="19">
        <f>VLOOKUP(BK301,'DATABASE F&amp;B'!$C$3:$F$210,4,0)</f>
        <v>0</v>
      </c>
      <c r="BO301" s="19">
        <f t="shared" si="259"/>
        <v>0</v>
      </c>
      <c r="BP301" s="16"/>
      <c r="BQ301" s="17">
        <f>VLOOKUP(BP301,'DATABASE F&amp;B'!$C$3:$F$210,2,0)</f>
        <v>0</v>
      </c>
      <c r="BR301" s="18"/>
      <c r="BS301" s="19">
        <f>VLOOKUP(BP301,'DATABASE F&amp;B'!$C$3:$F$210,4,0)</f>
        <v>0</v>
      </c>
      <c r="BT301" s="19">
        <f t="shared" si="260"/>
        <v>0</v>
      </c>
      <c r="BU301" s="16"/>
      <c r="BV301" s="17">
        <f>VLOOKUP(BU301,'DATABASE F&amp;B'!$C$3:$F$210,2,0)</f>
        <v>0</v>
      </c>
      <c r="BW301" s="18"/>
      <c r="BX301" s="19">
        <f>VLOOKUP(BU301,'DATABASE F&amp;B'!$C$3:$F$210,4,0)</f>
        <v>0</v>
      </c>
      <c r="BY301" s="19">
        <f t="shared" si="261"/>
        <v>0</v>
      </c>
      <c r="BZ301" s="16"/>
      <c r="CA301" s="17">
        <f>VLOOKUP(BZ301,'DATABASE F&amp;B'!$C$3:$F$210,2,0)</f>
        <v>0</v>
      </c>
      <c r="CB301" s="18"/>
      <c r="CC301" s="19">
        <f>VLOOKUP(BZ301,'DATABASE F&amp;B'!$C$3:$F$210,4,0)</f>
        <v>0</v>
      </c>
      <c r="CD301" s="19">
        <f t="shared" si="262"/>
        <v>0</v>
      </c>
    </row>
    <row r="302" spans="1:82" ht="13.5" x14ac:dyDescent="0.25">
      <c r="A302" s="32" t="str">
        <f t="shared" si="243"/>
        <v>--20</v>
      </c>
      <c r="B302" s="22">
        <f t="shared" si="263"/>
        <v>298</v>
      </c>
      <c r="C302" s="22">
        <f t="shared" si="263"/>
        <v>298</v>
      </c>
      <c r="D302" s="34"/>
      <c r="E302" s="35"/>
      <c r="F302" s="35"/>
      <c r="G302" s="52"/>
      <c r="H302" s="36" t="str">
        <f t="shared" si="240"/>
        <v>RJ--298</v>
      </c>
      <c r="I302" s="36" t="str">
        <f t="shared" si="244"/>
        <v>--20</v>
      </c>
      <c r="J302" s="37" t="e">
        <f>VLOOKUP(D302,Laporan!$C$4:$D$34,2,0)</f>
        <v>#N/A</v>
      </c>
      <c r="K302" s="48"/>
      <c r="L302" s="13"/>
      <c r="M302" s="19">
        <f>SUMIF('DATABASE Room'!$B$3:$B$7,L302,'DATABASE Room'!$D$3:$D$7)</f>
        <v>0</v>
      </c>
      <c r="N302" s="13"/>
      <c r="O302" s="21">
        <f t="shared" si="245"/>
        <v>0</v>
      </c>
      <c r="P302" s="38"/>
      <c r="Q302" s="19">
        <f t="shared" si="246"/>
        <v>0</v>
      </c>
      <c r="R302" s="21">
        <f t="shared" si="247"/>
        <v>0</v>
      </c>
      <c r="S302" s="19">
        <f t="shared" si="248"/>
        <v>3</v>
      </c>
      <c r="T302" s="19">
        <f t="shared" si="249"/>
        <v>0</v>
      </c>
      <c r="U302" s="21">
        <f t="shared" si="250"/>
        <v>0</v>
      </c>
      <c r="V302" s="39"/>
      <c r="W302" s="16"/>
      <c r="X302" s="17">
        <f>VLOOKUP(W302,'DATABASE F&amp;B'!$C$3:$F$216,2,0)</f>
        <v>0</v>
      </c>
      <c r="Y302" s="18"/>
      <c r="Z302" s="19">
        <f>VLOOKUP(W302,'DATABASE F&amp;B'!$C$3:$F$216,4,0)</f>
        <v>0</v>
      </c>
      <c r="AA302" s="19">
        <f t="shared" si="251"/>
        <v>0</v>
      </c>
      <c r="AB302" s="16"/>
      <c r="AC302" s="17">
        <f>VLOOKUP(AB302,'DATABASE F&amp;B'!$C$3:$F$216,2,0)</f>
        <v>0</v>
      </c>
      <c r="AD302" s="18"/>
      <c r="AE302" s="19">
        <f>VLOOKUP(AB302,'DATABASE F&amp;B'!$C$3:$F$216,4,0)</f>
        <v>0</v>
      </c>
      <c r="AF302" s="19">
        <f t="shared" si="252"/>
        <v>0</v>
      </c>
      <c r="AG302" s="16"/>
      <c r="AH302" s="17">
        <f>VLOOKUP(AG302,'DATABASE F&amp;B'!$C$3:$F$216,2,0)</f>
        <v>0</v>
      </c>
      <c r="AI302" s="18">
        <v>1</v>
      </c>
      <c r="AJ302" s="19">
        <f>VLOOKUP(AG302,'DATABASE F&amp;B'!$C$3:$F$216,4,0)</f>
        <v>0</v>
      </c>
      <c r="AK302" s="19">
        <f t="shared" si="253"/>
        <v>0</v>
      </c>
      <c r="AL302" s="16"/>
      <c r="AM302" s="17">
        <f>VLOOKUP(AL302,'DATABASE F&amp;B'!$C$3:$F$216,2,0)</f>
        <v>0</v>
      </c>
      <c r="AN302" s="18">
        <v>1</v>
      </c>
      <c r="AO302" s="19">
        <f>VLOOKUP(AL302,'DATABASE F&amp;B'!$C$3:$F$216,4,0)</f>
        <v>0</v>
      </c>
      <c r="AP302" s="19">
        <f t="shared" si="254"/>
        <v>0</v>
      </c>
      <c r="AQ302" s="16"/>
      <c r="AR302" s="17">
        <f>VLOOKUP(AQ302,'DATABASE F&amp;B'!$C$3:$F$216,2,0)</f>
        <v>0</v>
      </c>
      <c r="AS302" s="18">
        <v>1</v>
      </c>
      <c r="AT302" s="19">
        <f>VLOOKUP(AQ302,'DATABASE F&amp;B'!$C$3:$F$216,4,0)</f>
        <v>0</v>
      </c>
      <c r="AU302" s="19">
        <f t="shared" si="255"/>
        <v>0</v>
      </c>
      <c r="AV302" s="16"/>
      <c r="AW302" s="17">
        <f>VLOOKUP(AV302,'DATABASE F&amp;B'!$C$3:$F$216,2,0)</f>
        <v>0</v>
      </c>
      <c r="AX302" s="18"/>
      <c r="AY302" s="19">
        <f>VLOOKUP(AV302,'DATABASE F&amp;B'!$C$3:$F$216,4,0)</f>
        <v>0</v>
      </c>
      <c r="AZ302" s="19">
        <f t="shared" si="256"/>
        <v>0</v>
      </c>
      <c r="BA302" s="16"/>
      <c r="BB302" s="17">
        <f>VLOOKUP(BA302,'DATABASE F&amp;B'!$C$3:$F$216,2,0)</f>
        <v>0</v>
      </c>
      <c r="BC302" s="18"/>
      <c r="BD302" s="19">
        <f>VLOOKUP(BA302,'DATABASE F&amp;B'!$C$3:$F$216,4,0)</f>
        <v>0</v>
      </c>
      <c r="BE302" s="19">
        <f t="shared" si="257"/>
        <v>0</v>
      </c>
      <c r="BF302" s="16"/>
      <c r="BG302" s="17">
        <f>VLOOKUP(BF302,'DATABASE F&amp;B'!$C$3:$F$216,2,0)</f>
        <v>0</v>
      </c>
      <c r="BH302" s="18"/>
      <c r="BI302" s="19">
        <f>VLOOKUP(BF302,'DATABASE F&amp;B'!$C$3:$F$216,4,0)</f>
        <v>0</v>
      </c>
      <c r="BJ302" s="19">
        <f t="shared" si="258"/>
        <v>0</v>
      </c>
      <c r="BK302" s="16"/>
      <c r="BL302" s="17">
        <f>VLOOKUP(BK302,'DATABASE F&amp;B'!$C$3:$F$210,2,0)</f>
        <v>0</v>
      </c>
      <c r="BM302" s="18"/>
      <c r="BN302" s="19">
        <f>VLOOKUP(BK302,'DATABASE F&amp;B'!$C$3:$F$210,4,0)</f>
        <v>0</v>
      </c>
      <c r="BO302" s="19">
        <f t="shared" si="259"/>
        <v>0</v>
      </c>
      <c r="BP302" s="16"/>
      <c r="BQ302" s="17">
        <f>VLOOKUP(BP302,'DATABASE F&amp;B'!$C$3:$F$210,2,0)</f>
        <v>0</v>
      </c>
      <c r="BR302" s="18"/>
      <c r="BS302" s="19">
        <f>VLOOKUP(BP302,'DATABASE F&amp;B'!$C$3:$F$210,4,0)</f>
        <v>0</v>
      </c>
      <c r="BT302" s="19">
        <f t="shared" si="260"/>
        <v>0</v>
      </c>
      <c r="BU302" s="16"/>
      <c r="BV302" s="17">
        <f>VLOOKUP(BU302,'DATABASE F&amp;B'!$C$3:$F$210,2,0)</f>
        <v>0</v>
      </c>
      <c r="BW302" s="18"/>
      <c r="BX302" s="19">
        <f>VLOOKUP(BU302,'DATABASE F&amp;B'!$C$3:$F$210,4,0)</f>
        <v>0</v>
      </c>
      <c r="BY302" s="19">
        <f t="shared" si="261"/>
        <v>0</v>
      </c>
      <c r="BZ302" s="16"/>
      <c r="CA302" s="17">
        <f>VLOOKUP(BZ302,'DATABASE F&amp;B'!$C$3:$F$210,2,0)</f>
        <v>0</v>
      </c>
      <c r="CB302" s="18"/>
      <c r="CC302" s="19">
        <f>VLOOKUP(BZ302,'DATABASE F&amp;B'!$C$3:$F$210,4,0)</f>
        <v>0</v>
      </c>
      <c r="CD302" s="19">
        <f t="shared" si="262"/>
        <v>0</v>
      </c>
    </row>
    <row r="303" spans="1:82" ht="13.5" x14ac:dyDescent="0.25">
      <c r="A303" s="32" t="str">
        <f t="shared" ref="A303:A344" si="264">CONCATENATE(F303,"-",E303,"-20",G303)</f>
        <v>--20</v>
      </c>
      <c r="B303" s="22">
        <f t="shared" si="263"/>
        <v>299</v>
      </c>
      <c r="C303" s="22">
        <f t="shared" si="263"/>
        <v>299</v>
      </c>
      <c r="D303" s="34"/>
      <c r="E303" s="35"/>
      <c r="F303" s="35"/>
      <c r="G303" s="52"/>
      <c r="H303" s="36" t="str">
        <f t="shared" si="240"/>
        <v>RJ--299</v>
      </c>
      <c r="I303" s="36" t="str">
        <f t="shared" ref="I303:I344" si="265">CONCATENATE(E303,"-",F303,"-20",G303)</f>
        <v>--20</v>
      </c>
      <c r="J303" s="37" t="e">
        <f>VLOOKUP(D303,Laporan!$C$4:$D$34,2,0)</f>
        <v>#N/A</v>
      </c>
      <c r="K303" s="48"/>
      <c r="L303" s="13"/>
      <c r="M303" s="19">
        <f>SUMIF('DATABASE Room'!$B$3:$B$7,L303,'DATABASE Room'!$D$3:$D$7)</f>
        <v>0</v>
      </c>
      <c r="N303" s="13"/>
      <c r="O303" s="21">
        <f t="shared" ref="O303:O344" si="266">N303*M303</f>
        <v>0</v>
      </c>
      <c r="P303" s="38"/>
      <c r="Q303" s="19">
        <f t="shared" ref="Q303:Q344" si="267">P303*M303</f>
        <v>0</v>
      </c>
      <c r="R303" s="21">
        <f t="shared" ref="R303:R344" si="268">O303+Q303</f>
        <v>0</v>
      </c>
      <c r="S303" s="19">
        <f t="shared" ref="S303:S344" si="269">SUMIF($W$4:$CD$4,$S$4,W303:CD303)</f>
        <v>3</v>
      </c>
      <c r="T303" s="19">
        <f t="shared" ref="T303:T344" si="270">SUMIF($W$4:$CD$4,$T$4,W303:CD303)</f>
        <v>0</v>
      </c>
      <c r="U303" s="21">
        <f t="shared" ref="U303:U344" si="271">R303+T303</f>
        <v>0</v>
      </c>
      <c r="V303" s="39"/>
      <c r="W303" s="16"/>
      <c r="X303" s="17">
        <f>VLOOKUP(W303,'DATABASE F&amp;B'!$C$3:$F$216,2,0)</f>
        <v>0</v>
      </c>
      <c r="Y303" s="18"/>
      <c r="Z303" s="19">
        <f>VLOOKUP(W303,'DATABASE F&amp;B'!$C$3:$F$216,4,0)</f>
        <v>0</v>
      </c>
      <c r="AA303" s="19">
        <f t="shared" ref="AA303:AA344" si="272">Y303*Z303</f>
        <v>0</v>
      </c>
      <c r="AB303" s="16"/>
      <c r="AC303" s="17">
        <f>VLOOKUP(AB303,'DATABASE F&amp;B'!$C$3:$F$216,2,0)</f>
        <v>0</v>
      </c>
      <c r="AD303" s="18"/>
      <c r="AE303" s="19">
        <f>VLOOKUP(AB303,'DATABASE F&amp;B'!$C$3:$F$216,4,0)</f>
        <v>0</v>
      </c>
      <c r="AF303" s="19">
        <f t="shared" ref="AF303:AF344" si="273">AD303*AE303</f>
        <v>0</v>
      </c>
      <c r="AG303" s="16"/>
      <c r="AH303" s="17">
        <f>VLOOKUP(AG303,'DATABASE F&amp;B'!$C$3:$F$216,2,0)</f>
        <v>0</v>
      </c>
      <c r="AI303" s="18">
        <v>1</v>
      </c>
      <c r="AJ303" s="19">
        <f>VLOOKUP(AG303,'DATABASE F&amp;B'!$C$3:$F$216,4,0)</f>
        <v>0</v>
      </c>
      <c r="AK303" s="19">
        <f t="shared" ref="AK303:AK344" si="274">AI303*AJ303</f>
        <v>0</v>
      </c>
      <c r="AL303" s="16"/>
      <c r="AM303" s="17">
        <f>VLOOKUP(AL303,'DATABASE F&amp;B'!$C$3:$F$216,2,0)</f>
        <v>0</v>
      </c>
      <c r="AN303" s="18">
        <v>1</v>
      </c>
      <c r="AO303" s="19">
        <f>VLOOKUP(AL303,'DATABASE F&amp;B'!$C$3:$F$216,4,0)</f>
        <v>0</v>
      </c>
      <c r="AP303" s="19">
        <f t="shared" ref="AP303:AP344" si="275">AN303*AO303</f>
        <v>0</v>
      </c>
      <c r="AQ303" s="16"/>
      <c r="AR303" s="17">
        <f>VLOOKUP(AQ303,'DATABASE F&amp;B'!$C$3:$F$216,2,0)</f>
        <v>0</v>
      </c>
      <c r="AS303" s="18">
        <v>1</v>
      </c>
      <c r="AT303" s="19">
        <f>VLOOKUP(AQ303,'DATABASE F&amp;B'!$C$3:$F$216,4,0)</f>
        <v>0</v>
      </c>
      <c r="AU303" s="19">
        <f t="shared" ref="AU303:AU344" si="276">AS303*AT303</f>
        <v>0</v>
      </c>
      <c r="AV303" s="16"/>
      <c r="AW303" s="17">
        <f>VLOOKUP(AV303,'DATABASE F&amp;B'!$C$3:$F$216,2,0)</f>
        <v>0</v>
      </c>
      <c r="AX303" s="18"/>
      <c r="AY303" s="19">
        <f>VLOOKUP(AV303,'DATABASE F&amp;B'!$C$3:$F$216,4,0)</f>
        <v>0</v>
      </c>
      <c r="AZ303" s="19">
        <f t="shared" ref="AZ303:AZ344" si="277">AX303*AY303</f>
        <v>0</v>
      </c>
      <c r="BA303" s="16"/>
      <c r="BB303" s="17">
        <f>VLOOKUP(BA303,'DATABASE F&amp;B'!$C$3:$F$216,2,0)</f>
        <v>0</v>
      </c>
      <c r="BC303" s="18"/>
      <c r="BD303" s="19">
        <f>VLOOKUP(BA303,'DATABASE F&amp;B'!$C$3:$F$216,4,0)</f>
        <v>0</v>
      </c>
      <c r="BE303" s="19">
        <f t="shared" ref="BE303:BE344" si="278">BC303*BD303</f>
        <v>0</v>
      </c>
      <c r="BF303" s="16"/>
      <c r="BG303" s="17">
        <f>VLOOKUP(BF303,'DATABASE F&amp;B'!$C$3:$F$216,2,0)</f>
        <v>0</v>
      </c>
      <c r="BH303" s="18"/>
      <c r="BI303" s="19">
        <f>VLOOKUP(BF303,'DATABASE F&amp;B'!$C$3:$F$216,4,0)</f>
        <v>0</v>
      </c>
      <c r="BJ303" s="19">
        <f t="shared" ref="BJ303:BJ344" si="279">BH303*BI303</f>
        <v>0</v>
      </c>
      <c r="BK303" s="16"/>
      <c r="BL303" s="17">
        <f>VLOOKUP(BK303,'DATABASE F&amp;B'!$C$3:$F$210,2,0)</f>
        <v>0</v>
      </c>
      <c r="BM303" s="18"/>
      <c r="BN303" s="19">
        <f>VLOOKUP(BK303,'DATABASE F&amp;B'!$C$3:$F$210,4,0)</f>
        <v>0</v>
      </c>
      <c r="BO303" s="19">
        <f t="shared" ref="BO303:BO344" si="280">BM303*BN303</f>
        <v>0</v>
      </c>
      <c r="BP303" s="16"/>
      <c r="BQ303" s="17">
        <f>VLOOKUP(BP303,'DATABASE F&amp;B'!$C$3:$F$210,2,0)</f>
        <v>0</v>
      </c>
      <c r="BR303" s="18"/>
      <c r="BS303" s="19">
        <f>VLOOKUP(BP303,'DATABASE F&amp;B'!$C$3:$F$210,4,0)</f>
        <v>0</v>
      </c>
      <c r="BT303" s="19">
        <f t="shared" ref="BT303:BT344" si="281">BR303*BS303</f>
        <v>0</v>
      </c>
      <c r="BU303" s="16"/>
      <c r="BV303" s="17">
        <f>VLOOKUP(BU303,'DATABASE F&amp;B'!$C$3:$F$210,2,0)</f>
        <v>0</v>
      </c>
      <c r="BW303" s="18"/>
      <c r="BX303" s="19">
        <f>VLOOKUP(BU303,'DATABASE F&amp;B'!$C$3:$F$210,4,0)</f>
        <v>0</v>
      </c>
      <c r="BY303" s="19">
        <f t="shared" ref="BY303:BY344" si="282">BW303*BX303</f>
        <v>0</v>
      </c>
      <c r="BZ303" s="16"/>
      <c r="CA303" s="17">
        <f>VLOOKUP(BZ303,'DATABASE F&amp;B'!$C$3:$F$210,2,0)</f>
        <v>0</v>
      </c>
      <c r="CB303" s="18"/>
      <c r="CC303" s="19">
        <f>VLOOKUP(BZ303,'DATABASE F&amp;B'!$C$3:$F$210,4,0)</f>
        <v>0</v>
      </c>
      <c r="CD303" s="19">
        <f t="shared" ref="CD303:CD344" si="283">CB303*CC303</f>
        <v>0</v>
      </c>
    </row>
    <row r="304" spans="1:82" ht="13.5" x14ac:dyDescent="0.25">
      <c r="A304" s="32" t="str">
        <f t="shared" si="264"/>
        <v>--20</v>
      </c>
      <c r="B304" s="22">
        <f t="shared" si="263"/>
        <v>300</v>
      </c>
      <c r="C304" s="22">
        <f t="shared" si="263"/>
        <v>300</v>
      </c>
      <c r="D304" s="34"/>
      <c r="E304" s="35"/>
      <c r="F304" s="35"/>
      <c r="G304" s="52"/>
      <c r="H304" s="36" t="str">
        <f t="shared" si="240"/>
        <v>RJ--300</v>
      </c>
      <c r="I304" s="36" t="str">
        <f t="shared" si="265"/>
        <v>--20</v>
      </c>
      <c r="J304" s="37" t="e">
        <f>VLOOKUP(D304,Laporan!$C$4:$D$34,2,0)</f>
        <v>#N/A</v>
      </c>
      <c r="K304" s="48"/>
      <c r="L304" s="13"/>
      <c r="M304" s="19">
        <f>SUMIF('DATABASE Room'!$B$3:$B$7,L304,'DATABASE Room'!$D$3:$D$7)</f>
        <v>0</v>
      </c>
      <c r="N304" s="13"/>
      <c r="O304" s="21">
        <f t="shared" si="266"/>
        <v>0</v>
      </c>
      <c r="P304" s="38"/>
      <c r="Q304" s="19">
        <f t="shared" si="267"/>
        <v>0</v>
      </c>
      <c r="R304" s="21">
        <f t="shared" si="268"/>
        <v>0</v>
      </c>
      <c r="S304" s="19">
        <f t="shared" si="269"/>
        <v>3</v>
      </c>
      <c r="T304" s="19">
        <f t="shared" si="270"/>
        <v>0</v>
      </c>
      <c r="U304" s="21">
        <f t="shared" si="271"/>
        <v>0</v>
      </c>
      <c r="V304" s="39"/>
      <c r="W304" s="16"/>
      <c r="X304" s="17">
        <f>VLOOKUP(W304,'DATABASE F&amp;B'!$C$3:$F$216,2,0)</f>
        <v>0</v>
      </c>
      <c r="Y304" s="18"/>
      <c r="Z304" s="19">
        <f>VLOOKUP(W304,'DATABASE F&amp;B'!$C$3:$F$216,4,0)</f>
        <v>0</v>
      </c>
      <c r="AA304" s="19">
        <f t="shared" si="272"/>
        <v>0</v>
      </c>
      <c r="AB304" s="16"/>
      <c r="AC304" s="17">
        <f>VLOOKUP(AB304,'DATABASE F&amp;B'!$C$3:$F$216,2,0)</f>
        <v>0</v>
      </c>
      <c r="AD304" s="18"/>
      <c r="AE304" s="19">
        <f>VLOOKUP(AB304,'DATABASE F&amp;B'!$C$3:$F$216,4,0)</f>
        <v>0</v>
      </c>
      <c r="AF304" s="19">
        <f t="shared" si="273"/>
        <v>0</v>
      </c>
      <c r="AG304" s="16"/>
      <c r="AH304" s="17">
        <f>VLOOKUP(AG304,'DATABASE F&amp;B'!$C$3:$F$216,2,0)</f>
        <v>0</v>
      </c>
      <c r="AI304" s="18">
        <v>1</v>
      </c>
      <c r="AJ304" s="19">
        <f>VLOOKUP(AG304,'DATABASE F&amp;B'!$C$3:$F$216,4,0)</f>
        <v>0</v>
      </c>
      <c r="AK304" s="19">
        <f t="shared" si="274"/>
        <v>0</v>
      </c>
      <c r="AL304" s="16"/>
      <c r="AM304" s="17">
        <f>VLOOKUP(AL304,'DATABASE F&amp;B'!$C$3:$F$216,2,0)</f>
        <v>0</v>
      </c>
      <c r="AN304" s="18">
        <v>1</v>
      </c>
      <c r="AO304" s="19">
        <f>VLOOKUP(AL304,'DATABASE F&amp;B'!$C$3:$F$216,4,0)</f>
        <v>0</v>
      </c>
      <c r="AP304" s="19">
        <f t="shared" si="275"/>
        <v>0</v>
      </c>
      <c r="AQ304" s="16"/>
      <c r="AR304" s="17">
        <f>VLOOKUP(AQ304,'DATABASE F&amp;B'!$C$3:$F$216,2,0)</f>
        <v>0</v>
      </c>
      <c r="AS304" s="18">
        <v>1</v>
      </c>
      <c r="AT304" s="19">
        <f>VLOOKUP(AQ304,'DATABASE F&amp;B'!$C$3:$F$216,4,0)</f>
        <v>0</v>
      </c>
      <c r="AU304" s="19">
        <f t="shared" si="276"/>
        <v>0</v>
      </c>
      <c r="AV304" s="16"/>
      <c r="AW304" s="17">
        <f>VLOOKUP(AV304,'DATABASE F&amp;B'!$C$3:$F$216,2,0)</f>
        <v>0</v>
      </c>
      <c r="AX304" s="18"/>
      <c r="AY304" s="19">
        <f>VLOOKUP(AV304,'DATABASE F&amp;B'!$C$3:$F$216,4,0)</f>
        <v>0</v>
      </c>
      <c r="AZ304" s="19">
        <f t="shared" si="277"/>
        <v>0</v>
      </c>
      <c r="BA304" s="16"/>
      <c r="BB304" s="17">
        <f>VLOOKUP(BA304,'DATABASE F&amp;B'!$C$3:$F$216,2,0)</f>
        <v>0</v>
      </c>
      <c r="BC304" s="18"/>
      <c r="BD304" s="19">
        <f>VLOOKUP(BA304,'DATABASE F&amp;B'!$C$3:$F$216,4,0)</f>
        <v>0</v>
      </c>
      <c r="BE304" s="19">
        <f t="shared" si="278"/>
        <v>0</v>
      </c>
      <c r="BF304" s="16"/>
      <c r="BG304" s="17">
        <f>VLOOKUP(BF304,'DATABASE F&amp;B'!$C$3:$F$216,2,0)</f>
        <v>0</v>
      </c>
      <c r="BH304" s="18"/>
      <c r="BI304" s="19">
        <f>VLOOKUP(BF304,'DATABASE F&amp;B'!$C$3:$F$216,4,0)</f>
        <v>0</v>
      </c>
      <c r="BJ304" s="19">
        <f t="shared" si="279"/>
        <v>0</v>
      </c>
      <c r="BK304" s="16"/>
      <c r="BL304" s="17">
        <f>VLOOKUP(BK304,'DATABASE F&amp;B'!$C$3:$F$210,2,0)</f>
        <v>0</v>
      </c>
      <c r="BM304" s="18"/>
      <c r="BN304" s="19">
        <f>VLOOKUP(BK304,'DATABASE F&amp;B'!$C$3:$F$210,4,0)</f>
        <v>0</v>
      </c>
      <c r="BO304" s="19">
        <f t="shared" si="280"/>
        <v>0</v>
      </c>
      <c r="BP304" s="16"/>
      <c r="BQ304" s="17">
        <f>VLOOKUP(BP304,'DATABASE F&amp;B'!$C$3:$F$210,2,0)</f>
        <v>0</v>
      </c>
      <c r="BR304" s="18"/>
      <c r="BS304" s="19">
        <f>VLOOKUP(BP304,'DATABASE F&amp;B'!$C$3:$F$210,4,0)</f>
        <v>0</v>
      </c>
      <c r="BT304" s="19">
        <f t="shared" si="281"/>
        <v>0</v>
      </c>
      <c r="BU304" s="16"/>
      <c r="BV304" s="17">
        <f>VLOOKUP(BU304,'DATABASE F&amp;B'!$C$3:$F$210,2,0)</f>
        <v>0</v>
      </c>
      <c r="BW304" s="18"/>
      <c r="BX304" s="19">
        <f>VLOOKUP(BU304,'DATABASE F&amp;B'!$C$3:$F$210,4,0)</f>
        <v>0</v>
      </c>
      <c r="BY304" s="19">
        <f t="shared" si="282"/>
        <v>0</v>
      </c>
      <c r="BZ304" s="16"/>
      <c r="CA304" s="17">
        <f>VLOOKUP(BZ304,'DATABASE F&amp;B'!$C$3:$F$210,2,0)</f>
        <v>0</v>
      </c>
      <c r="CB304" s="18"/>
      <c r="CC304" s="19">
        <f>VLOOKUP(BZ304,'DATABASE F&amp;B'!$C$3:$F$210,4,0)</f>
        <v>0</v>
      </c>
      <c r="CD304" s="19">
        <f t="shared" si="283"/>
        <v>0</v>
      </c>
    </row>
    <row r="305" spans="1:82" ht="13.5" x14ac:dyDescent="0.25">
      <c r="A305" s="32" t="str">
        <f t="shared" si="264"/>
        <v>--20</v>
      </c>
      <c r="B305" s="22">
        <f t="shared" si="263"/>
        <v>301</v>
      </c>
      <c r="C305" s="22">
        <f t="shared" si="263"/>
        <v>301</v>
      </c>
      <c r="D305" s="34"/>
      <c r="E305" s="35"/>
      <c r="F305" s="35"/>
      <c r="G305" s="52"/>
      <c r="H305" s="36" t="str">
        <f t="shared" si="240"/>
        <v>RJ--301</v>
      </c>
      <c r="I305" s="36" t="str">
        <f t="shared" si="265"/>
        <v>--20</v>
      </c>
      <c r="J305" s="37" t="e">
        <f>VLOOKUP(D305,Laporan!$C$4:$D$34,2,0)</f>
        <v>#N/A</v>
      </c>
      <c r="K305" s="48"/>
      <c r="L305" s="13"/>
      <c r="M305" s="19">
        <f>SUMIF('DATABASE Room'!$B$3:$B$7,L305,'DATABASE Room'!$D$3:$D$7)</f>
        <v>0</v>
      </c>
      <c r="N305" s="13"/>
      <c r="O305" s="21">
        <f t="shared" si="266"/>
        <v>0</v>
      </c>
      <c r="P305" s="38"/>
      <c r="Q305" s="19">
        <f t="shared" si="267"/>
        <v>0</v>
      </c>
      <c r="R305" s="21">
        <f t="shared" si="268"/>
        <v>0</v>
      </c>
      <c r="S305" s="19">
        <f t="shared" si="269"/>
        <v>3</v>
      </c>
      <c r="T305" s="19">
        <f t="shared" si="270"/>
        <v>0</v>
      </c>
      <c r="U305" s="21">
        <f t="shared" si="271"/>
        <v>0</v>
      </c>
      <c r="V305" s="39"/>
      <c r="W305" s="16"/>
      <c r="X305" s="17">
        <f>VLOOKUP(W305,'DATABASE F&amp;B'!$C$3:$F$216,2,0)</f>
        <v>0</v>
      </c>
      <c r="Y305" s="18"/>
      <c r="Z305" s="19">
        <f>VLOOKUP(W305,'DATABASE F&amp;B'!$C$3:$F$216,4,0)</f>
        <v>0</v>
      </c>
      <c r="AA305" s="19">
        <f t="shared" si="272"/>
        <v>0</v>
      </c>
      <c r="AB305" s="16"/>
      <c r="AC305" s="17">
        <f>VLOOKUP(AB305,'DATABASE F&amp;B'!$C$3:$F$216,2,0)</f>
        <v>0</v>
      </c>
      <c r="AD305" s="18"/>
      <c r="AE305" s="19">
        <f>VLOOKUP(AB305,'DATABASE F&amp;B'!$C$3:$F$216,4,0)</f>
        <v>0</v>
      </c>
      <c r="AF305" s="19">
        <f t="shared" si="273"/>
        <v>0</v>
      </c>
      <c r="AG305" s="16"/>
      <c r="AH305" s="17">
        <f>VLOOKUP(AG305,'DATABASE F&amp;B'!$C$3:$F$216,2,0)</f>
        <v>0</v>
      </c>
      <c r="AI305" s="18">
        <v>1</v>
      </c>
      <c r="AJ305" s="19">
        <f>VLOOKUP(AG305,'DATABASE F&amp;B'!$C$3:$F$216,4,0)</f>
        <v>0</v>
      </c>
      <c r="AK305" s="19">
        <f t="shared" si="274"/>
        <v>0</v>
      </c>
      <c r="AL305" s="16"/>
      <c r="AM305" s="17">
        <f>VLOOKUP(AL305,'DATABASE F&amp;B'!$C$3:$F$216,2,0)</f>
        <v>0</v>
      </c>
      <c r="AN305" s="18">
        <v>1</v>
      </c>
      <c r="AO305" s="19">
        <f>VLOOKUP(AL305,'DATABASE F&amp;B'!$C$3:$F$216,4,0)</f>
        <v>0</v>
      </c>
      <c r="AP305" s="19">
        <f t="shared" si="275"/>
        <v>0</v>
      </c>
      <c r="AQ305" s="16"/>
      <c r="AR305" s="17">
        <f>VLOOKUP(AQ305,'DATABASE F&amp;B'!$C$3:$F$216,2,0)</f>
        <v>0</v>
      </c>
      <c r="AS305" s="18">
        <v>1</v>
      </c>
      <c r="AT305" s="19">
        <f>VLOOKUP(AQ305,'DATABASE F&amp;B'!$C$3:$F$216,4,0)</f>
        <v>0</v>
      </c>
      <c r="AU305" s="19">
        <f t="shared" si="276"/>
        <v>0</v>
      </c>
      <c r="AV305" s="16"/>
      <c r="AW305" s="17">
        <f>VLOOKUP(AV305,'DATABASE F&amp;B'!$C$3:$F$216,2,0)</f>
        <v>0</v>
      </c>
      <c r="AX305" s="18"/>
      <c r="AY305" s="19">
        <f>VLOOKUP(AV305,'DATABASE F&amp;B'!$C$3:$F$216,4,0)</f>
        <v>0</v>
      </c>
      <c r="AZ305" s="19">
        <f t="shared" si="277"/>
        <v>0</v>
      </c>
      <c r="BA305" s="16"/>
      <c r="BB305" s="17">
        <f>VLOOKUP(BA305,'DATABASE F&amp;B'!$C$3:$F$216,2,0)</f>
        <v>0</v>
      </c>
      <c r="BC305" s="18"/>
      <c r="BD305" s="19">
        <f>VLOOKUP(BA305,'DATABASE F&amp;B'!$C$3:$F$216,4,0)</f>
        <v>0</v>
      </c>
      <c r="BE305" s="19">
        <f t="shared" si="278"/>
        <v>0</v>
      </c>
      <c r="BF305" s="16"/>
      <c r="BG305" s="17">
        <f>VLOOKUP(BF305,'DATABASE F&amp;B'!$C$3:$F$216,2,0)</f>
        <v>0</v>
      </c>
      <c r="BH305" s="18"/>
      <c r="BI305" s="19">
        <f>VLOOKUP(BF305,'DATABASE F&amp;B'!$C$3:$F$216,4,0)</f>
        <v>0</v>
      </c>
      <c r="BJ305" s="19">
        <f t="shared" si="279"/>
        <v>0</v>
      </c>
      <c r="BK305" s="16"/>
      <c r="BL305" s="17">
        <f>VLOOKUP(BK305,'DATABASE F&amp;B'!$C$3:$F$210,2,0)</f>
        <v>0</v>
      </c>
      <c r="BM305" s="18"/>
      <c r="BN305" s="19">
        <f>VLOOKUP(BK305,'DATABASE F&amp;B'!$C$3:$F$210,4,0)</f>
        <v>0</v>
      </c>
      <c r="BO305" s="19">
        <f t="shared" si="280"/>
        <v>0</v>
      </c>
      <c r="BP305" s="16"/>
      <c r="BQ305" s="17">
        <f>VLOOKUP(BP305,'DATABASE F&amp;B'!$C$3:$F$210,2,0)</f>
        <v>0</v>
      </c>
      <c r="BR305" s="18"/>
      <c r="BS305" s="19">
        <f>VLOOKUP(BP305,'DATABASE F&amp;B'!$C$3:$F$210,4,0)</f>
        <v>0</v>
      </c>
      <c r="BT305" s="19">
        <f t="shared" si="281"/>
        <v>0</v>
      </c>
      <c r="BU305" s="16"/>
      <c r="BV305" s="17">
        <f>VLOOKUP(BU305,'DATABASE F&amp;B'!$C$3:$F$210,2,0)</f>
        <v>0</v>
      </c>
      <c r="BW305" s="18"/>
      <c r="BX305" s="19">
        <f>VLOOKUP(BU305,'DATABASE F&amp;B'!$C$3:$F$210,4,0)</f>
        <v>0</v>
      </c>
      <c r="BY305" s="19">
        <f t="shared" si="282"/>
        <v>0</v>
      </c>
      <c r="BZ305" s="16"/>
      <c r="CA305" s="17">
        <f>VLOOKUP(BZ305,'DATABASE F&amp;B'!$C$3:$F$210,2,0)</f>
        <v>0</v>
      </c>
      <c r="CB305" s="18"/>
      <c r="CC305" s="19">
        <f>VLOOKUP(BZ305,'DATABASE F&amp;B'!$C$3:$F$210,4,0)</f>
        <v>0</v>
      </c>
      <c r="CD305" s="19">
        <f t="shared" si="283"/>
        <v>0</v>
      </c>
    </row>
    <row r="306" spans="1:82" ht="13.5" x14ac:dyDescent="0.25">
      <c r="A306" s="32" t="str">
        <f t="shared" si="264"/>
        <v>--20</v>
      </c>
      <c r="B306" s="22">
        <f t="shared" si="263"/>
        <v>302</v>
      </c>
      <c r="C306" s="22">
        <f t="shared" si="263"/>
        <v>302</v>
      </c>
      <c r="D306" s="34"/>
      <c r="E306" s="35"/>
      <c r="F306" s="35"/>
      <c r="G306" s="52"/>
      <c r="H306" s="36" t="str">
        <f t="shared" si="240"/>
        <v>RJ--302</v>
      </c>
      <c r="I306" s="36" t="str">
        <f t="shared" si="265"/>
        <v>--20</v>
      </c>
      <c r="J306" s="37" t="e">
        <f>VLOOKUP(D306,Laporan!$C$4:$D$34,2,0)</f>
        <v>#N/A</v>
      </c>
      <c r="K306" s="48"/>
      <c r="L306" s="13"/>
      <c r="M306" s="19">
        <f>SUMIF('DATABASE Room'!$B$3:$B$7,L306,'DATABASE Room'!$D$3:$D$7)</f>
        <v>0</v>
      </c>
      <c r="N306" s="13"/>
      <c r="O306" s="21">
        <f t="shared" si="266"/>
        <v>0</v>
      </c>
      <c r="P306" s="38"/>
      <c r="Q306" s="19">
        <f t="shared" si="267"/>
        <v>0</v>
      </c>
      <c r="R306" s="21">
        <f t="shared" si="268"/>
        <v>0</v>
      </c>
      <c r="S306" s="19">
        <f t="shared" si="269"/>
        <v>3</v>
      </c>
      <c r="T306" s="19">
        <f t="shared" si="270"/>
        <v>0</v>
      </c>
      <c r="U306" s="21">
        <f t="shared" si="271"/>
        <v>0</v>
      </c>
      <c r="V306" s="39"/>
      <c r="W306" s="16"/>
      <c r="X306" s="17">
        <f>VLOOKUP(W306,'DATABASE F&amp;B'!$C$3:$F$216,2,0)</f>
        <v>0</v>
      </c>
      <c r="Y306" s="18"/>
      <c r="Z306" s="19">
        <f>VLOOKUP(W306,'DATABASE F&amp;B'!$C$3:$F$216,4,0)</f>
        <v>0</v>
      </c>
      <c r="AA306" s="19">
        <f t="shared" si="272"/>
        <v>0</v>
      </c>
      <c r="AB306" s="16"/>
      <c r="AC306" s="17">
        <f>VLOOKUP(AB306,'DATABASE F&amp;B'!$C$3:$F$216,2,0)</f>
        <v>0</v>
      </c>
      <c r="AD306" s="18"/>
      <c r="AE306" s="19">
        <f>VLOOKUP(AB306,'DATABASE F&amp;B'!$C$3:$F$216,4,0)</f>
        <v>0</v>
      </c>
      <c r="AF306" s="19">
        <f t="shared" si="273"/>
        <v>0</v>
      </c>
      <c r="AG306" s="16"/>
      <c r="AH306" s="17">
        <f>VLOOKUP(AG306,'DATABASE F&amp;B'!$C$3:$F$216,2,0)</f>
        <v>0</v>
      </c>
      <c r="AI306" s="18">
        <v>1</v>
      </c>
      <c r="AJ306" s="19">
        <f>VLOOKUP(AG306,'DATABASE F&amp;B'!$C$3:$F$216,4,0)</f>
        <v>0</v>
      </c>
      <c r="AK306" s="19">
        <f t="shared" si="274"/>
        <v>0</v>
      </c>
      <c r="AL306" s="16"/>
      <c r="AM306" s="17">
        <f>VLOOKUP(AL306,'DATABASE F&amp;B'!$C$3:$F$216,2,0)</f>
        <v>0</v>
      </c>
      <c r="AN306" s="18">
        <v>1</v>
      </c>
      <c r="AO306" s="19">
        <f>VLOOKUP(AL306,'DATABASE F&amp;B'!$C$3:$F$216,4,0)</f>
        <v>0</v>
      </c>
      <c r="AP306" s="19">
        <f t="shared" si="275"/>
        <v>0</v>
      </c>
      <c r="AQ306" s="16"/>
      <c r="AR306" s="17">
        <f>VLOOKUP(AQ306,'DATABASE F&amp;B'!$C$3:$F$216,2,0)</f>
        <v>0</v>
      </c>
      <c r="AS306" s="18">
        <v>1</v>
      </c>
      <c r="AT306" s="19">
        <f>VLOOKUP(AQ306,'DATABASE F&amp;B'!$C$3:$F$216,4,0)</f>
        <v>0</v>
      </c>
      <c r="AU306" s="19">
        <f t="shared" si="276"/>
        <v>0</v>
      </c>
      <c r="AV306" s="16"/>
      <c r="AW306" s="17">
        <f>VLOOKUP(AV306,'DATABASE F&amp;B'!$C$3:$F$216,2,0)</f>
        <v>0</v>
      </c>
      <c r="AX306" s="18"/>
      <c r="AY306" s="19">
        <f>VLOOKUP(AV306,'DATABASE F&amp;B'!$C$3:$F$216,4,0)</f>
        <v>0</v>
      </c>
      <c r="AZ306" s="19">
        <f t="shared" si="277"/>
        <v>0</v>
      </c>
      <c r="BA306" s="16"/>
      <c r="BB306" s="17">
        <f>VLOOKUP(BA306,'DATABASE F&amp;B'!$C$3:$F$216,2,0)</f>
        <v>0</v>
      </c>
      <c r="BC306" s="18"/>
      <c r="BD306" s="19">
        <f>VLOOKUP(BA306,'DATABASE F&amp;B'!$C$3:$F$216,4,0)</f>
        <v>0</v>
      </c>
      <c r="BE306" s="19">
        <f t="shared" si="278"/>
        <v>0</v>
      </c>
      <c r="BF306" s="16"/>
      <c r="BG306" s="17">
        <f>VLOOKUP(BF306,'DATABASE F&amp;B'!$C$3:$F$216,2,0)</f>
        <v>0</v>
      </c>
      <c r="BH306" s="18"/>
      <c r="BI306" s="19">
        <f>VLOOKUP(BF306,'DATABASE F&amp;B'!$C$3:$F$216,4,0)</f>
        <v>0</v>
      </c>
      <c r="BJ306" s="19">
        <f t="shared" si="279"/>
        <v>0</v>
      </c>
      <c r="BK306" s="16"/>
      <c r="BL306" s="17">
        <f>VLOOKUP(BK306,'DATABASE F&amp;B'!$C$3:$F$210,2,0)</f>
        <v>0</v>
      </c>
      <c r="BM306" s="18"/>
      <c r="BN306" s="19">
        <f>VLOOKUP(BK306,'DATABASE F&amp;B'!$C$3:$F$210,4,0)</f>
        <v>0</v>
      </c>
      <c r="BO306" s="19">
        <f t="shared" si="280"/>
        <v>0</v>
      </c>
      <c r="BP306" s="16"/>
      <c r="BQ306" s="17">
        <f>VLOOKUP(BP306,'DATABASE F&amp;B'!$C$3:$F$210,2,0)</f>
        <v>0</v>
      </c>
      <c r="BR306" s="18"/>
      <c r="BS306" s="19">
        <f>VLOOKUP(BP306,'DATABASE F&amp;B'!$C$3:$F$210,4,0)</f>
        <v>0</v>
      </c>
      <c r="BT306" s="19">
        <f t="shared" si="281"/>
        <v>0</v>
      </c>
      <c r="BU306" s="16"/>
      <c r="BV306" s="17">
        <f>VLOOKUP(BU306,'DATABASE F&amp;B'!$C$3:$F$210,2,0)</f>
        <v>0</v>
      </c>
      <c r="BW306" s="18"/>
      <c r="BX306" s="19">
        <f>VLOOKUP(BU306,'DATABASE F&amp;B'!$C$3:$F$210,4,0)</f>
        <v>0</v>
      </c>
      <c r="BY306" s="19">
        <f t="shared" si="282"/>
        <v>0</v>
      </c>
      <c r="BZ306" s="16"/>
      <c r="CA306" s="17">
        <f>VLOOKUP(BZ306,'DATABASE F&amp;B'!$C$3:$F$210,2,0)</f>
        <v>0</v>
      </c>
      <c r="CB306" s="18"/>
      <c r="CC306" s="19">
        <f>VLOOKUP(BZ306,'DATABASE F&amp;B'!$C$3:$F$210,4,0)</f>
        <v>0</v>
      </c>
      <c r="CD306" s="19">
        <f t="shared" si="283"/>
        <v>0</v>
      </c>
    </row>
    <row r="307" spans="1:82" ht="13.5" x14ac:dyDescent="0.25">
      <c r="A307" s="32" t="str">
        <f t="shared" si="264"/>
        <v>--20</v>
      </c>
      <c r="B307" s="22">
        <f t="shared" si="263"/>
        <v>303</v>
      </c>
      <c r="C307" s="22">
        <f t="shared" si="263"/>
        <v>303</v>
      </c>
      <c r="D307" s="34"/>
      <c r="E307" s="35"/>
      <c r="F307" s="35"/>
      <c r="G307" s="52"/>
      <c r="H307" s="36" t="str">
        <f t="shared" si="240"/>
        <v>RJ--303</v>
      </c>
      <c r="I307" s="36" t="str">
        <f t="shared" si="265"/>
        <v>--20</v>
      </c>
      <c r="J307" s="37" t="e">
        <f>VLOOKUP(D307,Laporan!$C$4:$D$34,2,0)</f>
        <v>#N/A</v>
      </c>
      <c r="K307" s="48"/>
      <c r="L307" s="13"/>
      <c r="M307" s="19">
        <f>SUMIF('DATABASE Room'!$B$3:$B$7,L307,'DATABASE Room'!$D$3:$D$7)</f>
        <v>0</v>
      </c>
      <c r="N307" s="13"/>
      <c r="O307" s="21">
        <f t="shared" si="266"/>
        <v>0</v>
      </c>
      <c r="P307" s="38"/>
      <c r="Q307" s="19">
        <f t="shared" si="267"/>
        <v>0</v>
      </c>
      <c r="R307" s="21">
        <f t="shared" si="268"/>
        <v>0</v>
      </c>
      <c r="S307" s="19">
        <f t="shared" si="269"/>
        <v>3</v>
      </c>
      <c r="T307" s="19">
        <f t="shared" si="270"/>
        <v>0</v>
      </c>
      <c r="U307" s="21">
        <f t="shared" si="271"/>
        <v>0</v>
      </c>
      <c r="V307" s="39"/>
      <c r="W307" s="16"/>
      <c r="X307" s="17">
        <f>VLOOKUP(W307,'DATABASE F&amp;B'!$C$3:$F$216,2,0)</f>
        <v>0</v>
      </c>
      <c r="Y307" s="18"/>
      <c r="Z307" s="19">
        <f>VLOOKUP(W307,'DATABASE F&amp;B'!$C$3:$F$216,4,0)</f>
        <v>0</v>
      </c>
      <c r="AA307" s="19">
        <f t="shared" si="272"/>
        <v>0</v>
      </c>
      <c r="AB307" s="16"/>
      <c r="AC307" s="17">
        <f>VLOOKUP(AB307,'DATABASE F&amp;B'!$C$3:$F$216,2,0)</f>
        <v>0</v>
      </c>
      <c r="AD307" s="18"/>
      <c r="AE307" s="19">
        <f>VLOOKUP(AB307,'DATABASE F&amp;B'!$C$3:$F$216,4,0)</f>
        <v>0</v>
      </c>
      <c r="AF307" s="19">
        <f t="shared" si="273"/>
        <v>0</v>
      </c>
      <c r="AG307" s="16"/>
      <c r="AH307" s="17">
        <f>VLOOKUP(AG307,'DATABASE F&amp;B'!$C$3:$F$216,2,0)</f>
        <v>0</v>
      </c>
      <c r="AI307" s="18">
        <v>1</v>
      </c>
      <c r="AJ307" s="19">
        <f>VLOOKUP(AG307,'DATABASE F&amp;B'!$C$3:$F$216,4,0)</f>
        <v>0</v>
      </c>
      <c r="AK307" s="19">
        <f t="shared" si="274"/>
        <v>0</v>
      </c>
      <c r="AL307" s="16"/>
      <c r="AM307" s="17">
        <f>VLOOKUP(AL307,'DATABASE F&amp;B'!$C$3:$F$216,2,0)</f>
        <v>0</v>
      </c>
      <c r="AN307" s="18">
        <v>1</v>
      </c>
      <c r="AO307" s="19">
        <f>VLOOKUP(AL307,'DATABASE F&amp;B'!$C$3:$F$216,4,0)</f>
        <v>0</v>
      </c>
      <c r="AP307" s="19">
        <f t="shared" si="275"/>
        <v>0</v>
      </c>
      <c r="AQ307" s="16"/>
      <c r="AR307" s="17">
        <f>VLOOKUP(AQ307,'DATABASE F&amp;B'!$C$3:$F$216,2,0)</f>
        <v>0</v>
      </c>
      <c r="AS307" s="18">
        <v>1</v>
      </c>
      <c r="AT307" s="19">
        <f>VLOOKUP(AQ307,'DATABASE F&amp;B'!$C$3:$F$216,4,0)</f>
        <v>0</v>
      </c>
      <c r="AU307" s="19">
        <f t="shared" si="276"/>
        <v>0</v>
      </c>
      <c r="AV307" s="16"/>
      <c r="AW307" s="17">
        <f>VLOOKUP(AV307,'DATABASE F&amp;B'!$C$3:$F$216,2,0)</f>
        <v>0</v>
      </c>
      <c r="AX307" s="18"/>
      <c r="AY307" s="19">
        <f>VLOOKUP(AV307,'DATABASE F&amp;B'!$C$3:$F$216,4,0)</f>
        <v>0</v>
      </c>
      <c r="AZ307" s="19">
        <f t="shared" si="277"/>
        <v>0</v>
      </c>
      <c r="BA307" s="16"/>
      <c r="BB307" s="17">
        <f>VLOOKUP(BA307,'DATABASE F&amp;B'!$C$3:$F$216,2,0)</f>
        <v>0</v>
      </c>
      <c r="BC307" s="18"/>
      <c r="BD307" s="19">
        <f>VLOOKUP(BA307,'DATABASE F&amp;B'!$C$3:$F$216,4,0)</f>
        <v>0</v>
      </c>
      <c r="BE307" s="19">
        <f t="shared" si="278"/>
        <v>0</v>
      </c>
      <c r="BF307" s="16"/>
      <c r="BG307" s="17">
        <f>VLOOKUP(BF307,'DATABASE F&amp;B'!$C$3:$F$216,2,0)</f>
        <v>0</v>
      </c>
      <c r="BH307" s="18"/>
      <c r="BI307" s="19">
        <f>VLOOKUP(BF307,'DATABASE F&amp;B'!$C$3:$F$216,4,0)</f>
        <v>0</v>
      </c>
      <c r="BJ307" s="19">
        <f t="shared" si="279"/>
        <v>0</v>
      </c>
      <c r="BK307" s="16"/>
      <c r="BL307" s="17">
        <f>VLOOKUP(BK307,'DATABASE F&amp;B'!$C$3:$F$210,2,0)</f>
        <v>0</v>
      </c>
      <c r="BM307" s="18"/>
      <c r="BN307" s="19">
        <f>VLOOKUP(BK307,'DATABASE F&amp;B'!$C$3:$F$210,4,0)</f>
        <v>0</v>
      </c>
      <c r="BO307" s="19">
        <f t="shared" si="280"/>
        <v>0</v>
      </c>
      <c r="BP307" s="16"/>
      <c r="BQ307" s="17">
        <f>VLOOKUP(BP307,'DATABASE F&amp;B'!$C$3:$F$210,2,0)</f>
        <v>0</v>
      </c>
      <c r="BR307" s="18"/>
      <c r="BS307" s="19">
        <f>VLOOKUP(BP307,'DATABASE F&amp;B'!$C$3:$F$210,4,0)</f>
        <v>0</v>
      </c>
      <c r="BT307" s="19">
        <f t="shared" si="281"/>
        <v>0</v>
      </c>
      <c r="BU307" s="16"/>
      <c r="BV307" s="17">
        <f>VLOOKUP(BU307,'DATABASE F&amp;B'!$C$3:$F$210,2,0)</f>
        <v>0</v>
      </c>
      <c r="BW307" s="18"/>
      <c r="BX307" s="19">
        <f>VLOOKUP(BU307,'DATABASE F&amp;B'!$C$3:$F$210,4,0)</f>
        <v>0</v>
      </c>
      <c r="BY307" s="19">
        <f t="shared" si="282"/>
        <v>0</v>
      </c>
      <c r="BZ307" s="16"/>
      <c r="CA307" s="17">
        <f>VLOOKUP(BZ307,'DATABASE F&amp;B'!$C$3:$F$210,2,0)</f>
        <v>0</v>
      </c>
      <c r="CB307" s="18"/>
      <c r="CC307" s="19">
        <f>VLOOKUP(BZ307,'DATABASE F&amp;B'!$C$3:$F$210,4,0)</f>
        <v>0</v>
      </c>
      <c r="CD307" s="19">
        <f t="shared" si="283"/>
        <v>0</v>
      </c>
    </row>
    <row r="308" spans="1:82" ht="13.5" x14ac:dyDescent="0.25">
      <c r="A308" s="32" t="str">
        <f t="shared" si="264"/>
        <v>--20</v>
      </c>
      <c r="B308" s="22">
        <f t="shared" si="263"/>
        <v>304</v>
      </c>
      <c r="C308" s="22">
        <f t="shared" si="263"/>
        <v>304</v>
      </c>
      <c r="D308" s="34"/>
      <c r="E308" s="35"/>
      <c r="F308" s="35"/>
      <c r="G308" s="52"/>
      <c r="H308" s="36" t="str">
        <f t="shared" si="240"/>
        <v>RJ--304</v>
      </c>
      <c r="I308" s="36" t="str">
        <f t="shared" si="265"/>
        <v>--20</v>
      </c>
      <c r="J308" s="37" t="e">
        <f>VLOOKUP(D308,Laporan!$C$4:$D$34,2,0)</f>
        <v>#N/A</v>
      </c>
      <c r="K308" s="48"/>
      <c r="L308" s="13"/>
      <c r="M308" s="19">
        <f>SUMIF('DATABASE Room'!$B$3:$B$7,L308,'DATABASE Room'!$D$3:$D$7)</f>
        <v>0</v>
      </c>
      <c r="N308" s="13"/>
      <c r="O308" s="21">
        <f t="shared" si="266"/>
        <v>0</v>
      </c>
      <c r="P308" s="38"/>
      <c r="Q308" s="19">
        <f t="shared" si="267"/>
        <v>0</v>
      </c>
      <c r="R308" s="21">
        <f t="shared" si="268"/>
        <v>0</v>
      </c>
      <c r="S308" s="19">
        <f t="shared" si="269"/>
        <v>3</v>
      </c>
      <c r="T308" s="19">
        <f t="shared" si="270"/>
        <v>0</v>
      </c>
      <c r="U308" s="21">
        <f t="shared" si="271"/>
        <v>0</v>
      </c>
      <c r="V308" s="39"/>
      <c r="W308" s="16"/>
      <c r="X308" s="17">
        <f>VLOOKUP(W308,'DATABASE F&amp;B'!$C$3:$F$216,2,0)</f>
        <v>0</v>
      </c>
      <c r="Y308" s="18"/>
      <c r="Z308" s="19">
        <f>VLOOKUP(W308,'DATABASE F&amp;B'!$C$3:$F$216,4,0)</f>
        <v>0</v>
      </c>
      <c r="AA308" s="19">
        <f t="shared" si="272"/>
        <v>0</v>
      </c>
      <c r="AB308" s="16"/>
      <c r="AC308" s="17">
        <f>VLOOKUP(AB308,'DATABASE F&amp;B'!$C$3:$F$216,2,0)</f>
        <v>0</v>
      </c>
      <c r="AD308" s="18"/>
      <c r="AE308" s="19">
        <f>VLOOKUP(AB308,'DATABASE F&amp;B'!$C$3:$F$216,4,0)</f>
        <v>0</v>
      </c>
      <c r="AF308" s="19">
        <f t="shared" si="273"/>
        <v>0</v>
      </c>
      <c r="AG308" s="16"/>
      <c r="AH308" s="17">
        <f>VLOOKUP(AG308,'DATABASE F&amp;B'!$C$3:$F$216,2,0)</f>
        <v>0</v>
      </c>
      <c r="AI308" s="18">
        <v>1</v>
      </c>
      <c r="AJ308" s="19">
        <f>VLOOKUP(AG308,'DATABASE F&amp;B'!$C$3:$F$216,4,0)</f>
        <v>0</v>
      </c>
      <c r="AK308" s="19">
        <f t="shared" si="274"/>
        <v>0</v>
      </c>
      <c r="AL308" s="16"/>
      <c r="AM308" s="17">
        <f>VLOOKUP(AL308,'DATABASE F&amp;B'!$C$3:$F$216,2,0)</f>
        <v>0</v>
      </c>
      <c r="AN308" s="18">
        <v>1</v>
      </c>
      <c r="AO308" s="19">
        <f>VLOOKUP(AL308,'DATABASE F&amp;B'!$C$3:$F$216,4,0)</f>
        <v>0</v>
      </c>
      <c r="AP308" s="19">
        <f t="shared" si="275"/>
        <v>0</v>
      </c>
      <c r="AQ308" s="16"/>
      <c r="AR308" s="17">
        <f>VLOOKUP(AQ308,'DATABASE F&amp;B'!$C$3:$F$216,2,0)</f>
        <v>0</v>
      </c>
      <c r="AS308" s="18">
        <v>1</v>
      </c>
      <c r="AT308" s="19">
        <f>VLOOKUP(AQ308,'DATABASE F&amp;B'!$C$3:$F$216,4,0)</f>
        <v>0</v>
      </c>
      <c r="AU308" s="19">
        <f t="shared" si="276"/>
        <v>0</v>
      </c>
      <c r="AV308" s="16"/>
      <c r="AW308" s="17">
        <f>VLOOKUP(AV308,'DATABASE F&amp;B'!$C$3:$F$216,2,0)</f>
        <v>0</v>
      </c>
      <c r="AX308" s="18"/>
      <c r="AY308" s="19">
        <f>VLOOKUP(AV308,'DATABASE F&amp;B'!$C$3:$F$216,4,0)</f>
        <v>0</v>
      </c>
      <c r="AZ308" s="19">
        <f t="shared" si="277"/>
        <v>0</v>
      </c>
      <c r="BA308" s="16"/>
      <c r="BB308" s="17">
        <f>VLOOKUP(BA308,'DATABASE F&amp;B'!$C$3:$F$216,2,0)</f>
        <v>0</v>
      </c>
      <c r="BC308" s="18"/>
      <c r="BD308" s="19">
        <f>VLOOKUP(BA308,'DATABASE F&amp;B'!$C$3:$F$216,4,0)</f>
        <v>0</v>
      </c>
      <c r="BE308" s="19">
        <f t="shared" si="278"/>
        <v>0</v>
      </c>
      <c r="BF308" s="16"/>
      <c r="BG308" s="17">
        <f>VLOOKUP(BF308,'DATABASE F&amp;B'!$C$3:$F$216,2,0)</f>
        <v>0</v>
      </c>
      <c r="BH308" s="18"/>
      <c r="BI308" s="19">
        <f>VLOOKUP(BF308,'DATABASE F&amp;B'!$C$3:$F$216,4,0)</f>
        <v>0</v>
      </c>
      <c r="BJ308" s="19">
        <f t="shared" si="279"/>
        <v>0</v>
      </c>
      <c r="BK308" s="16"/>
      <c r="BL308" s="17">
        <f>VLOOKUP(BK308,'DATABASE F&amp;B'!$C$3:$F$210,2,0)</f>
        <v>0</v>
      </c>
      <c r="BM308" s="18"/>
      <c r="BN308" s="19">
        <f>VLOOKUP(BK308,'DATABASE F&amp;B'!$C$3:$F$210,4,0)</f>
        <v>0</v>
      </c>
      <c r="BO308" s="19">
        <f t="shared" si="280"/>
        <v>0</v>
      </c>
      <c r="BP308" s="16"/>
      <c r="BQ308" s="17">
        <f>VLOOKUP(BP308,'DATABASE F&amp;B'!$C$3:$F$210,2,0)</f>
        <v>0</v>
      </c>
      <c r="BR308" s="18"/>
      <c r="BS308" s="19">
        <f>VLOOKUP(BP308,'DATABASE F&amp;B'!$C$3:$F$210,4,0)</f>
        <v>0</v>
      </c>
      <c r="BT308" s="19">
        <f t="shared" si="281"/>
        <v>0</v>
      </c>
      <c r="BU308" s="16"/>
      <c r="BV308" s="17">
        <f>VLOOKUP(BU308,'DATABASE F&amp;B'!$C$3:$F$210,2,0)</f>
        <v>0</v>
      </c>
      <c r="BW308" s="18"/>
      <c r="BX308" s="19">
        <f>VLOOKUP(BU308,'DATABASE F&amp;B'!$C$3:$F$210,4,0)</f>
        <v>0</v>
      </c>
      <c r="BY308" s="19">
        <f t="shared" si="282"/>
        <v>0</v>
      </c>
      <c r="BZ308" s="16"/>
      <c r="CA308" s="17">
        <f>VLOOKUP(BZ308,'DATABASE F&amp;B'!$C$3:$F$210,2,0)</f>
        <v>0</v>
      </c>
      <c r="CB308" s="18"/>
      <c r="CC308" s="19">
        <f>VLOOKUP(BZ308,'DATABASE F&amp;B'!$C$3:$F$210,4,0)</f>
        <v>0</v>
      </c>
      <c r="CD308" s="19">
        <f t="shared" si="283"/>
        <v>0</v>
      </c>
    </row>
    <row r="309" spans="1:82" ht="13.5" x14ac:dyDescent="0.25">
      <c r="A309" s="32" t="str">
        <f t="shared" si="264"/>
        <v>--20</v>
      </c>
      <c r="B309" s="22">
        <f t="shared" si="263"/>
        <v>305</v>
      </c>
      <c r="C309" s="22">
        <f t="shared" si="263"/>
        <v>305</v>
      </c>
      <c r="D309" s="34"/>
      <c r="E309" s="35"/>
      <c r="F309" s="35"/>
      <c r="G309" s="52"/>
      <c r="H309" s="36" t="str">
        <f t="shared" si="240"/>
        <v>RJ--305</v>
      </c>
      <c r="I309" s="36" t="str">
        <f t="shared" si="265"/>
        <v>--20</v>
      </c>
      <c r="J309" s="37" t="e">
        <f>VLOOKUP(D309,Laporan!$C$4:$D$34,2,0)</f>
        <v>#N/A</v>
      </c>
      <c r="K309" s="48"/>
      <c r="L309" s="13"/>
      <c r="M309" s="19">
        <f>SUMIF('DATABASE Room'!$B$3:$B$7,L309,'DATABASE Room'!$D$3:$D$7)</f>
        <v>0</v>
      </c>
      <c r="N309" s="13"/>
      <c r="O309" s="21">
        <f t="shared" si="266"/>
        <v>0</v>
      </c>
      <c r="P309" s="38"/>
      <c r="Q309" s="19">
        <f t="shared" si="267"/>
        <v>0</v>
      </c>
      <c r="R309" s="21">
        <f t="shared" si="268"/>
        <v>0</v>
      </c>
      <c r="S309" s="19">
        <f t="shared" si="269"/>
        <v>3</v>
      </c>
      <c r="T309" s="19">
        <f t="shared" si="270"/>
        <v>0</v>
      </c>
      <c r="U309" s="21">
        <f t="shared" si="271"/>
        <v>0</v>
      </c>
      <c r="V309" s="39"/>
      <c r="W309" s="16"/>
      <c r="X309" s="17">
        <f>VLOOKUP(W309,'DATABASE F&amp;B'!$C$3:$F$216,2,0)</f>
        <v>0</v>
      </c>
      <c r="Y309" s="18"/>
      <c r="Z309" s="19">
        <f>VLOOKUP(W309,'DATABASE F&amp;B'!$C$3:$F$216,4,0)</f>
        <v>0</v>
      </c>
      <c r="AA309" s="19">
        <f t="shared" si="272"/>
        <v>0</v>
      </c>
      <c r="AB309" s="16"/>
      <c r="AC309" s="17">
        <f>VLOOKUP(AB309,'DATABASE F&amp;B'!$C$3:$F$216,2,0)</f>
        <v>0</v>
      </c>
      <c r="AD309" s="18"/>
      <c r="AE309" s="19">
        <f>VLOOKUP(AB309,'DATABASE F&amp;B'!$C$3:$F$216,4,0)</f>
        <v>0</v>
      </c>
      <c r="AF309" s="19">
        <f t="shared" si="273"/>
        <v>0</v>
      </c>
      <c r="AG309" s="16"/>
      <c r="AH309" s="17">
        <f>VLOOKUP(AG309,'DATABASE F&amp;B'!$C$3:$F$216,2,0)</f>
        <v>0</v>
      </c>
      <c r="AI309" s="18">
        <v>1</v>
      </c>
      <c r="AJ309" s="19">
        <f>VLOOKUP(AG309,'DATABASE F&amp;B'!$C$3:$F$216,4,0)</f>
        <v>0</v>
      </c>
      <c r="AK309" s="19">
        <f t="shared" si="274"/>
        <v>0</v>
      </c>
      <c r="AL309" s="16"/>
      <c r="AM309" s="17">
        <f>VLOOKUP(AL309,'DATABASE F&amp;B'!$C$3:$F$216,2,0)</f>
        <v>0</v>
      </c>
      <c r="AN309" s="18">
        <v>1</v>
      </c>
      <c r="AO309" s="19">
        <f>VLOOKUP(AL309,'DATABASE F&amp;B'!$C$3:$F$216,4,0)</f>
        <v>0</v>
      </c>
      <c r="AP309" s="19">
        <f t="shared" si="275"/>
        <v>0</v>
      </c>
      <c r="AQ309" s="16"/>
      <c r="AR309" s="17">
        <f>VLOOKUP(AQ309,'DATABASE F&amp;B'!$C$3:$F$216,2,0)</f>
        <v>0</v>
      </c>
      <c r="AS309" s="18">
        <v>1</v>
      </c>
      <c r="AT309" s="19">
        <f>VLOOKUP(AQ309,'DATABASE F&amp;B'!$C$3:$F$216,4,0)</f>
        <v>0</v>
      </c>
      <c r="AU309" s="19">
        <f t="shared" si="276"/>
        <v>0</v>
      </c>
      <c r="AV309" s="16"/>
      <c r="AW309" s="17">
        <f>VLOOKUP(AV309,'DATABASE F&amp;B'!$C$3:$F$216,2,0)</f>
        <v>0</v>
      </c>
      <c r="AX309" s="18"/>
      <c r="AY309" s="19">
        <f>VLOOKUP(AV309,'DATABASE F&amp;B'!$C$3:$F$216,4,0)</f>
        <v>0</v>
      </c>
      <c r="AZ309" s="19">
        <f t="shared" si="277"/>
        <v>0</v>
      </c>
      <c r="BA309" s="16"/>
      <c r="BB309" s="17">
        <f>VLOOKUP(BA309,'DATABASE F&amp;B'!$C$3:$F$216,2,0)</f>
        <v>0</v>
      </c>
      <c r="BC309" s="18"/>
      <c r="BD309" s="19">
        <f>VLOOKUP(BA309,'DATABASE F&amp;B'!$C$3:$F$216,4,0)</f>
        <v>0</v>
      </c>
      <c r="BE309" s="19">
        <f t="shared" si="278"/>
        <v>0</v>
      </c>
      <c r="BF309" s="16"/>
      <c r="BG309" s="17">
        <f>VLOOKUP(BF309,'DATABASE F&amp;B'!$C$3:$F$216,2,0)</f>
        <v>0</v>
      </c>
      <c r="BH309" s="18"/>
      <c r="BI309" s="19">
        <f>VLOOKUP(BF309,'DATABASE F&amp;B'!$C$3:$F$216,4,0)</f>
        <v>0</v>
      </c>
      <c r="BJ309" s="19">
        <f t="shared" si="279"/>
        <v>0</v>
      </c>
      <c r="BK309" s="16"/>
      <c r="BL309" s="17">
        <f>VLOOKUP(BK309,'DATABASE F&amp;B'!$C$3:$F$210,2,0)</f>
        <v>0</v>
      </c>
      <c r="BM309" s="18"/>
      <c r="BN309" s="19">
        <f>VLOOKUP(BK309,'DATABASE F&amp;B'!$C$3:$F$210,4,0)</f>
        <v>0</v>
      </c>
      <c r="BO309" s="19">
        <f t="shared" si="280"/>
        <v>0</v>
      </c>
      <c r="BP309" s="16"/>
      <c r="BQ309" s="17">
        <f>VLOOKUP(BP309,'DATABASE F&amp;B'!$C$3:$F$210,2,0)</f>
        <v>0</v>
      </c>
      <c r="BR309" s="18"/>
      <c r="BS309" s="19">
        <f>VLOOKUP(BP309,'DATABASE F&amp;B'!$C$3:$F$210,4,0)</f>
        <v>0</v>
      </c>
      <c r="BT309" s="19">
        <f t="shared" si="281"/>
        <v>0</v>
      </c>
      <c r="BU309" s="16"/>
      <c r="BV309" s="17">
        <f>VLOOKUP(BU309,'DATABASE F&amp;B'!$C$3:$F$210,2,0)</f>
        <v>0</v>
      </c>
      <c r="BW309" s="18"/>
      <c r="BX309" s="19">
        <f>VLOOKUP(BU309,'DATABASE F&amp;B'!$C$3:$F$210,4,0)</f>
        <v>0</v>
      </c>
      <c r="BY309" s="19">
        <f t="shared" si="282"/>
        <v>0</v>
      </c>
      <c r="BZ309" s="16"/>
      <c r="CA309" s="17">
        <f>VLOOKUP(BZ309,'DATABASE F&amp;B'!$C$3:$F$210,2,0)</f>
        <v>0</v>
      </c>
      <c r="CB309" s="18"/>
      <c r="CC309" s="19">
        <f>VLOOKUP(BZ309,'DATABASE F&amp;B'!$C$3:$F$210,4,0)</f>
        <v>0</v>
      </c>
      <c r="CD309" s="19">
        <f t="shared" si="283"/>
        <v>0</v>
      </c>
    </row>
    <row r="310" spans="1:82" ht="13.5" x14ac:dyDescent="0.25">
      <c r="A310" s="32" t="str">
        <f t="shared" si="264"/>
        <v>--20</v>
      </c>
      <c r="B310" s="22">
        <f t="shared" si="263"/>
        <v>306</v>
      </c>
      <c r="C310" s="22">
        <f t="shared" si="263"/>
        <v>306</v>
      </c>
      <c r="D310" s="34"/>
      <c r="E310" s="35"/>
      <c r="F310" s="35"/>
      <c r="G310" s="52"/>
      <c r="H310" s="36" t="str">
        <f t="shared" si="240"/>
        <v>RJ--306</v>
      </c>
      <c r="I310" s="36" t="str">
        <f t="shared" si="265"/>
        <v>--20</v>
      </c>
      <c r="J310" s="37" t="e">
        <f>VLOOKUP(D310,Laporan!$C$4:$D$34,2,0)</f>
        <v>#N/A</v>
      </c>
      <c r="K310" s="48"/>
      <c r="L310" s="13"/>
      <c r="M310" s="19">
        <f>SUMIF('DATABASE Room'!$B$3:$B$7,L310,'DATABASE Room'!$D$3:$D$7)</f>
        <v>0</v>
      </c>
      <c r="N310" s="13"/>
      <c r="O310" s="21">
        <f t="shared" si="266"/>
        <v>0</v>
      </c>
      <c r="P310" s="38"/>
      <c r="Q310" s="19">
        <f t="shared" si="267"/>
        <v>0</v>
      </c>
      <c r="R310" s="21">
        <f t="shared" si="268"/>
        <v>0</v>
      </c>
      <c r="S310" s="19">
        <f t="shared" si="269"/>
        <v>3</v>
      </c>
      <c r="T310" s="19">
        <f t="shared" si="270"/>
        <v>0</v>
      </c>
      <c r="U310" s="21">
        <f t="shared" si="271"/>
        <v>0</v>
      </c>
      <c r="V310" s="39"/>
      <c r="W310" s="16"/>
      <c r="X310" s="17">
        <f>VLOOKUP(W310,'DATABASE F&amp;B'!$C$3:$F$216,2,0)</f>
        <v>0</v>
      </c>
      <c r="Y310" s="18"/>
      <c r="Z310" s="19">
        <f>VLOOKUP(W310,'DATABASE F&amp;B'!$C$3:$F$216,4,0)</f>
        <v>0</v>
      </c>
      <c r="AA310" s="19">
        <f t="shared" si="272"/>
        <v>0</v>
      </c>
      <c r="AB310" s="16"/>
      <c r="AC310" s="17">
        <f>VLOOKUP(AB310,'DATABASE F&amp;B'!$C$3:$F$216,2,0)</f>
        <v>0</v>
      </c>
      <c r="AD310" s="18"/>
      <c r="AE310" s="19">
        <f>VLOOKUP(AB310,'DATABASE F&amp;B'!$C$3:$F$216,4,0)</f>
        <v>0</v>
      </c>
      <c r="AF310" s="19">
        <f t="shared" si="273"/>
        <v>0</v>
      </c>
      <c r="AG310" s="16"/>
      <c r="AH310" s="17">
        <f>VLOOKUP(AG310,'DATABASE F&amp;B'!$C$3:$F$216,2,0)</f>
        <v>0</v>
      </c>
      <c r="AI310" s="18">
        <v>1</v>
      </c>
      <c r="AJ310" s="19">
        <f>VLOOKUP(AG310,'DATABASE F&amp;B'!$C$3:$F$216,4,0)</f>
        <v>0</v>
      </c>
      <c r="AK310" s="19">
        <f t="shared" si="274"/>
        <v>0</v>
      </c>
      <c r="AL310" s="16"/>
      <c r="AM310" s="17">
        <f>VLOOKUP(AL310,'DATABASE F&amp;B'!$C$3:$F$216,2,0)</f>
        <v>0</v>
      </c>
      <c r="AN310" s="18">
        <v>1</v>
      </c>
      <c r="AO310" s="19">
        <f>VLOOKUP(AL310,'DATABASE F&amp;B'!$C$3:$F$216,4,0)</f>
        <v>0</v>
      </c>
      <c r="AP310" s="19">
        <f t="shared" si="275"/>
        <v>0</v>
      </c>
      <c r="AQ310" s="16"/>
      <c r="AR310" s="17">
        <f>VLOOKUP(AQ310,'DATABASE F&amp;B'!$C$3:$F$216,2,0)</f>
        <v>0</v>
      </c>
      <c r="AS310" s="18">
        <v>1</v>
      </c>
      <c r="AT310" s="19">
        <f>VLOOKUP(AQ310,'DATABASE F&amp;B'!$C$3:$F$216,4,0)</f>
        <v>0</v>
      </c>
      <c r="AU310" s="19">
        <f t="shared" si="276"/>
        <v>0</v>
      </c>
      <c r="AV310" s="16"/>
      <c r="AW310" s="17">
        <f>VLOOKUP(AV310,'DATABASE F&amp;B'!$C$3:$F$216,2,0)</f>
        <v>0</v>
      </c>
      <c r="AX310" s="18"/>
      <c r="AY310" s="19">
        <f>VLOOKUP(AV310,'DATABASE F&amp;B'!$C$3:$F$216,4,0)</f>
        <v>0</v>
      </c>
      <c r="AZ310" s="19">
        <f t="shared" si="277"/>
        <v>0</v>
      </c>
      <c r="BA310" s="16"/>
      <c r="BB310" s="17">
        <f>VLOOKUP(BA310,'DATABASE F&amp;B'!$C$3:$F$216,2,0)</f>
        <v>0</v>
      </c>
      <c r="BC310" s="18"/>
      <c r="BD310" s="19">
        <f>VLOOKUP(BA310,'DATABASE F&amp;B'!$C$3:$F$216,4,0)</f>
        <v>0</v>
      </c>
      <c r="BE310" s="19">
        <f t="shared" si="278"/>
        <v>0</v>
      </c>
      <c r="BF310" s="16"/>
      <c r="BG310" s="17">
        <f>VLOOKUP(BF310,'DATABASE F&amp;B'!$C$3:$F$216,2,0)</f>
        <v>0</v>
      </c>
      <c r="BH310" s="18"/>
      <c r="BI310" s="19">
        <f>VLOOKUP(BF310,'DATABASE F&amp;B'!$C$3:$F$216,4,0)</f>
        <v>0</v>
      </c>
      <c r="BJ310" s="19">
        <f t="shared" si="279"/>
        <v>0</v>
      </c>
      <c r="BK310" s="16"/>
      <c r="BL310" s="17">
        <f>VLOOKUP(BK310,'DATABASE F&amp;B'!$C$3:$F$210,2,0)</f>
        <v>0</v>
      </c>
      <c r="BM310" s="18"/>
      <c r="BN310" s="19">
        <f>VLOOKUP(BK310,'DATABASE F&amp;B'!$C$3:$F$210,4,0)</f>
        <v>0</v>
      </c>
      <c r="BO310" s="19">
        <f t="shared" si="280"/>
        <v>0</v>
      </c>
      <c r="BP310" s="16"/>
      <c r="BQ310" s="17">
        <f>VLOOKUP(BP310,'DATABASE F&amp;B'!$C$3:$F$210,2,0)</f>
        <v>0</v>
      </c>
      <c r="BR310" s="18"/>
      <c r="BS310" s="19">
        <f>VLOOKUP(BP310,'DATABASE F&amp;B'!$C$3:$F$210,4,0)</f>
        <v>0</v>
      </c>
      <c r="BT310" s="19">
        <f t="shared" si="281"/>
        <v>0</v>
      </c>
      <c r="BU310" s="16"/>
      <c r="BV310" s="17">
        <f>VLOOKUP(BU310,'DATABASE F&amp;B'!$C$3:$F$210,2,0)</f>
        <v>0</v>
      </c>
      <c r="BW310" s="18"/>
      <c r="BX310" s="19">
        <f>VLOOKUP(BU310,'DATABASE F&amp;B'!$C$3:$F$210,4,0)</f>
        <v>0</v>
      </c>
      <c r="BY310" s="19">
        <f t="shared" si="282"/>
        <v>0</v>
      </c>
      <c r="BZ310" s="16"/>
      <c r="CA310" s="17">
        <f>VLOOKUP(BZ310,'DATABASE F&amp;B'!$C$3:$F$210,2,0)</f>
        <v>0</v>
      </c>
      <c r="CB310" s="18"/>
      <c r="CC310" s="19">
        <f>VLOOKUP(BZ310,'DATABASE F&amp;B'!$C$3:$F$210,4,0)</f>
        <v>0</v>
      </c>
      <c r="CD310" s="19">
        <f t="shared" si="283"/>
        <v>0</v>
      </c>
    </row>
    <row r="311" spans="1:82" ht="13.5" x14ac:dyDescent="0.25">
      <c r="A311" s="32" t="str">
        <f t="shared" si="264"/>
        <v>--20</v>
      </c>
      <c r="B311" s="22">
        <f t="shared" ref="B311:C326" si="284">B310+1</f>
        <v>307</v>
      </c>
      <c r="C311" s="22">
        <f t="shared" si="284"/>
        <v>307</v>
      </c>
      <c r="D311" s="34"/>
      <c r="E311" s="35"/>
      <c r="F311" s="35"/>
      <c r="G311" s="52"/>
      <c r="H311" s="36" t="str">
        <f t="shared" si="240"/>
        <v>RJ--307</v>
      </c>
      <c r="I311" s="36" t="str">
        <f t="shared" si="265"/>
        <v>--20</v>
      </c>
      <c r="J311" s="37" t="e">
        <f>VLOOKUP(D311,Laporan!$C$4:$D$34,2,0)</f>
        <v>#N/A</v>
      </c>
      <c r="K311" s="48"/>
      <c r="L311" s="13"/>
      <c r="M311" s="19">
        <f>SUMIF('DATABASE Room'!$B$3:$B$7,L311,'DATABASE Room'!$D$3:$D$7)</f>
        <v>0</v>
      </c>
      <c r="N311" s="13"/>
      <c r="O311" s="21">
        <f t="shared" si="266"/>
        <v>0</v>
      </c>
      <c r="P311" s="38"/>
      <c r="Q311" s="19">
        <f t="shared" si="267"/>
        <v>0</v>
      </c>
      <c r="R311" s="21">
        <f t="shared" si="268"/>
        <v>0</v>
      </c>
      <c r="S311" s="19">
        <f t="shared" si="269"/>
        <v>3</v>
      </c>
      <c r="T311" s="19">
        <f t="shared" si="270"/>
        <v>0</v>
      </c>
      <c r="U311" s="21">
        <f t="shared" si="271"/>
        <v>0</v>
      </c>
      <c r="V311" s="39"/>
      <c r="W311" s="16"/>
      <c r="X311" s="17">
        <f>VLOOKUP(W311,'DATABASE F&amp;B'!$C$3:$F$216,2,0)</f>
        <v>0</v>
      </c>
      <c r="Y311" s="18"/>
      <c r="Z311" s="19">
        <f>VLOOKUP(W311,'DATABASE F&amp;B'!$C$3:$F$216,4,0)</f>
        <v>0</v>
      </c>
      <c r="AA311" s="19">
        <f t="shared" si="272"/>
        <v>0</v>
      </c>
      <c r="AB311" s="16"/>
      <c r="AC311" s="17">
        <f>VLOOKUP(AB311,'DATABASE F&amp;B'!$C$3:$F$216,2,0)</f>
        <v>0</v>
      </c>
      <c r="AD311" s="18"/>
      <c r="AE311" s="19">
        <f>VLOOKUP(AB311,'DATABASE F&amp;B'!$C$3:$F$216,4,0)</f>
        <v>0</v>
      </c>
      <c r="AF311" s="19">
        <f t="shared" si="273"/>
        <v>0</v>
      </c>
      <c r="AG311" s="16"/>
      <c r="AH311" s="17">
        <f>VLOOKUP(AG311,'DATABASE F&amp;B'!$C$3:$F$216,2,0)</f>
        <v>0</v>
      </c>
      <c r="AI311" s="18">
        <v>1</v>
      </c>
      <c r="AJ311" s="19">
        <f>VLOOKUP(AG311,'DATABASE F&amp;B'!$C$3:$F$216,4,0)</f>
        <v>0</v>
      </c>
      <c r="AK311" s="19">
        <f t="shared" si="274"/>
        <v>0</v>
      </c>
      <c r="AL311" s="16"/>
      <c r="AM311" s="17">
        <f>VLOOKUP(AL311,'DATABASE F&amp;B'!$C$3:$F$216,2,0)</f>
        <v>0</v>
      </c>
      <c r="AN311" s="18">
        <v>1</v>
      </c>
      <c r="AO311" s="19">
        <f>VLOOKUP(AL311,'DATABASE F&amp;B'!$C$3:$F$216,4,0)</f>
        <v>0</v>
      </c>
      <c r="AP311" s="19">
        <f t="shared" si="275"/>
        <v>0</v>
      </c>
      <c r="AQ311" s="16"/>
      <c r="AR311" s="17">
        <f>VLOOKUP(AQ311,'DATABASE F&amp;B'!$C$3:$F$216,2,0)</f>
        <v>0</v>
      </c>
      <c r="AS311" s="18">
        <v>1</v>
      </c>
      <c r="AT311" s="19">
        <f>VLOOKUP(AQ311,'DATABASE F&amp;B'!$C$3:$F$216,4,0)</f>
        <v>0</v>
      </c>
      <c r="AU311" s="19">
        <f t="shared" si="276"/>
        <v>0</v>
      </c>
      <c r="AV311" s="16"/>
      <c r="AW311" s="17">
        <f>VLOOKUP(AV311,'DATABASE F&amp;B'!$C$3:$F$216,2,0)</f>
        <v>0</v>
      </c>
      <c r="AX311" s="18"/>
      <c r="AY311" s="19">
        <f>VLOOKUP(AV311,'DATABASE F&amp;B'!$C$3:$F$216,4,0)</f>
        <v>0</v>
      </c>
      <c r="AZ311" s="19">
        <f t="shared" si="277"/>
        <v>0</v>
      </c>
      <c r="BA311" s="16"/>
      <c r="BB311" s="17">
        <f>VLOOKUP(BA311,'DATABASE F&amp;B'!$C$3:$F$216,2,0)</f>
        <v>0</v>
      </c>
      <c r="BC311" s="18"/>
      <c r="BD311" s="19">
        <f>VLOOKUP(BA311,'DATABASE F&amp;B'!$C$3:$F$216,4,0)</f>
        <v>0</v>
      </c>
      <c r="BE311" s="19">
        <f t="shared" si="278"/>
        <v>0</v>
      </c>
      <c r="BF311" s="16"/>
      <c r="BG311" s="17">
        <f>VLOOKUP(BF311,'DATABASE F&amp;B'!$C$3:$F$216,2,0)</f>
        <v>0</v>
      </c>
      <c r="BH311" s="18"/>
      <c r="BI311" s="19">
        <f>VLOOKUP(BF311,'DATABASE F&amp;B'!$C$3:$F$216,4,0)</f>
        <v>0</v>
      </c>
      <c r="BJ311" s="19">
        <f t="shared" si="279"/>
        <v>0</v>
      </c>
      <c r="BK311" s="16"/>
      <c r="BL311" s="17">
        <f>VLOOKUP(BK311,'DATABASE F&amp;B'!$C$3:$F$210,2,0)</f>
        <v>0</v>
      </c>
      <c r="BM311" s="18"/>
      <c r="BN311" s="19">
        <f>VLOOKUP(BK311,'DATABASE F&amp;B'!$C$3:$F$210,4,0)</f>
        <v>0</v>
      </c>
      <c r="BO311" s="19">
        <f t="shared" si="280"/>
        <v>0</v>
      </c>
      <c r="BP311" s="16"/>
      <c r="BQ311" s="17">
        <f>VLOOKUP(BP311,'DATABASE F&amp;B'!$C$3:$F$210,2,0)</f>
        <v>0</v>
      </c>
      <c r="BR311" s="18"/>
      <c r="BS311" s="19">
        <f>VLOOKUP(BP311,'DATABASE F&amp;B'!$C$3:$F$210,4,0)</f>
        <v>0</v>
      </c>
      <c r="BT311" s="19">
        <f t="shared" si="281"/>
        <v>0</v>
      </c>
      <c r="BU311" s="16"/>
      <c r="BV311" s="17">
        <f>VLOOKUP(BU311,'DATABASE F&amp;B'!$C$3:$F$210,2,0)</f>
        <v>0</v>
      </c>
      <c r="BW311" s="18"/>
      <c r="BX311" s="19">
        <f>VLOOKUP(BU311,'DATABASE F&amp;B'!$C$3:$F$210,4,0)</f>
        <v>0</v>
      </c>
      <c r="BY311" s="19">
        <f t="shared" si="282"/>
        <v>0</v>
      </c>
      <c r="BZ311" s="16"/>
      <c r="CA311" s="17">
        <f>VLOOKUP(BZ311,'DATABASE F&amp;B'!$C$3:$F$210,2,0)</f>
        <v>0</v>
      </c>
      <c r="CB311" s="18"/>
      <c r="CC311" s="19">
        <f>VLOOKUP(BZ311,'DATABASE F&amp;B'!$C$3:$F$210,4,0)</f>
        <v>0</v>
      </c>
      <c r="CD311" s="19">
        <f t="shared" si="283"/>
        <v>0</v>
      </c>
    </row>
    <row r="312" spans="1:82" ht="13.5" x14ac:dyDescent="0.25">
      <c r="A312" s="32" t="str">
        <f t="shared" si="264"/>
        <v>--20</v>
      </c>
      <c r="B312" s="22">
        <f t="shared" si="284"/>
        <v>308</v>
      </c>
      <c r="C312" s="22">
        <f t="shared" si="284"/>
        <v>308</v>
      </c>
      <c r="D312" s="34"/>
      <c r="E312" s="35"/>
      <c r="F312" s="35"/>
      <c r="G312" s="52"/>
      <c r="H312" s="36" t="str">
        <f t="shared" si="240"/>
        <v>RJ--308</v>
      </c>
      <c r="I312" s="36" t="str">
        <f t="shared" si="265"/>
        <v>--20</v>
      </c>
      <c r="J312" s="37" t="e">
        <f>VLOOKUP(D312,Laporan!$C$4:$D$34,2,0)</f>
        <v>#N/A</v>
      </c>
      <c r="K312" s="48"/>
      <c r="L312" s="13"/>
      <c r="M312" s="19">
        <f>SUMIF('DATABASE Room'!$B$3:$B$7,L312,'DATABASE Room'!$D$3:$D$7)</f>
        <v>0</v>
      </c>
      <c r="N312" s="13"/>
      <c r="O312" s="21">
        <f t="shared" si="266"/>
        <v>0</v>
      </c>
      <c r="P312" s="38"/>
      <c r="Q312" s="19">
        <f t="shared" si="267"/>
        <v>0</v>
      </c>
      <c r="R312" s="21">
        <f t="shared" si="268"/>
        <v>0</v>
      </c>
      <c r="S312" s="19">
        <f t="shared" si="269"/>
        <v>3</v>
      </c>
      <c r="T312" s="19">
        <f t="shared" si="270"/>
        <v>0</v>
      </c>
      <c r="U312" s="21">
        <f t="shared" si="271"/>
        <v>0</v>
      </c>
      <c r="V312" s="39"/>
      <c r="W312" s="16"/>
      <c r="X312" s="17">
        <f>VLOOKUP(W312,'DATABASE F&amp;B'!$C$3:$F$216,2,0)</f>
        <v>0</v>
      </c>
      <c r="Y312" s="18"/>
      <c r="Z312" s="19">
        <f>VLOOKUP(W312,'DATABASE F&amp;B'!$C$3:$F$216,4,0)</f>
        <v>0</v>
      </c>
      <c r="AA312" s="19">
        <f t="shared" si="272"/>
        <v>0</v>
      </c>
      <c r="AB312" s="16"/>
      <c r="AC312" s="17">
        <f>VLOOKUP(AB312,'DATABASE F&amp;B'!$C$3:$F$216,2,0)</f>
        <v>0</v>
      </c>
      <c r="AD312" s="18"/>
      <c r="AE312" s="19">
        <f>VLOOKUP(AB312,'DATABASE F&amp;B'!$C$3:$F$216,4,0)</f>
        <v>0</v>
      </c>
      <c r="AF312" s="19">
        <f t="shared" si="273"/>
        <v>0</v>
      </c>
      <c r="AG312" s="16"/>
      <c r="AH312" s="17">
        <f>VLOOKUP(AG312,'DATABASE F&amp;B'!$C$3:$F$216,2,0)</f>
        <v>0</v>
      </c>
      <c r="AI312" s="18">
        <v>1</v>
      </c>
      <c r="AJ312" s="19">
        <f>VLOOKUP(AG312,'DATABASE F&amp;B'!$C$3:$F$216,4,0)</f>
        <v>0</v>
      </c>
      <c r="AK312" s="19">
        <f t="shared" si="274"/>
        <v>0</v>
      </c>
      <c r="AL312" s="16"/>
      <c r="AM312" s="17">
        <f>VLOOKUP(AL312,'DATABASE F&amp;B'!$C$3:$F$216,2,0)</f>
        <v>0</v>
      </c>
      <c r="AN312" s="18">
        <v>1</v>
      </c>
      <c r="AO312" s="19">
        <f>VLOOKUP(AL312,'DATABASE F&amp;B'!$C$3:$F$216,4,0)</f>
        <v>0</v>
      </c>
      <c r="AP312" s="19">
        <f t="shared" si="275"/>
        <v>0</v>
      </c>
      <c r="AQ312" s="16"/>
      <c r="AR312" s="17">
        <f>VLOOKUP(AQ312,'DATABASE F&amp;B'!$C$3:$F$216,2,0)</f>
        <v>0</v>
      </c>
      <c r="AS312" s="18">
        <v>1</v>
      </c>
      <c r="AT312" s="19">
        <f>VLOOKUP(AQ312,'DATABASE F&amp;B'!$C$3:$F$216,4,0)</f>
        <v>0</v>
      </c>
      <c r="AU312" s="19">
        <f t="shared" si="276"/>
        <v>0</v>
      </c>
      <c r="AV312" s="16"/>
      <c r="AW312" s="17">
        <f>VLOOKUP(AV312,'DATABASE F&amp;B'!$C$3:$F$216,2,0)</f>
        <v>0</v>
      </c>
      <c r="AX312" s="18"/>
      <c r="AY312" s="19">
        <f>VLOOKUP(AV312,'DATABASE F&amp;B'!$C$3:$F$216,4,0)</f>
        <v>0</v>
      </c>
      <c r="AZ312" s="19">
        <f t="shared" si="277"/>
        <v>0</v>
      </c>
      <c r="BA312" s="16"/>
      <c r="BB312" s="17">
        <f>VLOOKUP(BA312,'DATABASE F&amp;B'!$C$3:$F$216,2,0)</f>
        <v>0</v>
      </c>
      <c r="BC312" s="18"/>
      <c r="BD312" s="19">
        <f>VLOOKUP(BA312,'DATABASE F&amp;B'!$C$3:$F$216,4,0)</f>
        <v>0</v>
      </c>
      <c r="BE312" s="19">
        <f t="shared" si="278"/>
        <v>0</v>
      </c>
      <c r="BF312" s="16"/>
      <c r="BG312" s="17">
        <f>VLOOKUP(BF312,'DATABASE F&amp;B'!$C$3:$F$216,2,0)</f>
        <v>0</v>
      </c>
      <c r="BH312" s="18"/>
      <c r="BI312" s="19">
        <f>VLOOKUP(BF312,'DATABASE F&amp;B'!$C$3:$F$216,4,0)</f>
        <v>0</v>
      </c>
      <c r="BJ312" s="19">
        <f t="shared" si="279"/>
        <v>0</v>
      </c>
      <c r="BK312" s="16"/>
      <c r="BL312" s="17">
        <f>VLOOKUP(BK312,'DATABASE F&amp;B'!$C$3:$F$210,2,0)</f>
        <v>0</v>
      </c>
      <c r="BM312" s="18"/>
      <c r="BN312" s="19">
        <f>VLOOKUP(BK312,'DATABASE F&amp;B'!$C$3:$F$210,4,0)</f>
        <v>0</v>
      </c>
      <c r="BO312" s="19">
        <f t="shared" si="280"/>
        <v>0</v>
      </c>
      <c r="BP312" s="16"/>
      <c r="BQ312" s="17">
        <f>VLOOKUP(BP312,'DATABASE F&amp;B'!$C$3:$F$210,2,0)</f>
        <v>0</v>
      </c>
      <c r="BR312" s="18"/>
      <c r="BS312" s="19">
        <f>VLOOKUP(BP312,'DATABASE F&amp;B'!$C$3:$F$210,4,0)</f>
        <v>0</v>
      </c>
      <c r="BT312" s="19">
        <f t="shared" si="281"/>
        <v>0</v>
      </c>
      <c r="BU312" s="16"/>
      <c r="BV312" s="17">
        <f>VLOOKUP(BU312,'DATABASE F&amp;B'!$C$3:$F$210,2,0)</f>
        <v>0</v>
      </c>
      <c r="BW312" s="18"/>
      <c r="BX312" s="19">
        <f>VLOOKUP(BU312,'DATABASE F&amp;B'!$C$3:$F$210,4,0)</f>
        <v>0</v>
      </c>
      <c r="BY312" s="19">
        <f t="shared" si="282"/>
        <v>0</v>
      </c>
      <c r="BZ312" s="16"/>
      <c r="CA312" s="17">
        <f>VLOOKUP(BZ312,'DATABASE F&amp;B'!$C$3:$F$210,2,0)</f>
        <v>0</v>
      </c>
      <c r="CB312" s="18"/>
      <c r="CC312" s="19">
        <f>VLOOKUP(BZ312,'DATABASE F&amp;B'!$C$3:$F$210,4,0)</f>
        <v>0</v>
      </c>
      <c r="CD312" s="19">
        <f t="shared" si="283"/>
        <v>0</v>
      </c>
    </row>
    <row r="313" spans="1:82" ht="13.5" x14ac:dyDescent="0.25">
      <c r="A313" s="32" t="str">
        <f t="shared" si="264"/>
        <v>--20</v>
      </c>
      <c r="B313" s="22">
        <f t="shared" si="284"/>
        <v>309</v>
      </c>
      <c r="C313" s="22">
        <f t="shared" si="284"/>
        <v>309</v>
      </c>
      <c r="D313" s="34"/>
      <c r="E313" s="35"/>
      <c r="F313" s="35"/>
      <c r="G313" s="52"/>
      <c r="H313" s="36" t="str">
        <f t="shared" si="240"/>
        <v>RJ--309</v>
      </c>
      <c r="I313" s="36" t="str">
        <f t="shared" si="265"/>
        <v>--20</v>
      </c>
      <c r="J313" s="37" t="e">
        <f>VLOOKUP(D313,Laporan!$C$4:$D$34,2,0)</f>
        <v>#N/A</v>
      </c>
      <c r="K313" s="48"/>
      <c r="L313" s="13"/>
      <c r="M313" s="19">
        <f>SUMIF('DATABASE Room'!$B$3:$B$7,L313,'DATABASE Room'!$D$3:$D$7)</f>
        <v>0</v>
      </c>
      <c r="N313" s="13"/>
      <c r="O313" s="21">
        <f t="shared" si="266"/>
        <v>0</v>
      </c>
      <c r="P313" s="38"/>
      <c r="Q313" s="19">
        <f t="shared" si="267"/>
        <v>0</v>
      </c>
      <c r="R313" s="21">
        <f t="shared" si="268"/>
        <v>0</v>
      </c>
      <c r="S313" s="19">
        <f t="shared" si="269"/>
        <v>3</v>
      </c>
      <c r="T313" s="19">
        <f t="shared" si="270"/>
        <v>0</v>
      </c>
      <c r="U313" s="21">
        <f t="shared" si="271"/>
        <v>0</v>
      </c>
      <c r="V313" s="39"/>
      <c r="W313" s="16"/>
      <c r="X313" s="17">
        <f>VLOOKUP(W313,'DATABASE F&amp;B'!$C$3:$F$216,2,0)</f>
        <v>0</v>
      </c>
      <c r="Y313" s="18"/>
      <c r="Z313" s="19">
        <f>VLOOKUP(W313,'DATABASE F&amp;B'!$C$3:$F$216,4,0)</f>
        <v>0</v>
      </c>
      <c r="AA313" s="19">
        <f t="shared" si="272"/>
        <v>0</v>
      </c>
      <c r="AB313" s="16"/>
      <c r="AC313" s="17">
        <f>VLOOKUP(AB313,'DATABASE F&amp;B'!$C$3:$F$216,2,0)</f>
        <v>0</v>
      </c>
      <c r="AD313" s="18"/>
      <c r="AE313" s="19">
        <f>VLOOKUP(AB313,'DATABASE F&amp;B'!$C$3:$F$216,4,0)</f>
        <v>0</v>
      </c>
      <c r="AF313" s="19">
        <f t="shared" si="273"/>
        <v>0</v>
      </c>
      <c r="AG313" s="16"/>
      <c r="AH313" s="17">
        <f>VLOOKUP(AG313,'DATABASE F&amp;B'!$C$3:$F$216,2,0)</f>
        <v>0</v>
      </c>
      <c r="AI313" s="18">
        <v>1</v>
      </c>
      <c r="AJ313" s="19">
        <f>VLOOKUP(AG313,'DATABASE F&amp;B'!$C$3:$F$216,4,0)</f>
        <v>0</v>
      </c>
      <c r="AK313" s="19">
        <f t="shared" si="274"/>
        <v>0</v>
      </c>
      <c r="AL313" s="16"/>
      <c r="AM313" s="17">
        <f>VLOOKUP(AL313,'DATABASE F&amp;B'!$C$3:$F$216,2,0)</f>
        <v>0</v>
      </c>
      <c r="AN313" s="18">
        <v>1</v>
      </c>
      <c r="AO313" s="19">
        <f>VLOOKUP(AL313,'DATABASE F&amp;B'!$C$3:$F$216,4,0)</f>
        <v>0</v>
      </c>
      <c r="AP313" s="19">
        <f t="shared" si="275"/>
        <v>0</v>
      </c>
      <c r="AQ313" s="16"/>
      <c r="AR313" s="17">
        <f>VLOOKUP(AQ313,'DATABASE F&amp;B'!$C$3:$F$216,2,0)</f>
        <v>0</v>
      </c>
      <c r="AS313" s="18">
        <v>1</v>
      </c>
      <c r="AT313" s="19">
        <f>VLOOKUP(AQ313,'DATABASE F&amp;B'!$C$3:$F$216,4,0)</f>
        <v>0</v>
      </c>
      <c r="AU313" s="19">
        <f t="shared" si="276"/>
        <v>0</v>
      </c>
      <c r="AV313" s="16"/>
      <c r="AW313" s="17">
        <f>VLOOKUP(AV313,'DATABASE F&amp;B'!$C$3:$F$216,2,0)</f>
        <v>0</v>
      </c>
      <c r="AX313" s="18"/>
      <c r="AY313" s="19">
        <f>VLOOKUP(AV313,'DATABASE F&amp;B'!$C$3:$F$216,4,0)</f>
        <v>0</v>
      </c>
      <c r="AZ313" s="19">
        <f t="shared" si="277"/>
        <v>0</v>
      </c>
      <c r="BA313" s="16"/>
      <c r="BB313" s="17">
        <f>VLOOKUP(BA313,'DATABASE F&amp;B'!$C$3:$F$216,2,0)</f>
        <v>0</v>
      </c>
      <c r="BC313" s="18"/>
      <c r="BD313" s="19">
        <f>VLOOKUP(BA313,'DATABASE F&amp;B'!$C$3:$F$216,4,0)</f>
        <v>0</v>
      </c>
      <c r="BE313" s="19">
        <f t="shared" si="278"/>
        <v>0</v>
      </c>
      <c r="BF313" s="16"/>
      <c r="BG313" s="17">
        <f>VLOOKUP(BF313,'DATABASE F&amp;B'!$C$3:$F$216,2,0)</f>
        <v>0</v>
      </c>
      <c r="BH313" s="18"/>
      <c r="BI313" s="19">
        <f>VLOOKUP(BF313,'DATABASE F&amp;B'!$C$3:$F$216,4,0)</f>
        <v>0</v>
      </c>
      <c r="BJ313" s="19">
        <f t="shared" si="279"/>
        <v>0</v>
      </c>
      <c r="BK313" s="16"/>
      <c r="BL313" s="17">
        <f>VLOOKUP(BK313,'DATABASE F&amp;B'!$C$3:$F$210,2,0)</f>
        <v>0</v>
      </c>
      <c r="BM313" s="18"/>
      <c r="BN313" s="19">
        <f>VLOOKUP(BK313,'DATABASE F&amp;B'!$C$3:$F$210,4,0)</f>
        <v>0</v>
      </c>
      <c r="BO313" s="19">
        <f t="shared" si="280"/>
        <v>0</v>
      </c>
      <c r="BP313" s="16"/>
      <c r="BQ313" s="17">
        <f>VLOOKUP(BP313,'DATABASE F&amp;B'!$C$3:$F$210,2,0)</f>
        <v>0</v>
      </c>
      <c r="BR313" s="18"/>
      <c r="BS313" s="19">
        <f>VLOOKUP(BP313,'DATABASE F&amp;B'!$C$3:$F$210,4,0)</f>
        <v>0</v>
      </c>
      <c r="BT313" s="19">
        <f t="shared" si="281"/>
        <v>0</v>
      </c>
      <c r="BU313" s="16"/>
      <c r="BV313" s="17">
        <f>VLOOKUP(BU313,'DATABASE F&amp;B'!$C$3:$F$210,2,0)</f>
        <v>0</v>
      </c>
      <c r="BW313" s="18"/>
      <c r="BX313" s="19">
        <f>VLOOKUP(BU313,'DATABASE F&amp;B'!$C$3:$F$210,4,0)</f>
        <v>0</v>
      </c>
      <c r="BY313" s="19">
        <f t="shared" si="282"/>
        <v>0</v>
      </c>
      <c r="BZ313" s="16"/>
      <c r="CA313" s="17">
        <f>VLOOKUP(BZ313,'DATABASE F&amp;B'!$C$3:$F$210,2,0)</f>
        <v>0</v>
      </c>
      <c r="CB313" s="18"/>
      <c r="CC313" s="19">
        <f>VLOOKUP(BZ313,'DATABASE F&amp;B'!$C$3:$F$210,4,0)</f>
        <v>0</v>
      </c>
      <c r="CD313" s="19">
        <f t="shared" si="283"/>
        <v>0</v>
      </c>
    </row>
    <row r="314" spans="1:82" s="63" customFormat="1" ht="13.5" x14ac:dyDescent="0.25">
      <c r="A314" s="62" t="str">
        <f t="shared" si="264"/>
        <v>--20</v>
      </c>
      <c r="B314" s="63">
        <f t="shared" si="284"/>
        <v>310</v>
      </c>
      <c r="C314" s="63">
        <f t="shared" si="284"/>
        <v>310</v>
      </c>
      <c r="D314" s="64"/>
      <c r="E314" s="65"/>
      <c r="F314" s="65"/>
      <c r="G314" s="66"/>
      <c r="H314" s="36" t="str">
        <f t="shared" si="240"/>
        <v>RJ--310</v>
      </c>
      <c r="I314" s="67" t="str">
        <f t="shared" si="265"/>
        <v>--20</v>
      </c>
      <c r="J314" s="68" t="e">
        <f>VLOOKUP(D314,Laporan!$C$4:$D$34,2,0)</f>
        <v>#N/A</v>
      </c>
      <c r="K314" s="69"/>
      <c r="L314" s="70"/>
      <c r="M314" s="71">
        <f>SUMIF('DATABASE Room'!$B$3:$B$7,L314,'DATABASE Room'!$D$3:$D$7)</f>
        <v>0</v>
      </c>
      <c r="N314" s="70"/>
      <c r="O314" s="72">
        <f t="shared" si="266"/>
        <v>0</v>
      </c>
      <c r="P314" s="73"/>
      <c r="Q314" s="71">
        <f t="shared" si="267"/>
        <v>0</v>
      </c>
      <c r="R314" s="72">
        <f t="shared" si="268"/>
        <v>0</v>
      </c>
      <c r="S314" s="71">
        <f t="shared" si="269"/>
        <v>2</v>
      </c>
      <c r="T314" s="71">
        <f t="shared" si="270"/>
        <v>0</v>
      </c>
      <c r="U314" s="72">
        <f t="shared" si="271"/>
        <v>0</v>
      </c>
      <c r="V314" s="74"/>
      <c r="W314" s="75"/>
      <c r="X314" s="76">
        <f>VLOOKUP(W314,'DATABASE F&amp;B'!$C$3:$F$216,2,0)</f>
        <v>0</v>
      </c>
      <c r="Y314" s="77"/>
      <c r="Z314" s="71">
        <f>VLOOKUP(W314,'DATABASE F&amp;B'!$C$3:$F$216,4,0)</f>
        <v>0</v>
      </c>
      <c r="AA314" s="71">
        <f t="shared" si="272"/>
        <v>0</v>
      </c>
      <c r="AB314" s="75"/>
      <c r="AC314" s="76">
        <f>VLOOKUP(AB314,'DATABASE F&amp;B'!$C$3:$F$216,2,0)</f>
        <v>0</v>
      </c>
      <c r="AD314" s="77"/>
      <c r="AE314" s="71">
        <f>VLOOKUP(AB314,'DATABASE F&amp;B'!$C$3:$F$216,4,0)</f>
        <v>0</v>
      </c>
      <c r="AF314" s="71">
        <f t="shared" si="273"/>
        <v>0</v>
      </c>
      <c r="AG314" s="75"/>
      <c r="AH314" s="76">
        <f>VLOOKUP(AG314,'DATABASE F&amp;B'!$C$3:$F$216,2,0)</f>
        <v>0</v>
      </c>
      <c r="AI314" s="77"/>
      <c r="AJ314" s="71">
        <f>VLOOKUP(AG314,'DATABASE F&amp;B'!$C$3:$F$216,4,0)</f>
        <v>0</v>
      </c>
      <c r="AK314" s="71">
        <f t="shared" si="274"/>
        <v>0</v>
      </c>
      <c r="AL314" s="75"/>
      <c r="AM314" s="76">
        <f>VLOOKUP(AL314,'DATABASE F&amp;B'!$C$3:$F$216,2,0)</f>
        <v>0</v>
      </c>
      <c r="AN314" s="77">
        <v>1</v>
      </c>
      <c r="AO314" s="71">
        <f>VLOOKUP(AL314,'DATABASE F&amp;B'!$C$3:$F$216,4,0)</f>
        <v>0</v>
      </c>
      <c r="AP314" s="71">
        <f t="shared" si="275"/>
        <v>0</v>
      </c>
      <c r="AQ314" s="75"/>
      <c r="AR314" s="76">
        <f>VLOOKUP(AQ314,'DATABASE F&amp;B'!$C$3:$F$216,2,0)</f>
        <v>0</v>
      </c>
      <c r="AS314" s="77">
        <v>1</v>
      </c>
      <c r="AT314" s="71">
        <f>VLOOKUP(AQ314,'DATABASE F&amp;B'!$C$3:$F$216,4,0)</f>
        <v>0</v>
      </c>
      <c r="AU314" s="71">
        <f t="shared" si="276"/>
        <v>0</v>
      </c>
      <c r="AV314" s="75"/>
      <c r="AW314" s="76">
        <f>VLOOKUP(AV314,'DATABASE F&amp;B'!$C$3:$F$216,2,0)</f>
        <v>0</v>
      </c>
      <c r="AX314" s="77"/>
      <c r="AY314" s="71">
        <f>VLOOKUP(AV314,'DATABASE F&amp;B'!$C$3:$F$216,4,0)</f>
        <v>0</v>
      </c>
      <c r="AZ314" s="71">
        <f t="shared" si="277"/>
        <v>0</v>
      </c>
      <c r="BA314" s="75"/>
      <c r="BB314" s="76">
        <f>VLOOKUP(BA314,'DATABASE F&amp;B'!$C$3:$F$216,2,0)</f>
        <v>0</v>
      </c>
      <c r="BC314" s="77"/>
      <c r="BD314" s="71">
        <f>VLOOKUP(BA314,'DATABASE F&amp;B'!$C$3:$F$216,4,0)</f>
        <v>0</v>
      </c>
      <c r="BE314" s="71">
        <f t="shared" si="278"/>
        <v>0</v>
      </c>
      <c r="BF314" s="75"/>
      <c r="BG314" s="76">
        <f>VLOOKUP(BF314,'DATABASE F&amp;B'!$C$3:$F$216,2,0)</f>
        <v>0</v>
      </c>
      <c r="BH314" s="77"/>
      <c r="BI314" s="71">
        <f>VLOOKUP(BF314,'DATABASE F&amp;B'!$C$3:$F$216,4,0)</f>
        <v>0</v>
      </c>
      <c r="BJ314" s="71">
        <f t="shared" si="279"/>
        <v>0</v>
      </c>
      <c r="BK314" s="75"/>
      <c r="BL314" s="76">
        <f>VLOOKUP(BK314,'DATABASE F&amp;B'!$C$3:$F$210,2,0)</f>
        <v>0</v>
      </c>
      <c r="BM314" s="77"/>
      <c r="BN314" s="71">
        <f>VLOOKUP(BK314,'DATABASE F&amp;B'!$C$3:$F$210,4,0)</f>
        <v>0</v>
      </c>
      <c r="BO314" s="71">
        <f t="shared" si="280"/>
        <v>0</v>
      </c>
      <c r="BP314" s="75"/>
      <c r="BQ314" s="76">
        <f>VLOOKUP(BP314,'DATABASE F&amp;B'!$C$3:$F$210,2,0)</f>
        <v>0</v>
      </c>
      <c r="BR314" s="77"/>
      <c r="BS314" s="71">
        <f>VLOOKUP(BP314,'DATABASE F&amp;B'!$C$3:$F$210,4,0)</f>
        <v>0</v>
      </c>
      <c r="BT314" s="71">
        <f t="shared" si="281"/>
        <v>0</v>
      </c>
      <c r="BU314" s="75"/>
      <c r="BV314" s="76">
        <f>VLOOKUP(BU314,'DATABASE F&amp;B'!$C$3:$F$210,2,0)</f>
        <v>0</v>
      </c>
      <c r="BW314" s="77"/>
      <c r="BX314" s="71">
        <f>VLOOKUP(BU314,'DATABASE F&amp;B'!$C$3:$F$210,4,0)</f>
        <v>0</v>
      </c>
      <c r="BY314" s="71">
        <f t="shared" si="282"/>
        <v>0</v>
      </c>
      <c r="BZ314" s="75"/>
      <c r="CA314" s="76">
        <f>VLOOKUP(BZ314,'DATABASE F&amp;B'!$C$3:$F$210,2,0)</f>
        <v>0</v>
      </c>
      <c r="CB314" s="77"/>
      <c r="CC314" s="71">
        <f>VLOOKUP(BZ314,'DATABASE F&amp;B'!$C$3:$F$210,4,0)</f>
        <v>0</v>
      </c>
      <c r="CD314" s="71">
        <f t="shared" si="283"/>
        <v>0</v>
      </c>
    </row>
    <row r="315" spans="1:82" ht="13.5" x14ac:dyDescent="0.25">
      <c r="A315" s="32" t="str">
        <f t="shared" si="264"/>
        <v>--20</v>
      </c>
      <c r="B315" s="22">
        <f t="shared" si="284"/>
        <v>311</v>
      </c>
      <c r="C315" s="22">
        <f t="shared" si="284"/>
        <v>311</v>
      </c>
      <c r="D315" s="34"/>
      <c r="E315" s="35"/>
      <c r="F315" s="35"/>
      <c r="G315" s="52"/>
      <c r="H315" s="36" t="str">
        <f t="shared" si="240"/>
        <v>RJ--311</v>
      </c>
      <c r="I315" s="36" t="str">
        <f t="shared" si="265"/>
        <v>--20</v>
      </c>
      <c r="J315" s="37" t="e">
        <f>VLOOKUP(D315,Laporan!$C$4:$D$34,2,0)</f>
        <v>#N/A</v>
      </c>
      <c r="K315" s="48"/>
      <c r="L315" s="13"/>
      <c r="M315" s="19">
        <f>SUMIF('DATABASE Room'!$B$3:$B$7,L315,'DATABASE Room'!$D$3:$D$7)</f>
        <v>0</v>
      </c>
      <c r="N315" s="13"/>
      <c r="O315" s="21">
        <f t="shared" si="266"/>
        <v>0</v>
      </c>
      <c r="P315" s="38"/>
      <c r="Q315" s="19">
        <f t="shared" si="267"/>
        <v>0</v>
      </c>
      <c r="R315" s="21">
        <f t="shared" si="268"/>
        <v>0</v>
      </c>
      <c r="S315" s="19">
        <f t="shared" si="269"/>
        <v>2</v>
      </c>
      <c r="T315" s="19">
        <f t="shared" si="270"/>
        <v>0</v>
      </c>
      <c r="U315" s="21">
        <f t="shared" si="271"/>
        <v>0</v>
      </c>
      <c r="V315" s="39"/>
      <c r="W315" s="16"/>
      <c r="X315" s="17">
        <f>VLOOKUP(W315,'DATABASE F&amp;B'!$C$3:$F$216,2,0)</f>
        <v>0</v>
      </c>
      <c r="Y315" s="18"/>
      <c r="Z315" s="19">
        <f>VLOOKUP(W315,'DATABASE F&amp;B'!$C$3:$F$216,4,0)</f>
        <v>0</v>
      </c>
      <c r="AA315" s="19">
        <f t="shared" si="272"/>
        <v>0</v>
      </c>
      <c r="AB315" s="16"/>
      <c r="AC315" s="17">
        <f>VLOOKUP(AB315,'DATABASE F&amp;B'!$C$3:$F$216,2,0)</f>
        <v>0</v>
      </c>
      <c r="AD315" s="18"/>
      <c r="AE315" s="19">
        <f>VLOOKUP(AB315,'DATABASE F&amp;B'!$C$3:$F$216,4,0)</f>
        <v>0</v>
      </c>
      <c r="AF315" s="19">
        <f t="shared" si="273"/>
        <v>0</v>
      </c>
      <c r="AG315" s="16"/>
      <c r="AH315" s="17">
        <f>VLOOKUP(AG315,'DATABASE F&amp;B'!$C$3:$F$216,2,0)</f>
        <v>0</v>
      </c>
      <c r="AI315" s="18"/>
      <c r="AJ315" s="19">
        <f>VLOOKUP(AG315,'DATABASE F&amp;B'!$C$3:$F$216,4,0)</f>
        <v>0</v>
      </c>
      <c r="AK315" s="19">
        <f t="shared" si="274"/>
        <v>0</v>
      </c>
      <c r="AL315" s="16"/>
      <c r="AM315" s="17">
        <f>VLOOKUP(AL315,'DATABASE F&amp;B'!$C$3:$F$216,2,0)</f>
        <v>0</v>
      </c>
      <c r="AN315" s="18">
        <v>1</v>
      </c>
      <c r="AO315" s="19">
        <f>VLOOKUP(AL315,'DATABASE F&amp;B'!$C$3:$F$216,4,0)</f>
        <v>0</v>
      </c>
      <c r="AP315" s="19">
        <f t="shared" si="275"/>
        <v>0</v>
      </c>
      <c r="AQ315" s="16"/>
      <c r="AR315" s="17">
        <f>VLOOKUP(AQ315,'DATABASE F&amp;B'!$C$3:$F$216,2,0)</f>
        <v>0</v>
      </c>
      <c r="AS315" s="18">
        <v>1</v>
      </c>
      <c r="AT315" s="19">
        <f>VLOOKUP(AQ315,'DATABASE F&amp;B'!$C$3:$F$216,4,0)</f>
        <v>0</v>
      </c>
      <c r="AU315" s="19">
        <f t="shared" si="276"/>
        <v>0</v>
      </c>
      <c r="AV315" s="16"/>
      <c r="AW315" s="17">
        <f>VLOOKUP(AV315,'DATABASE F&amp;B'!$C$3:$F$216,2,0)</f>
        <v>0</v>
      </c>
      <c r="AX315" s="18"/>
      <c r="AY315" s="19">
        <f>VLOOKUP(AV315,'DATABASE F&amp;B'!$C$3:$F$216,4,0)</f>
        <v>0</v>
      </c>
      <c r="AZ315" s="19">
        <f t="shared" si="277"/>
        <v>0</v>
      </c>
      <c r="BA315" s="16"/>
      <c r="BB315" s="17">
        <f>VLOOKUP(BA315,'DATABASE F&amp;B'!$C$3:$F$216,2,0)</f>
        <v>0</v>
      </c>
      <c r="BC315" s="18"/>
      <c r="BD315" s="19">
        <f>VLOOKUP(BA315,'DATABASE F&amp;B'!$C$3:$F$216,4,0)</f>
        <v>0</v>
      </c>
      <c r="BE315" s="19">
        <f t="shared" si="278"/>
        <v>0</v>
      </c>
      <c r="BF315" s="16"/>
      <c r="BG315" s="17">
        <f>VLOOKUP(BF315,'DATABASE F&amp;B'!$C$3:$F$216,2,0)</f>
        <v>0</v>
      </c>
      <c r="BH315" s="18"/>
      <c r="BI315" s="19">
        <f>VLOOKUP(BF315,'DATABASE F&amp;B'!$C$3:$F$216,4,0)</f>
        <v>0</v>
      </c>
      <c r="BJ315" s="19">
        <f t="shared" si="279"/>
        <v>0</v>
      </c>
      <c r="BK315" s="16"/>
      <c r="BL315" s="17">
        <f>VLOOKUP(BK315,'DATABASE F&amp;B'!$C$3:$F$210,2,0)</f>
        <v>0</v>
      </c>
      <c r="BM315" s="18"/>
      <c r="BN315" s="19">
        <f>VLOOKUP(BK315,'DATABASE F&amp;B'!$C$3:$F$210,4,0)</f>
        <v>0</v>
      </c>
      <c r="BO315" s="19">
        <f t="shared" si="280"/>
        <v>0</v>
      </c>
      <c r="BP315" s="16"/>
      <c r="BQ315" s="17">
        <f>VLOOKUP(BP315,'DATABASE F&amp;B'!$C$3:$F$210,2,0)</f>
        <v>0</v>
      </c>
      <c r="BR315" s="18"/>
      <c r="BS315" s="19">
        <f>VLOOKUP(BP315,'DATABASE F&amp;B'!$C$3:$F$210,4,0)</f>
        <v>0</v>
      </c>
      <c r="BT315" s="19">
        <f t="shared" si="281"/>
        <v>0</v>
      </c>
      <c r="BU315" s="16"/>
      <c r="BV315" s="17">
        <f>VLOOKUP(BU315,'DATABASE F&amp;B'!$C$3:$F$210,2,0)</f>
        <v>0</v>
      </c>
      <c r="BW315" s="18"/>
      <c r="BX315" s="19">
        <f>VLOOKUP(BU315,'DATABASE F&amp;B'!$C$3:$F$210,4,0)</f>
        <v>0</v>
      </c>
      <c r="BY315" s="19">
        <f t="shared" si="282"/>
        <v>0</v>
      </c>
      <c r="BZ315" s="16"/>
      <c r="CA315" s="17">
        <f>VLOOKUP(BZ315,'DATABASE F&amp;B'!$C$3:$F$210,2,0)</f>
        <v>0</v>
      </c>
      <c r="CB315" s="18"/>
      <c r="CC315" s="19">
        <f>VLOOKUP(BZ315,'DATABASE F&amp;B'!$C$3:$F$210,4,0)</f>
        <v>0</v>
      </c>
      <c r="CD315" s="19">
        <f t="shared" si="283"/>
        <v>0</v>
      </c>
    </row>
    <row r="316" spans="1:82" ht="13.5" x14ac:dyDescent="0.25">
      <c r="A316" s="32" t="str">
        <f t="shared" si="264"/>
        <v>--20</v>
      </c>
      <c r="B316" s="22">
        <f t="shared" si="284"/>
        <v>312</v>
      </c>
      <c r="C316" s="22">
        <f t="shared" si="284"/>
        <v>312</v>
      </c>
      <c r="D316" s="34"/>
      <c r="E316" s="35"/>
      <c r="F316" s="35"/>
      <c r="G316" s="52"/>
      <c r="H316" s="36" t="str">
        <f t="shared" si="240"/>
        <v>RJ--312</v>
      </c>
      <c r="I316" s="36" t="str">
        <f t="shared" si="265"/>
        <v>--20</v>
      </c>
      <c r="J316" s="37" t="e">
        <f>VLOOKUP(D316,Laporan!$C$4:$D$34,2,0)</f>
        <v>#N/A</v>
      </c>
      <c r="K316" s="48"/>
      <c r="L316" s="13"/>
      <c r="M316" s="19">
        <f>SUMIF('DATABASE Room'!$B$3:$B$7,L316,'DATABASE Room'!$D$3:$D$7)</f>
        <v>0</v>
      </c>
      <c r="N316" s="13"/>
      <c r="O316" s="21">
        <f t="shared" si="266"/>
        <v>0</v>
      </c>
      <c r="P316" s="38"/>
      <c r="Q316" s="19">
        <f t="shared" si="267"/>
        <v>0</v>
      </c>
      <c r="R316" s="21">
        <f t="shared" si="268"/>
        <v>0</v>
      </c>
      <c r="S316" s="19">
        <f t="shared" si="269"/>
        <v>2</v>
      </c>
      <c r="T316" s="19">
        <f t="shared" si="270"/>
        <v>0</v>
      </c>
      <c r="U316" s="21">
        <f t="shared" si="271"/>
        <v>0</v>
      </c>
      <c r="V316" s="39"/>
      <c r="W316" s="16"/>
      <c r="X316" s="17">
        <f>VLOOKUP(W316,'DATABASE F&amp;B'!$C$3:$F$216,2,0)</f>
        <v>0</v>
      </c>
      <c r="Y316" s="18"/>
      <c r="Z316" s="19">
        <f>VLOOKUP(W316,'DATABASE F&amp;B'!$C$3:$F$216,4,0)</f>
        <v>0</v>
      </c>
      <c r="AA316" s="19">
        <f t="shared" si="272"/>
        <v>0</v>
      </c>
      <c r="AB316" s="16"/>
      <c r="AC316" s="17">
        <f>VLOOKUP(AB316,'DATABASE F&amp;B'!$C$3:$F$216,2,0)</f>
        <v>0</v>
      </c>
      <c r="AD316" s="18"/>
      <c r="AE316" s="19">
        <f>VLOOKUP(AB316,'DATABASE F&amp;B'!$C$3:$F$216,4,0)</f>
        <v>0</v>
      </c>
      <c r="AF316" s="19">
        <f t="shared" si="273"/>
        <v>0</v>
      </c>
      <c r="AG316" s="16"/>
      <c r="AH316" s="17">
        <f>VLOOKUP(AG316,'DATABASE F&amp;B'!$C$3:$F$216,2,0)</f>
        <v>0</v>
      </c>
      <c r="AI316" s="18"/>
      <c r="AJ316" s="19">
        <f>VLOOKUP(AG316,'DATABASE F&amp;B'!$C$3:$F$216,4,0)</f>
        <v>0</v>
      </c>
      <c r="AK316" s="19">
        <f t="shared" si="274"/>
        <v>0</v>
      </c>
      <c r="AL316" s="16"/>
      <c r="AM316" s="17">
        <f>VLOOKUP(AL316,'DATABASE F&amp;B'!$C$3:$F$216,2,0)</f>
        <v>0</v>
      </c>
      <c r="AN316" s="18">
        <v>1</v>
      </c>
      <c r="AO316" s="19">
        <f>VLOOKUP(AL316,'DATABASE F&amp;B'!$C$3:$F$216,4,0)</f>
        <v>0</v>
      </c>
      <c r="AP316" s="19">
        <f t="shared" si="275"/>
        <v>0</v>
      </c>
      <c r="AQ316" s="16"/>
      <c r="AR316" s="17">
        <f>VLOOKUP(AQ316,'DATABASE F&amp;B'!$C$3:$F$216,2,0)</f>
        <v>0</v>
      </c>
      <c r="AS316" s="18">
        <v>1</v>
      </c>
      <c r="AT316" s="19">
        <f>VLOOKUP(AQ316,'DATABASE F&amp;B'!$C$3:$F$216,4,0)</f>
        <v>0</v>
      </c>
      <c r="AU316" s="19">
        <f t="shared" si="276"/>
        <v>0</v>
      </c>
      <c r="AV316" s="16"/>
      <c r="AW316" s="17">
        <f>VLOOKUP(AV316,'DATABASE F&amp;B'!$C$3:$F$216,2,0)</f>
        <v>0</v>
      </c>
      <c r="AX316" s="18"/>
      <c r="AY316" s="19">
        <f>VLOOKUP(AV316,'DATABASE F&amp;B'!$C$3:$F$216,4,0)</f>
        <v>0</v>
      </c>
      <c r="AZ316" s="19">
        <f t="shared" si="277"/>
        <v>0</v>
      </c>
      <c r="BA316" s="16"/>
      <c r="BB316" s="17">
        <f>VLOOKUP(BA316,'DATABASE F&amp;B'!$C$3:$F$216,2,0)</f>
        <v>0</v>
      </c>
      <c r="BC316" s="18"/>
      <c r="BD316" s="19">
        <f>VLOOKUP(BA316,'DATABASE F&amp;B'!$C$3:$F$216,4,0)</f>
        <v>0</v>
      </c>
      <c r="BE316" s="19">
        <f t="shared" si="278"/>
        <v>0</v>
      </c>
      <c r="BF316" s="16"/>
      <c r="BG316" s="17">
        <f>VLOOKUP(BF316,'DATABASE F&amp;B'!$C$3:$F$216,2,0)</f>
        <v>0</v>
      </c>
      <c r="BH316" s="18"/>
      <c r="BI316" s="19">
        <f>VLOOKUP(BF316,'DATABASE F&amp;B'!$C$3:$F$216,4,0)</f>
        <v>0</v>
      </c>
      <c r="BJ316" s="19">
        <f t="shared" si="279"/>
        <v>0</v>
      </c>
      <c r="BK316" s="16"/>
      <c r="BL316" s="17">
        <f>VLOOKUP(BK316,'DATABASE F&amp;B'!$C$3:$F$210,2,0)</f>
        <v>0</v>
      </c>
      <c r="BM316" s="18"/>
      <c r="BN316" s="19">
        <f>VLOOKUP(BK316,'DATABASE F&amp;B'!$C$3:$F$210,4,0)</f>
        <v>0</v>
      </c>
      <c r="BO316" s="19">
        <f t="shared" si="280"/>
        <v>0</v>
      </c>
      <c r="BP316" s="16"/>
      <c r="BQ316" s="17">
        <f>VLOOKUP(BP316,'DATABASE F&amp;B'!$C$3:$F$210,2,0)</f>
        <v>0</v>
      </c>
      <c r="BR316" s="18"/>
      <c r="BS316" s="19">
        <f>VLOOKUP(BP316,'DATABASE F&amp;B'!$C$3:$F$210,4,0)</f>
        <v>0</v>
      </c>
      <c r="BT316" s="19">
        <f t="shared" si="281"/>
        <v>0</v>
      </c>
      <c r="BU316" s="16"/>
      <c r="BV316" s="17">
        <f>VLOOKUP(BU316,'DATABASE F&amp;B'!$C$3:$F$210,2,0)</f>
        <v>0</v>
      </c>
      <c r="BW316" s="18"/>
      <c r="BX316" s="19">
        <f>VLOOKUP(BU316,'DATABASE F&amp;B'!$C$3:$F$210,4,0)</f>
        <v>0</v>
      </c>
      <c r="BY316" s="19">
        <f t="shared" si="282"/>
        <v>0</v>
      </c>
      <c r="BZ316" s="16"/>
      <c r="CA316" s="17">
        <f>VLOOKUP(BZ316,'DATABASE F&amp;B'!$C$3:$F$210,2,0)</f>
        <v>0</v>
      </c>
      <c r="CB316" s="18"/>
      <c r="CC316" s="19">
        <f>VLOOKUP(BZ316,'DATABASE F&amp;B'!$C$3:$F$210,4,0)</f>
        <v>0</v>
      </c>
      <c r="CD316" s="19">
        <f t="shared" si="283"/>
        <v>0</v>
      </c>
    </row>
    <row r="317" spans="1:82" ht="13.5" x14ac:dyDescent="0.25">
      <c r="A317" s="32" t="str">
        <f t="shared" si="264"/>
        <v>--20</v>
      </c>
      <c r="B317" s="22">
        <f t="shared" si="284"/>
        <v>313</v>
      </c>
      <c r="C317" s="22">
        <f t="shared" si="284"/>
        <v>313</v>
      </c>
      <c r="D317" s="34"/>
      <c r="E317" s="35"/>
      <c r="F317" s="35"/>
      <c r="G317" s="52"/>
      <c r="H317" s="36" t="str">
        <f t="shared" si="240"/>
        <v>RJ--313</v>
      </c>
      <c r="I317" s="36" t="str">
        <f t="shared" si="265"/>
        <v>--20</v>
      </c>
      <c r="J317" s="37" t="e">
        <f>VLOOKUP(D317,Laporan!$C$4:$D$34,2,0)</f>
        <v>#N/A</v>
      </c>
      <c r="K317" s="48"/>
      <c r="L317" s="13"/>
      <c r="M317" s="19">
        <f>SUMIF('DATABASE Room'!$B$3:$B$7,L317,'DATABASE Room'!$D$3:$D$7)</f>
        <v>0</v>
      </c>
      <c r="N317" s="13"/>
      <c r="O317" s="21">
        <f t="shared" si="266"/>
        <v>0</v>
      </c>
      <c r="P317" s="38"/>
      <c r="Q317" s="19">
        <f t="shared" si="267"/>
        <v>0</v>
      </c>
      <c r="R317" s="21">
        <f t="shared" si="268"/>
        <v>0</v>
      </c>
      <c r="S317" s="19">
        <f t="shared" si="269"/>
        <v>2</v>
      </c>
      <c r="T317" s="19">
        <f t="shared" si="270"/>
        <v>0</v>
      </c>
      <c r="U317" s="21">
        <f t="shared" si="271"/>
        <v>0</v>
      </c>
      <c r="V317" s="39"/>
      <c r="W317" s="16"/>
      <c r="X317" s="17">
        <f>VLOOKUP(W317,'DATABASE F&amp;B'!$C$3:$F$216,2,0)</f>
        <v>0</v>
      </c>
      <c r="Y317" s="18"/>
      <c r="Z317" s="19">
        <f>VLOOKUP(W317,'DATABASE F&amp;B'!$C$3:$F$216,4,0)</f>
        <v>0</v>
      </c>
      <c r="AA317" s="19">
        <f t="shared" si="272"/>
        <v>0</v>
      </c>
      <c r="AB317" s="16"/>
      <c r="AC317" s="17">
        <f>VLOOKUP(AB317,'DATABASE F&amp;B'!$C$3:$F$216,2,0)</f>
        <v>0</v>
      </c>
      <c r="AD317" s="18"/>
      <c r="AE317" s="19">
        <f>VLOOKUP(AB317,'DATABASE F&amp;B'!$C$3:$F$216,4,0)</f>
        <v>0</v>
      </c>
      <c r="AF317" s="19">
        <f t="shared" si="273"/>
        <v>0</v>
      </c>
      <c r="AG317" s="16"/>
      <c r="AH317" s="17">
        <f>VLOOKUP(AG317,'DATABASE F&amp;B'!$C$3:$F$216,2,0)</f>
        <v>0</v>
      </c>
      <c r="AI317" s="18"/>
      <c r="AJ317" s="19">
        <f>VLOOKUP(AG317,'DATABASE F&amp;B'!$C$3:$F$216,4,0)</f>
        <v>0</v>
      </c>
      <c r="AK317" s="19">
        <f t="shared" si="274"/>
        <v>0</v>
      </c>
      <c r="AL317" s="16"/>
      <c r="AM317" s="17">
        <f>VLOOKUP(AL317,'DATABASE F&amp;B'!$C$3:$F$216,2,0)</f>
        <v>0</v>
      </c>
      <c r="AN317" s="18">
        <v>1</v>
      </c>
      <c r="AO317" s="19">
        <f>VLOOKUP(AL317,'DATABASE F&amp;B'!$C$3:$F$216,4,0)</f>
        <v>0</v>
      </c>
      <c r="AP317" s="19">
        <f t="shared" si="275"/>
        <v>0</v>
      </c>
      <c r="AQ317" s="16"/>
      <c r="AR317" s="17">
        <f>VLOOKUP(AQ317,'DATABASE F&amp;B'!$C$3:$F$216,2,0)</f>
        <v>0</v>
      </c>
      <c r="AS317" s="18">
        <v>1</v>
      </c>
      <c r="AT317" s="19">
        <f>VLOOKUP(AQ317,'DATABASE F&amp;B'!$C$3:$F$216,4,0)</f>
        <v>0</v>
      </c>
      <c r="AU317" s="19">
        <f t="shared" si="276"/>
        <v>0</v>
      </c>
      <c r="AV317" s="16"/>
      <c r="AW317" s="17">
        <f>VLOOKUP(AV317,'DATABASE F&amp;B'!$C$3:$F$216,2,0)</f>
        <v>0</v>
      </c>
      <c r="AX317" s="18"/>
      <c r="AY317" s="19">
        <f>VLOOKUP(AV317,'DATABASE F&amp;B'!$C$3:$F$216,4,0)</f>
        <v>0</v>
      </c>
      <c r="AZ317" s="19">
        <f t="shared" si="277"/>
        <v>0</v>
      </c>
      <c r="BA317" s="16"/>
      <c r="BB317" s="17">
        <f>VLOOKUP(BA317,'DATABASE F&amp;B'!$C$3:$F$216,2,0)</f>
        <v>0</v>
      </c>
      <c r="BC317" s="18"/>
      <c r="BD317" s="19">
        <f>VLOOKUP(BA317,'DATABASE F&amp;B'!$C$3:$F$216,4,0)</f>
        <v>0</v>
      </c>
      <c r="BE317" s="19">
        <f t="shared" si="278"/>
        <v>0</v>
      </c>
      <c r="BF317" s="16"/>
      <c r="BG317" s="17">
        <f>VLOOKUP(BF317,'DATABASE F&amp;B'!$C$3:$F$216,2,0)</f>
        <v>0</v>
      </c>
      <c r="BH317" s="18"/>
      <c r="BI317" s="19">
        <f>VLOOKUP(BF317,'DATABASE F&amp;B'!$C$3:$F$216,4,0)</f>
        <v>0</v>
      </c>
      <c r="BJ317" s="19">
        <f t="shared" si="279"/>
        <v>0</v>
      </c>
      <c r="BK317" s="16"/>
      <c r="BL317" s="17">
        <f>VLOOKUP(BK317,'DATABASE F&amp;B'!$C$3:$F$210,2,0)</f>
        <v>0</v>
      </c>
      <c r="BM317" s="18"/>
      <c r="BN317" s="19">
        <f>VLOOKUP(BK317,'DATABASE F&amp;B'!$C$3:$F$210,4,0)</f>
        <v>0</v>
      </c>
      <c r="BO317" s="19">
        <f t="shared" si="280"/>
        <v>0</v>
      </c>
      <c r="BP317" s="16"/>
      <c r="BQ317" s="17">
        <f>VLOOKUP(BP317,'DATABASE F&amp;B'!$C$3:$F$210,2,0)</f>
        <v>0</v>
      </c>
      <c r="BR317" s="18"/>
      <c r="BS317" s="19">
        <f>VLOOKUP(BP317,'DATABASE F&amp;B'!$C$3:$F$210,4,0)</f>
        <v>0</v>
      </c>
      <c r="BT317" s="19">
        <f t="shared" si="281"/>
        <v>0</v>
      </c>
      <c r="BU317" s="16"/>
      <c r="BV317" s="17">
        <f>VLOOKUP(BU317,'DATABASE F&amp;B'!$C$3:$F$210,2,0)</f>
        <v>0</v>
      </c>
      <c r="BW317" s="18"/>
      <c r="BX317" s="19">
        <f>VLOOKUP(BU317,'DATABASE F&amp;B'!$C$3:$F$210,4,0)</f>
        <v>0</v>
      </c>
      <c r="BY317" s="19">
        <f t="shared" si="282"/>
        <v>0</v>
      </c>
      <c r="BZ317" s="16"/>
      <c r="CA317" s="17">
        <f>VLOOKUP(BZ317,'DATABASE F&amp;B'!$C$3:$F$210,2,0)</f>
        <v>0</v>
      </c>
      <c r="CB317" s="18"/>
      <c r="CC317" s="19">
        <f>VLOOKUP(BZ317,'DATABASE F&amp;B'!$C$3:$F$210,4,0)</f>
        <v>0</v>
      </c>
      <c r="CD317" s="19">
        <f t="shared" si="283"/>
        <v>0</v>
      </c>
    </row>
    <row r="318" spans="1:82" ht="13.5" x14ac:dyDescent="0.25">
      <c r="A318" s="32" t="str">
        <f t="shared" si="264"/>
        <v>--20</v>
      </c>
      <c r="B318" s="22">
        <f t="shared" si="284"/>
        <v>314</v>
      </c>
      <c r="C318" s="22">
        <f t="shared" si="284"/>
        <v>314</v>
      </c>
      <c r="D318" s="34"/>
      <c r="E318" s="35"/>
      <c r="F318" s="35"/>
      <c r="G318" s="52"/>
      <c r="H318" s="36" t="str">
        <f t="shared" si="240"/>
        <v>RJ--314</v>
      </c>
      <c r="I318" s="36" t="str">
        <f t="shared" si="265"/>
        <v>--20</v>
      </c>
      <c r="J318" s="37" t="e">
        <f>VLOOKUP(D318,Laporan!$C$4:$D$34,2,0)</f>
        <v>#N/A</v>
      </c>
      <c r="K318" s="48"/>
      <c r="L318" s="13"/>
      <c r="M318" s="19">
        <f>SUMIF('DATABASE Room'!$B$3:$B$7,L318,'DATABASE Room'!$D$3:$D$7)</f>
        <v>0</v>
      </c>
      <c r="N318" s="13"/>
      <c r="O318" s="21">
        <f t="shared" si="266"/>
        <v>0</v>
      </c>
      <c r="P318" s="38"/>
      <c r="Q318" s="19">
        <f t="shared" si="267"/>
        <v>0</v>
      </c>
      <c r="R318" s="21">
        <f t="shared" si="268"/>
        <v>0</v>
      </c>
      <c r="S318" s="19">
        <f t="shared" si="269"/>
        <v>2</v>
      </c>
      <c r="T318" s="19">
        <f t="shared" si="270"/>
        <v>0</v>
      </c>
      <c r="U318" s="21">
        <f t="shared" si="271"/>
        <v>0</v>
      </c>
      <c r="V318" s="39"/>
      <c r="W318" s="16"/>
      <c r="X318" s="17">
        <f>VLOOKUP(W318,'DATABASE F&amp;B'!$C$3:$F$216,2,0)</f>
        <v>0</v>
      </c>
      <c r="Y318" s="18"/>
      <c r="Z318" s="19">
        <f>VLOOKUP(W318,'DATABASE F&amp;B'!$C$3:$F$216,4,0)</f>
        <v>0</v>
      </c>
      <c r="AA318" s="19">
        <f t="shared" si="272"/>
        <v>0</v>
      </c>
      <c r="AB318" s="16"/>
      <c r="AC318" s="17">
        <f>VLOOKUP(AB318,'DATABASE F&amp;B'!$C$3:$F$216,2,0)</f>
        <v>0</v>
      </c>
      <c r="AD318" s="18"/>
      <c r="AE318" s="19">
        <f>VLOOKUP(AB318,'DATABASE F&amp;B'!$C$3:$F$216,4,0)</f>
        <v>0</v>
      </c>
      <c r="AF318" s="19">
        <f t="shared" si="273"/>
        <v>0</v>
      </c>
      <c r="AG318" s="16"/>
      <c r="AH318" s="17">
        <f>VLOOKUP(AG318,'DATABASE F&amp;B'!$C$3:$F$216,2,0)</f>
        <v>0</v>
      </c>
      <c r="AI318" s="18"/>
      <c r="AJ318" s="19">
        <f>VLOOKUP(AG318,'DATABASE F&amp;B'!$C$3:$F$216,4,0)</f>
        <v>0</v>
      </c>
      <c r="AK318" s="19">
        <f t="shared" si="274"/>
        <v>0</v>
      </c>
      <c r="AL318" s="16"/>
      <c r="AM318" s="17">
        <f>VLOOKUP(AL318,'DATABASE F&amp;B'!$C$3:$F$216,2,0)</f>
        <v>0</v>
      </c>
      <c r="AN318" s="18">
        <v>1</v>
      </c>
      <c r="AO318" s="19">
        <f>VLOOKUP(AL318,'DATABASE F&amp;B'!$C$3:$F$216,4,0)</f>
        <v>0</v>
      </c>
      <c r="AP318" s="19">
        <f t="shared" si="275"/>
        <v>0</v>
      </c>
      <c r="AQ318" s="16"/>
      <c r="AR318" s="17">
        <f>VLOOKUP(AQ318,'DATABASE F&amp;B'!$C$3:$F$216,2,0)</f>
        <v>0</v>
      </c>
      <c r="AS318" s="18">
        <v>1</v>
      </c>
      <c r="AT318" s="19">
        <f>VLOOKUP(AQ318,'DATABASE F&amp;B'!$C$3:$F$216,4,0)</f>
        <v>0</v>
      </c>
      <c r="AU318" s="19">
        <f t="shared" si="276"/>
        <v>0</v>
      </c>
      <c r="AV318" s="16"/>
      <c r="AW318" s="17">
        <f>VLOOKUP(AV318,'DATABASE F&amp;B'!$C$3:$F$216,2,0)</f>
        <v>0</v>
      </c>
      <c r="AX318" s="18"/>
      <c r="AY318" s="19">
        <f>VLOOKUP(AV318,'DATABASE F&amp;B'!$C$3:$F$216,4,0)</f>
        <v>0</v>
      </c>
      <c r="AZ318" s="19">
        <f t="shared" si="277"/>
        <v>0</v>
      </c>
      <c r="BA318" s="16"/>
      <c r="BB318" s="17">
        <f>VLOOKUP(BA318,'DATABASE F&amp;B'!$C$3:$F$216,2,0)</f>
        <v>0</v>
      </c>
      <c r="BC318" s="18"/>
      <c r="BD318" s="19">
        <f>VLOOKUP(BA318,'DATABASE F&amp;B'!$C$3:$F$216,4,0)</f>
        <v>0</v>
      </c>
      <c r="BE318" s="19">
        <f t="shared" si="278"/>
        <v>0</v>
      </c>
      <c r="BF318" s="16"/>
      <c r="BG318" s="17">
        <f>VLOOKUP(BF318,'DATABASE F&amp;B'!$C$3:$F$216,2,0)</f>
        <v>0</v>
      </c>
      <c r="BH318" s="18"/>
      <c r="BI318" s="19">
        <f>VLOOKUP(BF318,'DATABASE F&amp;B'!$C$3:$F$216,4,0)</f>
        <v>0</v>
      </c>
      <c r="BJ318" s="19">
        <f t="shared" si="279"/>
        <v>0</v>
      </c>
      <c r="BK318" s="16"/>
      <c r="BL318" s="17">
        <f>VLOOKUP(BK318,'DATABASE F&amp;B'!$C$3:$F$210,2,0)</f>
        <v>0</v>
      </c>
      <c r="BM318" s="18"/>
      <c r="BN318" s="19">
        <f>VLOOKUP(BK318,'DATABASE F&amp;B'!$C$3:$F$210,4,0)</f>
        <v>0</v>
      </c>
      <c r="BO318" s="19">
        <f t="shared" si="280"/>
        <v>0</v>
      </c>
      <c r="BP318" s="16"/>
      <c r="BQ318" s="17">
        <f>VLOOKUP(BP318,'DATABASE F&amp;B'!$C$3:$F$210,2,0)</f>
        <v>0</v>
      </c>
      <c r="BR318" s="18"/>
      <c r="BS318" s="19">
        <f>VLOOKUP(BP318,'DATABASE F&amp;B'!$C$3:$F$210,4,0)</f>
        <v>0</v>
      </c>
      <c r="BT318" s="19">
        <f t="shared" si="281"/>
        <v>0</v>
      </c>
      <c r="BU318" s="16"/>
      <c r="BV318" s="17">
        <f>VLOOKUP(BU318,'DATABASE F&amp;B'!$C$3:$F$210,2,0)</f>
        <v>0</v>
      </c>
      <c r="BW318" s="18"/>
      <c r="BX318" s="19">
        <f>VLOOKUP(BU318,'DATABASE F&amp;B'!$C$3:$F$210,4,0)</f>
        <v>0</v>
      </c>
      <c r="BY318" s="19">
        <f t="shared" si="282"/>
        <v>0</v>
      </c>
      <c r="BZ318" s="16"/>
      <c r="CA318" s="17">
        <f>VLOOKUP(BZ318,'DATABASE F&amp;B'!$C$3:$F$210,2,0)</f>
        <v>0</v>
      </c>
      <c r="CB318" s="18"/>
      <c r="CC318" s="19">
        <f>VLOOKUP(BZ318,'DATABASE F&amp;B'!$C$3:$F$210,4,0)</f>
        <v>0</v>
      </c>
      <c r="CD318" s="19">
        <f t="shared" si="283"/>
        <v>0</v>
      </c>
    </row>
    <row r="319" spans="1:82" ht="13.5" x14ac:dyDescent="0.25">
      <c r="A319" s="32" t="str">
        <f t="shared" si="264"/>
        <v>--20</v>
      </c>
      <c r="B319" s="22">
        <f t="shared" si="284"/>
        <v>315</v>
      </c>
      <c r="C319" s="22">
        <f t="shared" si="284"/>
        <v>315</v>
      </c>
      <c r="D319" s="34"/>
      <c r="E319" s="35"/>
      <c r="F319" s="35"/>
      <c r="G319" s="52"/>
      <c r="H319" s="36" t="str">
        <f t="shared" si="240"/>
        <v>RJ--315</v>
      </c>
      <c r="I319" s="36" t="str">
        <f t="shared" si="265"/>
        <v>--20</v>
      </c>
      <c r="J319" s="37" t="e">
        <f>VLOOKUP(D319,Laporan!$C$4:$D$34,2,0)</f>
        <v>#N/A</v>
      </c>
      <c r="K319" s="48"/>
      <c r="L319" s="13"/>
      <c r="M319" s="19">
        <f>SUMIF('DATABASE Room'!$B$3:$B$7,L319,'DATABASE Room'!$D$3:$D$7)</f>
        <v>0</v>
      </c>
      <c r="N319" s="13"/>
      <c r="O319" s="21">
        <f t="shared" si="266"/>
        <v>0</v>
      </c>
      <c r="P319" s="38"/>
      <c r="Q319" s="19">
        <f t="shared" si="267"/>
        <v>0</v>
      </c>
      <c r="R319" s="21">
        <f t="shared" si="268"/>
        <v>0</v>
      </c>
      <c r="S319" s="19">
        <f t="shared" si="269"/>
        <v>2</v>
      </c>
      <c r="T319" s="19">
        <f t="shared" si="270"/>
        <v>0</v>
      </c>
      <c r="U319" s="21">
        <f t="shared" si="271"/>
        <v>0</v>
      </c>
      <c r="V319" s="39"/>
      <c r="W319" s="16"/>
      <c r="X319" s="17">
        <f>VLOOKUP(W319,'DATABASE F&amp;B'!$C$3:$F$216,2,0)</f>
        <v>0</v>
      </c>
      <c r="Y319" s="18"/>
      <c r="Z319" s="19">
        <f>VLOOKUP(W319,'DATABASE F&amp;B'!$C$3:$F$216,4,0)</f>
        <v>0</v>
      </c>
      <c r="AA319" s="19">
        <f t="shared" si="272"/>
        <v>0</v>
      </c>
      <c r="AB319" s="16"/>
      <c r="AC319" s="17">
        <f>VLOOKUP(AB319,'DATABASE F&amp;B'!$C$3:$F$216,2,0)</f>
        <v>0</v>
      </c>
      <c r="AD319" s="18"/>
      <c r="AE319" s="19">
        <f>VLOOKUP(AB319,'DATABASE F&amp;B'!$C$3:$F$216,4,0)</f>
        <v>0</v>
      </c>
      <c r="AF319" s="19">
        <f t="shared" si="273"/>
        <v>0</v>
      </c>
      <c r="AG319" s="16"/>
      <c r="AH319" s="17">
        <f>VLOOKUP(AG319,'DATABASE F&amp;B'!$C$3:$F$216,2,0)</f>
        <v>0</v>
      </c>
      <c r="AI319" s="18"/>
      <c r="AJ319" s="19">
        <f>VLOOKUP(AG319,'DATABASE F&amp;B'!$C$3:$F$216,4,0)</f>
        <v>0</v>
      </c>
      <c r="AK319" s="19">
        <f t="shared" si="274"/>
        <v>0</v>
      </c>
      <c r="AL319" s="16"/>
      <c r="AM319" s="17">
        <f>VLOOKUP(AL319,'DATABASE F&amp;B'!$C$3:$F$216,2,0)</f>
        <v>0</v>
      </c>
      <c r="AN319" s="18">
        <v>1</v>
      </c>
      <c r="AO319" s="19">
        <f>VLOOKUP(AL319,'DATABASE F&amp;B'!$C$3:$F$216,4,0)</f>
        <v>0</v>
      </c>
      <c r="AP319" s="19">
        <f t="shared" si="275"/>
        <v>0</v>
      </c>
      <c r="AQ319" s="16"/>
      <c r="AR319" s="17">
        <f>VLOOKUP(AQ319,'DATABASE F&amp;B'!$C$3:$F$216,2,0)</f>
        <v>0</v>
      </c>
      <c r="AS319" s="18">
        <v>1</v>
      </c>
      <c r="AT319" s="19">
        <f>VLOOKUP(AQ319,'DATABASE F&amp;B'!$C$3:$F$216,4,0)</f>
        <v>0</v>
      </c>
      <c r="AU319" s="19">
        <f t="shared" si="276"/>
        <v>0</v>
      </c>
      <c r="AV319" s="16"/>
      <c r="AW319" s="17">
        <f>VLOOKUP(AV319,'DATABASE F&amp;B'!$C$3:$F$216,2,0)</f>
        <v>0</v>
      </c>
      <c r="AX319" s="18"/>
      <c r="AY319" s="19">
        <f>VLOOKUP(AV319,'DATABASE F&amp;B'!$C$3:$F$216,4,0)</f>
        <v>0</v>
      </c>
      <c r="AZ319" s="19">
        <f t="shared" si="277"/>
        <v>0</v>
      </c>
      <c r="BA319" s="16"/>
      <c r="BB319" s="17">
        <f>VLOOKUP(BA319,'DATABASE F&amp;B'!$C$3:$F$216,2,0)</f>
        <v>0</v>
      </c>
      <c r="BC319" s="18"/>
      <c r="BD319" s="19">
        <f>VLOOKUP(BA319,'DATABASE F&amp;B'!$C$3:$F$216,4,0)</f>
        <v>0</v>
      </c>
      <c r="BE319" s="19">
        <f t="shared" si="278"/>
        <v>0</v>
      </c>
      <c r="BF319" s="16"/>
      <c r="BG319" s="17">
        <f>VLOOKUP(BF319,'DATABASE F&amp;B'!$C$3:$F$216,2,0)</f>
        <v>0</v>
      </c>
      <c r="BH319" s="18"/>
      <c r="BI319" s="19">
        <f>VLOOKUP(BF319,'DATABASE F&amp;B'!$C$3:$F$216,4,0)</f>
        <v>0</v>
      </c>
      <c r="BJ319" s="19">
        <f t="shared" si="279"/>
        <v>0</v>
      </c>
      <c r="BK319" s="16"/>
      <c r="BL319" s="17">
        <f>VLOOKUP(BK319,'DATABASE F&amp;B'!$C$3:$F$210,2,0)</f>
        <v>0</v>
      </c>
      <c r="BM319" s="18"/>
      <c r="BN319" s="19">
        <f>VLOOKUP(BK319,'DATABASE F&amp;B'!$C$3:$F$210,4,0)</f>
        <v>0</v>
      </c>
      <c r="BO319" s="19">
        <f t="shared" si="280"/>
        <v>0</v>
      </c>
      <c r="BP319" s="16"/>
      <c r="BQ319" s="17">
        <f>VLOOKUP(BP319,'DATABASE F&amp;B'!$C$3:$F$210,2,0)</f>
        <v>0</v>
      </c>
      <c r="BR319" s="18"/>
      <c r="BS319" s="19">
        <f>VLOOKUP(BP319,'DATABASE F&amp;B'!$C$3:$F$210,4,0)</f>
        <v>0</v>
      </c>
      <c r="BT319" s="19">
        <f t="shared" si="281"/>
        <v>0</v>
      </c>
      <c r="BU319" s="16"/>
      <c r="BV319" s="17">
        <f>VLOOKUP(BU319,'DATABASE F&amp;B'!$C$3:$F$210,2,0)</f>
        <v>0</v>
      </c>
      <c r="BW319" s="18"/>
      <c r="BX319" s="19">
        <f>VLOOKUP(BU319,'DATABASE F&amp;B'!$C$3:$F$210,4,0)</f>
        <v>0</v>
      </c>
      <c r="BY319" s="19">
        <f t="shared" si="282"/>
        <v>0</v>
      </c>
      <c r="BZ319" s="16"/>
      <c r="CA319" s="17">
        <f>VLOOKUP(BZ319,'DATABASE F&amp;B'!$C$3:$F$210,2,0)</f>
        <v>0</v>
      </c>
      <c r="CB319" s="18"/>
      <c r="CC319" s="19">
        <f>VLOOKUP(BZ319,'DATABASE F&amp;B'!$C$3:$F$210,4,0)</f>
        <v>0</v>
      </c>
      <c r="CD319" s="19">
        <f t="shared" si="283"/>
        <v>0</v>
      </c>
    </row>
    <row r="320" spans="1:82" ht="13.5" x14ac:dyDescent="0.25">
      <c r="A320" s="32" t="str">
        <f t="shared" si="264"/>
        <v>--20</v>
      </c>
      <c r="B320" s="22">
        <f t="shared" si="284"/>
        <v>316</v>
      </c>
      <c r="C320" s="22">
        <f t="shared" si="284"/>
        <v>316</v>
      </c>
      <c r="D320" s="34"/>
      <c r="E320" s="35"/>
      <c r="F320" s="35"/>
      <c r="G320" s="52"/>
      <c r="H320" s="36" t="str">
        <f t="shared" si="240"/>
        <v>RJ--316</v>
      </c>
      <c r="I320" s="36" t="str">
        <f t="shared" si="265"/>
        <v>--20</v>
      </c>
      <c r="J320" s="37" t="e">
        <f>VLOOKUP(D320,Laporan!$C$4:$D$34,2,0)</f>
        <v>#N/A</v>
      </c>
      <c r="K320" s="48"/>
      <c r="L320" s="13"/>
      <c r="M320" s="19">
        <f>SUMIF('DATABASE Room'!$B$3:$B$7,L320,'DATABASE Room'!$D$3:$D$7)</f>
        <v>0</v>
      </c>
      <c r="N320" s="13"/>
      <c r="O320" s="21">
        <f t="shared" si="266"/>
        <v>0</v>
      </c>
      <c r="P320" s="38"/>
      <c r="Q320" s="19">
        <f t="shared" si="267"/>
        <v>0</v>
      </c>
      <c r="R320" s="21">
        <f t="shared" si="268"/>
        <v>0</v>
      </c>
      <c r="S320" s="19">
        <f t="shared" si="269"/>
        <v>2</v>
      </c>
      <c r="T320" s="19">
        <f t="shared" si="270"/>
        <v>0</v>
      </c>
      <c r="U320" s="21">
        <f t="shared" si="271"/>
        <v>0</v>
      </c>
      <c r="V320" s="39"/>
      <c r="W320" s="16"/>
      <c r="X320" s="17">
        <f>VLOOKUP(W320,'DATABASE F&amp;B'!$C$3:$F$216,2,0)</f>
        <v>0</v>
      </c>
      <c r="Y320" s="18"/>
      <c r="Z320" s="19">
        <f>VLOOKUP(W320,'DATABASE F&amp;B'!$C$3:$F$216,4,0)</f>
        <v>0</v>
      </c>
      <c r="AA320" s="19">
        <f t="shared" si="272"/>
        <v>0</v>
      </c>
      <c r="AB320" s="16"/>
      <c r="AC320" s="17">
        <f>VLOOKUP(AB320,'DATABASE F&amp;B'!$C$3:$F$216,2,0)</f>
        <v>0</v>
      </c>
      <c r="AD320" s="18"/>
      <c r="AE320" s="19">
        <f>VLOOKUP(AB320,'DATABASE F&amp;B'!$C$3:$F$216,4,0)</f>
        <v>0</v>
      </c>
      <c r="AF320" s="19">
        <f t="shared" si="273"/>
        <v>0</v>
      </c>
      <c r="AG320" s="16"/>
      <c r="AH320" s="17">
        <f>VLOOKUP(AG320,'DATABASE F&amp;B'!$C$3:$F$216,2,0)</f>
        <v>0</v>
      </c>
      <c r="AI320" s="18"/>
      <c r="AJ320" s="19">
        <f>VLOOKUP(AG320,'DATABASE F&amp;B'!$C$3:$F$216,4,0)</f>
        <v>0</v>
      </c>
      <c r="AK320" s="19">
        <f t="shared" si="274"/>
        <v>0</v>
      </c>
      <c r="AL320" s="16"/>
      <c r="AM320" s="17">
        <f>VLOOKUP(AL320,'DATABASE F&amp;B'!$C$3:$F$216,2,0)</f>
        <v>0</v>
      </c>
      <c r="AN320" s="18">
        <v>1</v>
      </c>
      <c r="AO320" s="19">
        <f>VLOOKUP(AL320,'DATABASE F&amp;B'!$C$3:$F$216,4,0)</f>
        <v>0</v>
      </c>
      <c r="AP320" s="19">
        <f t="shared" si="275"/>
        <v>0</v>
      </c>
      <c r="AQ320" s="16"/>
      <c r="AR320" s="17">
        <f>VLOOKUP(AQ320,'DATABASE F&amp;B'!$C$3:$F$216,2,0)</f>
        <v>0</v>
      </c>
      <c r="AS320" s="18">
        <v>1</v>
      </c>
      <c r="AT320" s="19">
        <f>VLOOKUP(AQ320,'DATABASE F&amp;B'!$C$3:$F$216,4,0)</f>
        <v>0</v>
      </c>
      <c r="AU320" s="19">
        <f t="shared" si="276"/>
        <v>0</v>
      </c>
      <c r="AV320" s="16"/>
      <c r="AW320" s="17">
        <f>VLOOKUP(AV320,'DATABASE F&amp;B'!$C$3:$F$216,2,0)</f>
        <v>0</v>
      </c>
      <c r="AX320" s="18"/>
      <c r="AY320" s="19">
        <f>VLOOKUP(AV320,'DATABASE F&amp;B'!$C$3:$F$216,4,0)</f>
        <v>0</v>
      </c>
      <c r="AZ320" s="19">
        <f t="shared" si="277"/>
        <v>0</v>
      </c>
      <c r="BA320" s="16"/>
      <c r="BB320" s="17">
        <f>VLOOKUP(BA320,'DATABASE F&amp;B'!$C$3:$F$216,2,0)</f>
        <v>0</v>
      </c>
      <c r="BC320" s="18"/>
      <c r="BD320" s="19">
        <f>VLOOKUP(BA320,'DATABASE F&amp;B'!$C$3:$F$216,4,0)</f>
        <v>0</v>
      </c>
      <c r="BE320" s="19">
        <f t="shared" si="278"/>
        <v>0</v>
      </c>
      <c r="BF320" s="16"/>
      <c r="BG320" s="17">
        <f>VLOOKUP(BF320,'DATABASE F&amp;B'!$C$3:$F$216,2,0)</f>
        <v>0</v>
      </c>
      <c r="BH320" s="18"/>
      <c r="BI320" s="19">
        <f>VLOOKUP(BF320,'DATABASE F&amp;B'!$C$3:$F$216,4,0)</f>
        <v>0</v>
      </c>
      <c r="BJ320" s="19">
        <f t="shared" si="279"/>
        <v>0</v>
      </c>
      <c r="BK320" s="16"/>
      <c r="BL320" s="17">
        <f>VLOOKUP(BK320,'DATABASE F&amp;B'!$C$3:$F$210,2,0)</f>
        <v>0</v>
      </c>
      <c r="BM320" s="18"/>
      <c r="BN320" s="19">
        <f>VLOOKUP(BK320,'DATABASE F&amp;B'!$C$3:$F$210,4,0)</f>
        <v>0</v>
      </c>
      <c r="BO320" s="19">
        <f t="shared" si="280"/>
        <v>0</v>
      </c>
      <c r="BP320" s="16"/>
      <c r="BQ320" s="17">
        <f>VLOOKUP(BP320,'DATABASE F&amp;B'!$C$3:$F$210,2,0)</f>
        <v>0</v>
      </c>
      <c r="BR320" s="18"/>
      <c r="BS320" s="19">
        <f>VLOOKUP(BP320,'DATABASE F&amp;B'!$C$3:$F$210,4,0)</f>
        <v>0</v>
      </c>
      <c r="BT320" s="19">
        <f t="shared" si="281"/>
        <v>0</v>
      </c>
      <c r="BU320" s="16"/>
      <c r="BV320" s="17">
        <f>VLOOKUP(BU320,'DATABASE F&amp;B'!$C$3:$F$210,2,0)</f>
        <v>0</v>
      </c>
      <c r="BW320" s="18"/>
      <c r="BX320" s="19">
        <f>VLOOKUP(BU320,'DATABASE F&amp;B'!$C$3:$F$210,4,0)</f>
        <v>0</v>
      </c>
      <c r="BY320" s="19">
        <f t="shared" si="282"/>
        <v>0</v>
      </c>
      <c r="BZ320" s="16"/>
      <c r="CA320" s="17">
        <f>VLOOKUP(BZ320,'DATABASE F&amp;B'!$C$3:$F$210,2,0)</f>
        <v>0</v>
      </c>
      <c r="CB320" s="18"/>
      <c r="CC320" s="19">
        <f>VLOOKUP(BZ320,'DATABASE F&amp;B'!$C$3:$F$210,4,0)</f>
        <v>0</v>
      </c>
      <c r="CD320" s="19">
        <f t="shared" si="283"/>
        <v>0</v>
      </c>
    </row>
    <row r="321" spans="1:82" ht="13.5" x14ac:dyDescent="0.25">
      <c r="A321" s="32" t="str">
        <f t="shared" si="264"/>
        <v>--20</v>
      </c>
      <c r="B321" s="22">
        <f t="shared" si="284"/>
        <v>317</v>
      </c>
      <c r="C321" s="22">
        <f t="shared" si="284"/>
        <v>317</v>
      </c>
      <c r="D321" s="34"/>
      <c r="E321" s="35"/>
      <c r="F321" s="35"/>
      <c r="G321" s="52"/>
      <c r="H321" s="36" t="str">
        <f t="shared" si="240"/>
        <v>RJ--317</v>
      </c>
      <c r="I321" s="36" t="str">
        <f t="shared" si="265"/>
        <v>--20</v>
      </c>
      <c r="J321" s="37" t="e">
        <f>VLOOKUP(D321,Laporan!$C$4:$D$34,2,0)</f>
        <v>#N/A</v>
      </c>
      <c r="K321" s="48"/>
      <c r="L321" s="13"/>
      <c r="M321" s="19">
        <f>SUMIF('DATABASE Room'!$B$3:$B$7,L321,'DATABASE Room'!$D$3:$D$7)</f>
        <v>0</v>
      </c>
      <c r="N321" s="13"/>
      <c r="O321" s="21">
        <f t="shared" si="266"/>
        <v>0</v>
      </c>
      <c r="P321" s="38"/>
      <c r="Q321" s="19">
        <f t="shared" si="267"/>
        <v>0</v>
      </c>
      <c r="R321" s="21">
        <f t="shared" si="268"/>
        <v>0</v>
      </c>
      <c r="S321" s="19">
        <f t="shared" si="269"/>
        <v>2</v>
      </c>
      <c r="T321" s="19">
        <f t="shared" si="270"/>
        <v>0</v>
      </c>
      <c r="U321" s="21">
        <f t="shared" si="271"/>
        <v>0</v>
      </c>
      <c r="V321" s="39"/>
      <c r="W321" s="16"/>
      <c r="X321" s="17">
        <f>VLOOKUP(W321,'DATABASE F&amp;B'!$C$3:$F$216,2,0)</f>
        <v>0</v>
      </c>
      <c r="Y321" s="18"/>
      <c r="Z321" s="19">
        <f>VLOOKUP(W321,'DATABASE F&amp;B'!$C$3:$F$216,4,0)</f>
        <v>0</v>
      </c>
      <c r="AA321" s="19">
        <f t="shared" si="272"/>
        <v>0</v>
      </c>
      <c r="AB321" s="16"/>
      <c r="AC321" s="17">
        <f>VLOOKUP(AB321,'DATABASE F&amp;B'!$C$3:$F$216,2,0)</f>
        <v>0</v>
      </c>
      <c r="AD321" s="18"/>
      <c r="AE321" s="19">
        <f>VLOOKUP(AB321,'DATABASE F&amp;B'!$C$3:$F$216,4,0)</f>
        <v>0</v>
      </c>
      <c r="AF321" s="19">
        <f t="shared" si="273"/>
        <v>0</v>
      </c>
      <c r="AG321" s="16"/>
      <c r="AH321" s="17">
        <f>VLOOKUP(AG321,'DATABASE F&amp;B'!$C$3:$F$216,2,0)</f>
        <v>0</v>
      </c>
      <c r="AI321" s="18"/>
      <c r="AJ321" s="19">
        <f>VLOOKUP(AG321,'DATABASE F&amp;B'!$C$3:$F$216,4,0)</f>
        <v>0</v>
      </c>
      <c r="AK321" s="19">
        <f t="shared" si="274"/>
        <v>0</v>
      </c>
      <c r="AL321" s="16"/>
      <c r="AM321" s="17">
        <f>VLOOKUP(AL321,'DATABASE F&amp;B'!$C$3:$F$216,2,0)</f>
        <v>0</v>
      </c>
      <c r="AN321" s="18">
        <v>1</v>
      </c>
      <c r="AO321" s="19">
        <f>VLOOKUP(AL321,'DATABASE F&amp;B'!$C$3:$F$216,4,0)</f>
        <v>0</v>
      </c>
      <c r="AP321" s="19">
        <f t="shared" si="275"/>
        <v>0</v>
      </c>
      <c r="AQ321" s="16"/>
      <c r="AR321" s="17">
        <f>VLOOKUP(AQ321,'DATABASE F&amp;B'!$C$3:$F$216,2,0)</f>
        <v>0</v>
      </c>
      <c r="AS321" s="18">
        <v>1</v>
      </c>
      <c r="AT321" s="19">
        <f>VLOOKUP(AQ321,'DATABASE F&amp;B'!$C$3:$F$216,4,0)</f>
        <v>0</v>
      </c>
      <c r="AU321" s="19">
        <f t="shared" si="276"/>
        <v>0</v>
      </c>
      <c r="AV321" s="16"/>
      <c r="AW321" s="17">
        <f>VLOOKUP(AV321,'DATABASE F&amp;B'!$C$3:$F$216,2,0)</f>
        <v>0</v>
      </c>
      <c r="AX321" s="18"/>
      <c r="AY321" s="19">
        <f>VLOOKUP(AV321,'DATABASE F&amp;B'!$C$3:$F$216,4,0)</f>
        <v>0</v>
      </c>
      <c r="AZ321" s="19">
        <f t="shared" si="277"/>
        <v>0</v>
      </c>
      <c r="BA321" s="16"/>
      <c r="BB321" s="17">
        <f>VLOOKUP(BA321,'DATABASE F&amp;B'!$C$3:$F$216,2,0)</f>
        <v>0</v>
      </c>
      <c r="BC321" s="18"/>
      <c r="BD321" s="19">
        <f>VLOOKUP(BA321,'DATABASE F&amp;B'!$C$3:$F$216,4,0)</f>
        <v>0</v>
      </c>
      <c r="BE321" s="19">
        <f t="shared" si="278"/>
        <v>0</v>
      </c>
      <c r="BF321" s="16"/>
      <c r="BG321" s="17">
        <f>VLOOKUP(BF321,'DATABASE F&amp;B'!$C$3:$F$216,2,0)</f>
        <v>0</v>
      </c>
      <c r="BH321" s="18"/>
      <c r="BI321" s="19">
        <f>VLOOKUP(BF321,'DATABASE F&amp;B'!$C$3:$F$216,4,0)</f>
        <v>0</v>
      </c>
      <c r="BJ321" s="19">
        <f t="shared" si="279"/>
        <v>0</v>
      </c>
      <c r="BK321" s="16"/>
      <c r="BL321" s="17">
        <f>VLOOKUP(BK321,'DATABASE F&amp;B'!$C$3:$F$210,2,0)</f>
        <v>0</v>
      </c>
      <c r="BM321" s="18"/>
      <c r="BN321" s="19">
        <f>VLOOKUP(BK321,'DATABASE F&amp;B'!$C$3:$F$210,4,0)</f>
        <v>0</v>
      </c>
      <c r="BO321" s="19">
        <f t="shared" si="280"/>
        <v>0</v>
      </c>
      <c r="BP321" s="16"/>
      <c r="BQ321" s="17">
        <f>VLOOKUP(BP321,'DATABASE F&amp;B'!$C$3:$F$210,2,0)</f>
        <v>0</v>
      </c>
      <c r="BR321" s="18"/>
      <c r="BS321" s="19">
        <f>VLOOKUP(BP321,'DATABASE F&amp;B'!$C$3:$F$210,4,0)</f>
        <v>0</v>
      </c>
      <c r="BT321" s="19">
        <f t="shared" si="281"/>
        <v>0</v>
      </c>
      <c r="BU321" s="16"/>
      <c r="BV321" s="17">
        <f>VLOOKUP(BU321,'DATABASE F&amp;B'!$C$3:$F$210,2,0)</f>
        <v>0</v>
      </c>
      <c r="BW321" s="18"/>
      <c r="BX321" s="19">
        <f>VLOOKUP(BU321,'DATABASE F&amp;B'!$C$3:$F$210,4,0)</f>
        <v>0</v>
      </c>
      <c r="BY321" s="19">
        <f t="shared" si="282"/>
        <v>0</v>
      </c>
      <c r="BZ321" s="16"/>
      <c r="CA321" s="17">
        <f>VLOOKUP(BZ321,'DATABASE F&amp;B'!$C$3:$F$210,2,0)</f>
        <v>0</v>
      </c>
      <c r="CB321" s="18"/>
      <c r="CC321" s="19">
        <f>VLOOKUP(BZ321,'DATABASE F&amp;B'!$C$3:$F$210,4,0)</f>
        <v>0</v>
      </c>
      <c r="CD321" s="19">
        <f t="shared" si="283"/>
        <v>0</v>
      </c>
    </row>
    <row r="322" spans="1:82" ht="13.5" x14ac:dyDescent="0.25">
      <c r="A322" s="32" t="str">
        <f t="shared" si="264"/>
        <v>--20</v>
      </c>
      <c r="B322" s="22">
        <f t="shared" si="284"/>
        <v>318</v>
      </c>
      <c r="C322" s="22">
        <f t="shared" si="284"/>
        <v>318</v>
      </c>
      <c r="D322" s="34"/>
      <c r="E322" s="35"/>
      <c r="F322" s="35"/>
      <c r="G322" s="52"/>
      <c r="H322" s="36" t="str">
        <f t="shared" si="240"/>
        <v>RJ--318</v>
      </c>
      <c r="I322" s="36" t="str">
        <f t="shared" si="265"/>
        <v>--20</v>
      </c>
      <c r="J322" s="37" t="e">
        <f>VLOOKUP(D322,Laporan!$C$4:$D$34,2,0)</f>
        <v>#N/A</v>
      </c>
      <c r="K322" s="48"/>
      <c r="L322" s="13"/>
      <c r="M322" s="19">
        <f>SUMIF('DATABASE Room'!$B$3:$B$7,L322,'DATABASE Room'!$D$3:$D$7)</f>
        <v>0</v>
      </c>
      <c r="N322" s="13"/>
      <c r="O322" s="21">
        <f t="shared" si="266"/>
        <v>0</v>
      </c>
      <c r="P322" s="38"/>
      <c r="Q322" s="19">
        <f t="shared" si="267"/>
        <v>0</v>
      </c>
      <c r="R322" s="21">
        <f t="shared" si="268"/>
        <v>0</v>
      </c>
      <c r="S322" s="19">
        <f t="shared" si="269"/>
        <v>2</v>
      </c>
      <c r="T322" s="19">
        <f t="shared" si="270"/>
        <v>0</v>
      </c>
      <c r="U322" s="21">
        <f t="shared" si="271"/>
        <v>0</v>
      </c>
      <c r="V322" s="39"/>
      <c r="W322" s="16"/>
      <c r="X322" s="17">
        <f>VLOOKUP(W322,'DATABASE F&amp;B'!$C$3:$F$216,2,0)</f>
        <v>0</v>
      </c>
      <c r="Y322" s="18"/>
      <c r="Z322" s="19">
        <f>VLOOKUP(W322,'DATABASE F&amp;B'!$C$3:$F$216,4,0)</f>
        <v>0</v>
      </c>
      <c r="AA322" s="19">
        <f t="shared" si="272"/>
        <v>0</v>
      </c>
      <c r="AB322" s="16"/>
      <c r="AC322" s="17">
        <f>VLOOKUP(AB322,'DATABASE F&amp;B'!$C$3:$F$216,2,0)</f>
        <v>0</v>
      </c>
      <c r="AD322" s="18"/>
      <c r="AE322" s="19">
        <f>VLOOKUP(AB322,'DATABASE F&amp;B'!$C$3:$F$216,4,0)</f>
        <v>0</v>
      </c>
      <c r="AF322" s="19">
        <f t="shared" si="273"/>
        <v>0</v>
      </c>
      <c r="AG322" s="16"/>
      <c r="AH322" s="17">
        <f>VLOOKUP(AG322,'DATABASE F&amp;B'!$C$3:$F$216,2,0)</f>
        <v>0</v>
      </c>
      <c r="AI322" s="18"/>
      <c r="AJ322" s="19">
        <f>VLOOKUP(AG322,'DATABASE F&amp;B'!$C$3:$F$216,4,0)</f>
        <v>0</v>
      </c>
      <c r="AK322" s="19">
        <f t="shared" si="274"/>
        <v>0</v>
      </c>
      <c r="AL322" s="16"/>
      <c r="AM322" s="17">
        <f>VLOOKUP(AL322,'DATABASE F&amp;B'!$C$3:$F$216,2,0)</f>
        <v>0</v>
      </c>
      <c r="AN322" s="18">
        <v>1</v>
      </c>
      <c r="AO322" s="19">
        <f>VLOOKUP(AL322,'DATABASE F&amp;B'!$C$3:$F$216,4,0)</f>
        <v>0</v>
      </c>
      <c r="AP322" s="19">
        <f t="shared" si="275"/>
        <v>0</v>
      </c>
      <c r="AQ322" s="16"/>
      <c r="AR322" s="17">
        <f>VLOOKUP(AQ322,'DATABASE F&amp;B'!$C$3:$F$216,2,0)</f>
        <v>0</v>
      </c>
      <c r="AS322" s="18">
        <v>1</v>
      </c>
      <c r="AT322" s="19">
        <f>VLOOKUP(AQ322,'DATABASE F&amp;B'!$C$3:$F$216,4,0)</f>
        <v>0</v>
      </c>
      <c r="AU322" s="19">
        <f t="shared" si="276"/>
        <v>0</v>
      </c>
      <c r="AV322" s="16"/>
      <c r="AW322" s="17">
        <f>VLOOKUP(AV322,'DATABASE F&amp;B'!$C$3:$F$216,2,0)</f>
        <v>0</v>
      </c>
      <c r="AX322" s="18"/>
      <c r="AY322" s="19">
        <f>VLOOKUP(AV322,'DATABASE F&amp;B'!$C$3:$F$216,4,0)</f>
        <v>0</v>
      </c>
      <c r="AZ322" s="19">
        <f t="shared" si="277"/>
        <v>0</v>
      </c>
      <c r="BA322" s="16"/>
      <c r="BB322" s="17">
        <f>VLOOKUP(BA322,'DATABASE F&amp;B'!$C$3:$F$216,2,0)</f>
        <v>0</v>
      </c>
      <c r="BC322" s="18"/>
      <c r="BD322" s="19">
        <f>VLOOKUP(BA322,'DATABASE F&amp;B'!$C$3:$F$216,4,0)</f>
        <v>0</v>
      </c>
      <c r="BE322" s="19">
        <f t="shared" si="278"/>
        <v>0</v>
      </c>
      <c r="BF322" s="16"/>
      <c r="BG322" s="17">
        <f>VLOOKUP(BF322,'DATABASE F&amp;B'!$C$3:$F$216,2,0)</f>
        <v>0</v>
      </c>
      <c r="BH322" s="18"/>
      <c r="BI322" s="19">
        <f>VLOOKUP(BF322,'DATABASE F&amp;B'!$C$3:$F$216,4,0)</f>
        <v>0</v>
      </c>
      <c r="BJ322" s="19">
        <f t="shared" si="279"/>
        <v>0</v>
      </c>
      <c r="BK322" s="16"/>
      <c r="BL322" s="17">
        <f>VLOOKUP(BK322,'DATABASE F&amp;B'!$C$3:$F$210,2,0)</f>
        <v>0</v>
      </c>
      <c r="BM322" s="18"/>
      <c r="BN322" s="19">
        <f>VLOOKUP(BK322,'DATABASE F&amp;B'!$C$3:$F$210,4,0)</f>
        <v>0</v>
      </c>
      <c r="BO322" s="19">
        <f t="shared" si="280"/>
        <v>0</v>
      </c>
      <c r="BP322" s="16"/>
      <c r="BQ322" s="17">
        <f>VLOOKUP(BP322,'DATABASE F&amp;B'!$C$3:$F$210,2,0)</f>
        <v>0</v>
      </c>
      <c r="BR322" s="18"/>
      <c r="BS322" s="19">
        <f>VLOOKUP(BP322,'DATABASE F&amp;B'!$C$3:$F$210,4,0)</f>
        <v>0</v>
      </c>
      <c r="BT322" s="19">
        <f t="shared" si="281"/>
        <v>0</v>
      </c>
      <c r="BU322" s="16"/>
      <c r="BV322" s="17">
        <f>VLOOKUP(BU322,'DATABASE F&amp;B'!$C$3:$F$210,2,0)</f>
        <v>0</v>
      </c>
      <c r="BW322" s="18"/>
      <c r="BX322" s="19">
        <f>VLOOKUP(BU322,'DATABASE F&amp;B'!$C$3:$F$210,4,0)</f>
        <v>0</v>
      </c>
      <c r="BY322" s="19">
        <f t="shared" si="282"/>
        <v>0</v>
      </c>
      <c r="BZ322" s="16"/>
      <c r="CA322" s="17">
        <f>VLOOKUP(BZ322,'DATABASE F&amp;B'!$C$3:$F$210,2,0)</f>
        <v>0</v>
      </c>
      <c r="CB322" s="18"/>
      <c r="CC322" s="19">
        <f>VLOOKUP(BZ322,'DATABASE F&amp;B'!$C$3:$F$210,4,0)</f>
        <v>0</v>
      </c>
      <c r="CD322" s="19">
        <f t="shared" si="283"/>
        <v>0</v>
      </c>
    </row>
    <row r="323" spans="1:82" ht="13.5" x14ac:dyDescent="0.25">
      <c r="A323" s="32" t="str">
        <f t="shared" si="264"/>
        <v>--20</v>
      </c>
      <c r="B323" s="22">
        <f t="shared" si="284"/>
        <v>319</v>
      </c>
      <c r="C323" s="22">
        <f t="shared" si="284"/>
        <v>319</v>
      </c>
      <c r="D323" s="34"/>
      <c r="E323" s="35"/>
      <c r="F323" s="35"/>
      <c r="G323" s="52"/>
      <c r="H323" s="36" t="str">
        <f t="shared" si="240"/>
        <v>RJ--319</v>
      </c>
      <c r="I323" s="36" t="str">
        <f t="shared" si="265"/>
        <v>--20</v>
      </c>
      <c r="J323" s="37" t="e">
        <f>VLOOKUP(D323,Laporan!$C$4:$D$34,2,0)</f>
        <v>#N/A</v>
      </c>
      <c r="K323" s="48"/>
      <c r="L323" s="13"/>
      <c r="M323" s="19">
        <f>SUMIF('DATABASE Room'!$B$3:$B$7,L323,'DATABASE Room'!$D$3:$D$7)</f>
        <v>0</v>
      </c>
      <c r="N323" s="13"/>
      <c r="O323" s="21">
        <f t="shared" si="266"/>
        <v>0</v>
      </c>
      <c r="P323" s="38"/>
      <c r="Q323" s="19">
        <f t="shared" si="267"/>
        <v>0</v>
      </c>
      <c r="R323" s="21">
        <f t="shared" si="268"/>
        <v>0</v>
      </c>
      <c r="S323" s="19">
        <f t="shared" si="269"/>
        <v>2</v>
      </c>
      <c r="T323" s="19">
        <f t="shared" si="270"/>
        <v>0</v>
      </c>
      <c r="U323" s="21">
        <f t="shared" si="271"/>
        <v>0</v>
      </c>
      <c r="V323" s="39"/>
      <c r="W323" s="16"/>
      <c r="X323" s="17">
        <f>VLOOKUP(W323,'DATABASE F&amp;B'!$C$3:$F$216,2,0)</f>
        <v>0</v>
      </c>
      <c r="Y323" s="18"/>
      <c r="Z323" s="19">
        <f>VLOOKUP(W323,'DATABASE F&amp;B'!$C$3:$F$216,4,0)</f>
        <v>0</v>
      </c>
      <c r="AA323" s="19">
        <f t="shared" si="272"/>
        <v>0</v>
      </c>
      <c r="AB323" s="16"/>
      <c r="AC323" s="17">
        <f>VLOOKUP(AB323,'DATABASE F&amp;B'!$C$3:$F$216,2,0)</f>
        <v>0</v>
      </c>
      <c r="AD323" s="18"/>
      <c r="AE323" s="19">
        <f>VLOOKUP(AB323,'DATABASE F&amp;B'!$C$3:$F$216,4,0)</f>
        <v>0</v>
      </c>
      <c r="AF323" s="19">
        <f t="shared" si="273"/>
        <v>0</v>
      </c>
      <c r="AG323" s="16"/>
      <c r="AH323" s="17">
        <f>VLOOKUP(AG323,'DATABASE F&amp;B'!$C$3:$F$216,2,0)</f>
        <v>0</v>
      </c>
      <c r="AI323" s="18"/>
      <c r="AJ323" s="19">
        <f>VLOOKUP(AG323,'DATABASE F&amp;B'!$C$3:$F$216,4,0)</f>
        <v>0</v>
      </c>
      <c r="AK323" s="19">
        <f t="shared" si="274"/>
        <v>0</v>
      </c>
      <c r="AL323" s="16"/>
      <c r="AM323" s="17">
        <f>VLOOKUP(AL323,'DATABASE F&amp;B'!$C$3:$F$216,2,0)</f>
        <v>0</v>
      </c>
      <c r="AN323" s="18">
        <v>1</v>
      </c>
      <c r="AO323" s="19">
        <f>VLOOKUP(AL323,'DATABASE F&amp;B'!$C$3:$F$216,4,0)</f>
        <v>0</v>
      </c>
      <c r="AP323" s="19">
        <f t="shared" si="275"/>
        <v>0</v>
      </c>
      <c r="AQ323" s="16"/>
      <c r="AR323" s="17">
        <f>VLOOKUP(AQ323,'DATABASE F&amp;B'!$C$3:$F$216,2,0)</f>
        <v>0</v>
      </c>
      <c r="AS323" s="18">
        <v>1</v>
      </c>
      <c r="AT323" s="19">
        <f>VLOOKUP(AQ323,'DATABASE F&amp;B'!$C$3:$F$216,4,0)</f>
        <v>0</v>
      </c>
      <c r="AU323" s="19">
        <f t="shared" si="276"/>
        <v>0</v>
      </c>
      <c r="AV323" s="16"/>
      <c r="AW323" s="17">
        <f>VLOOKUP(AV323,'DATABASE F&amp;B'!$C$3:$F$216,2,0)</f>
        <v>0</v>
      </c>
      <c r="AX323" s="18"/>
      <c r="AY323" s="19">
        <f>VLOOKUP(AV323,'DATABASE F&amp;B'!$C$3:$F$216,4,0)</f>
        <v>0</v>
      </c>
      <c r="AZ323" s="19">
        <f t="shared" si="277"/>
        <v>0</v>
      </c>
      <c r="BA323" s="16"/>
      <c r="BB323" s="17">
        <f>VLOOKUP(BA323,'DATABASE F&amp;B'!$C$3:$F$216,2,0)</f>
        <v>0</v>
      </c>
      <c r="BC323" s="18"/>
      <c r="BD323" s="19">
        <f>VLOOKUP(BA323,'DATABASE F&amp;B'!$C$3:$F$216,4,0)</f>
        <v>0</v>
      </c>
      <c r="BE323" s="19">
        <f t="shared" si="278"/>
        <v>0</v>
      </c>
      <c r="BF323" s="16"/>
      <c r="BG323" s="17">
        <f>VLOOKUP(BF323,'DATABASE F&amp;B'!$C$3:$F$216,2,0)</f>
        <v>0</v>
      </c>
      <c r="BH323" s="18"/>
      <c r="BI323" s="19">
        <f>VLOOKUP(BF323,'DATABASE F&amp;B'!$C$3:$F$216,4,0)</f>
        <v>0</v>
      </c>
      <c r="BJ323" s="19">
        <f t="shared" si="279"/>
        <v>0</v>
      </c>
      <c r="BK323" s="16"/>
      <c r="BL323" s="17">
        <f>VLOOKUP(BK323,'DATABASE F&amp;B'!$C$3:$F$210,2,0)</f>
        <v>0</v>
      </c>
      <c r="BM323" s="18"/>
      <c r="BN323" s="19">
        <f>VLOOKUP(BK323,'DATABASE F&amp;B'!$C$3:$F$210,4,0)</f>
        <v>0</v>
      </c>
      <c r="BO323" s="19">
        <f t="shared" si="280"/>
        <v>0</v>
      </c>
      <c r="BP323" s="16"/>
      <c r="BQ323" s="17">
        <f>VLOOKUP(BP323,'DATABASE F&amp;B'!$C$3:$F$210,2,0)</f>
        <v>0</v>
      </c>
      <c r="BR323" s="18"/>
      <c r="BS323" s="19">
        <f>VLOOKUP(BP323,'DATABASE F&amp;B'!$C$3:$F$210,4,0)</f>
        <v>0</v>
      </c>
      <c r="BT323" s="19">
        <f t="shared" si="281"/>
        <v>0</v>
      </c>
      <c r="BU323" s="16"/>
      <c r="BV323" s="17">
        <f>VLOOKUP(BU323,'DATABASE F&amp;B'!$C$3:$F$210,2,0)</f>
        <v>0</v>
      </c>
      <c r="BW323" s="18"/>
      <c r="BX323" s="19">
        <f>VLOOKUP(BU323,'DATABASE F&amp;B'!$C$3:$F$210,4,0)</f>
        <v>0</v>
      </c>
      <c r="BY323" s="19">
        <f t="shared" si="282"/>
        <v>0</v>
      </c>
      <c r="BZ323" s="16"/>
      <c r="CA323" s="17">
        <f>VLOOKUP(BZ323,'DATABASE F&amp;B'!$C$3:$F$210,2,0)</f>
        <v>0</v>
      </c>
      <c r="CB323" s="18"/>
      <c r="CC323" s="19">
        <f>VLOOKUP(BZ323,'DATABASE F&amp;B'!$C$3:$F$210,4,0)</f>
        <v>0</v>
      </c>
      <c r="CD323" s="19">
        <f t="shared" si="283"/>
        <v>0</v>
      </c>
    </row>
    <row r="324" spans="1:82" ht="13.5" x14ac:dyDescent="0.25">
      <c r="A324" s="32" t="str">
        <f t="shared" si="264"/>
        <v>--20</v>
      </c>
      <c r="B324" s="22">
        <f t="shared" si="284"/>
        <v>320</v>
      </c>
      <c r="C324" s="22">
        <f t="shared" si="284"/>
        <v>320</v>
      </c>
      <c r="D324" s="34"/>
      <c r="E324" s="35"/>
      <c r="F324" s="35"/>
      <c r="G324" s="52"/>
      <c r="H324" s="36" t="str">
        <f t="shared" si="240"/>
        <v>RJ--320</v>
      </c>
      <c r="I324" s="36" t="str">
        <f t="shared" si="265"/>
        <v>--20</v>
      </c>
      <c r="J324" s="37" t="e">
        <f>VLOOKUP(D324,Laporan!$C$4:$D$34,2,0)</f>
        <v>#N/A</v>
      </c>
      <c r="K324" s="48"/>
      <c r="L324" s="13"/>
      <c r="M324" s="19">
        <f>SUMIF('DATABASE Room'!$B$3:$B$7,L324,'DATABASE Room'!$D$3:$D$7)</f>
        <v>0</v>
      </c>
      <c r="N324" s="13"/>
      <c r="O324" s="21">
        <f t="shared" si="266"/>
        <v>0</v>
      </c>
      <c r="P324" s="38"/>
      <c r="Q324" s="19">
        <f t="shared" si="267"/>
        <v>0</v>
      </c>
      <c r="R324" s="21">
        <f t="shared" si="268"/>
        <v>0</v>
      </c>
      <c r="S324" s="19">
        <f t="shared" si="269"/>
        <v>2</v>
      </c>
      <c r="T324" s="19">
        <f t="shared" si="270"/>
        <v>0</v>
      </c>
      <c r="U324" s="21">
        <f t="shared" si="271"/>
        <v>0</v>
      </c>
      <c r="V324" s="39"/>
      <c r="W324" s="16"/>
      <c r="X324" s="17">
        <f>VLOOKUP(W324,'DATABASE F&amp;B'!$C$3:$F$216,2,0)</f>
        <v>0</v>
      </c>
      <c r="Y324" s="18"/>
      <c r="Z324" s="19">
        <f>VLOOKUP(W324,'DATABASE F&amp;B'!$C$3:$F$216,4,0)</f>
        <v>0</v>
      </c>
      <c r="AA324" s="19">
        <f t="shared" si="272"/>
        <v>0</v>
      </c>
      <c r="AB324" s="16"/>
      <c r="AC324" s="17">
        <f>VLOOKUP(AB324,'DATABASE F&amp;B'!$C$3:$F$216,2,0)</f>
        <v>0</v>
      </c>
      <c r="AD324" s="18"/>
      <c r="AE324" s="19">
        <f>VLOOKUP(AB324,'DATABASE F&amp;B'!$C$3:$F$216,4,0)</f>
        <v>0</v>
      </c>
      <c r="AF324" s="19">
        <f t="shared" si="273"/>
        <v>0</v>
      </c>
      <c r="AG324" s="16"/>
      <c r="AH324" s="17">
        <f>VLOOKUP(AG324,'DATABASE F&amp;B'!$C$3:$F$216,2,0)</f>
        <v>0</v>
      </c>
      <c r="AI324" s="18"/>
      <c r="AJ324" s="19">
        <f>VLOOKUP(AG324,'DATABASE F&amp;B'!$C$3:$F$216,4,0)</f>
        <v>0</v>
      </c>
      <c r="AK324" s="19">
        <f t="shared" si="274"/>
        <v>0</v>
      </c>
      <c r="AL324" s="16"/>
      <c r="AM324" s="17">
        <f>VLOOKUP(AL324,'DATABASE F&amp;B'!$C$3:$F$216,2,0)</f>
        <v>0</v>
      </c>
      <c r="AN324" s="18">
        <v>1</v>
      </c>
      <c r="AO324" s="19">
        <f>VLOOKUP(AL324,'DATABASE F&amp;B'!$C$3:$F$216,4,0)</f>
        <v>0</v>
      </c>
      <c r="AP324" s="19">
        <f t="shared" si="275"/>
        <v>0</v>
      </c>
      <c r="AQ324" s="16"/>
      <c r="AR324" s="17">
        <f>VLOOKUP(AQ324,'DATABASE F&amp;B'!$C$3:$F$216,2,0)</f>
        <v>0</v>
      </c>
      <c r="AS324" s="18">
        <v>1</v>
      </c>
      <c r="AT324" s="19">
        <f>VLOOKUP(AQ324,'DATABASE F&amp;B'!$C$3:$F$216,4,0)</f>
        <v>0</v>
      </c>
      <c r="AU324" s="19">
        <f t="shared" si="276"/>
        <v>0</v>
      </c>
      <c r="AV324" s="16"/>
      <c r="AW324" s="17">
        <f>VLOOKUP(AV324,'DATABASE F&amp;B'!$C$3:$F$216,2,0)</f>
        <v>0</v>
      </c>
      <c r="AX324" s="18"/>
      <c r="AY324" s="19">
        <f>VLOOKUP(AV324,'DATABASE F&amp;B'!$C$3:$F$216,4,0)</f>
        <v>0</v>
      </c>
      <c r="AZ324" s="19">
        <f t="shared" si="277"/>
        <v>0</v>
      </c>
      <c r="BA324" s="16"/>
      <c r="BB324" s="17">
        <f>VLOOKUP(BA324,'DATABASE F&amp;B'!$C$3:$F$216,2,0)</f>
        <v>0</v>
      </c>
      <c r="BC324" s="18"/>
      <c r="BD324" s="19">
        <f>VLOOKUP(BA324,'DATABASE F&amp;B'!$C$3:$F$216,4,0)</f>
        <v>0</v>
      </c>
      <c r="BE324" s="19">
        <f t="shared" si="278"/>
        <v>0</v>
      </c>
      <c r="BF324" s="16"/>
      <c r="BG324" s="17">
        <f>VLOOKUP(BF324,'DATABASE F&amp;B'!$C$3:$F$216,2,0)</f>
        <v>0</v>
      </c>
      <c r="BH324" s="18"/>
      <c r="BI324" s="19">
        <f>VLOOKUP(BF324,'DATABASE F&amp;B'!$C$3:$F$216,4,0)</f>
        <v>0</v>
      </c>
      <c r="BJ324" s="19">
        <f t="shared" si="279"/>
        <v>0</v>
      </c>
      <c r="BK324" s="16"/>
      <c r="BL324" s="17">
        <f>VLOOKUP(BK324,'DATABASE F&amp;B'!$C$3:$F$210,2,0)</f>
        <v>0</v>
      </c>
      <c r="BM324" s="18"/>
      <c r="BN324" s="19">
        <f>VLOOKUP(BK324,'DATABASE F&amp;B'!$C$3:$F$210,4,0)</f>
        <v>0</v>
      </c>
      <c r="BO324" s="19">
        <f t="shared" si="280"/>
        <v>0</v>
      </c>
      <c r="BP324" s="16"/>
      <c r="BQ324" s="17">
        <f>VLOOKUP(BP324,'DATABASE F&amp;B'!$C$3:$F$210,2,0)</f>
        <v>0</v>
      </c>
      <c r="BR324" s="18"/>
      <c r="BS324" s="19">
        <f>VLOOKUP(BP324,'DATABASE F&amp;B'!$C$3:$F$210,4,0)</f>
        <v>0</v>
      </c>
      <c r="BT324" s="19">
        <f t="shared" si="281"/>
        <v>0</v>
      </c>
      <c r="BU324" s="16"/>
      <c r="BV324" s="17">
        <f>VLOOKUP(BU324,'DATABASE F&amp;B'!$C$3:$F$210,2,0)</f>
        <v>0</v>
      </c>
      <c r="BW324" s="18"/>
      <c r="BX324" s="19">
        <f>VLOOKUP(BU324,'DATABASE F&amp;B'!$C$3:$F$210,4,0)</f>
        <v>0</v>
      </c>
      <c r="BY324" s="19">
        <f t="shared" si="282"/>
        <v>0</v>
      </c>
      <c r="BZ324" s="16"/>
      <c r="CA324" s="17">
        <f>VLOOKUP(BZ324,'DATABASE F&amp;B'!$C$3:$F$210,2,0)</f>
        <v>0</v>
      </c>
      <c r="CB324" s="18"/>
      <c r="CC324" s="19">
        <f>VLOOKUP(BZ324,'DATABASE F&amp;B'!$C$3:$F$210,4,0)</f>
        <v>0</v>
      </c>
      <c r="CD324" s="19">
        <f t="shared" si="283"/>
        <v>0</v>
      </c>
    </row>
    <row r="325" spans="1:82" ht="13.5" x14ac:dyDescent="0.25">
      <c r="A325" s="32" t="str">
        <f t="shared" si="264"/>
        <v>--20</v>
      </c>
      <c r="B325" s="22">
        <f t="shared" si="284"/>
        <v>321</v>
      </c>
      <c r="C325" s="22">
        <f t="shared" si="284"/>
        <v>321</v>
      </c>
      <c r="D325" s="34"/>
      <c r="E325" s="35"/>
      <c r="F325" s="35"/>
      <c r="G325" s="52"/>
      <c r="H325" s="36" t="str">
        <f t="shared" si="240"/>
        <v>RJ--321</v>
      </c>
      <c r="I325" s="36" t="str">
        <f t="shared" si="265"/>
        <v>--20</v>
      </c>
      <c r="J325" s="37" t="e">
        <f>VLOOKUP(D325,Laporan!$C$4:$D$34,2,0)</f>
        <v>#N/A</v>
      </c>
      <c r="K325" s="48"/>
      <c r="L325" s="13"/>
      <c r="M325" s="19">
        <f>SUMIF('DATABASE Room'!$B$3:$B$7,L325,'DATABASE Room'!$D$3:$D$7)</f>
        <v>0</v>
      </c>
      <c r="N325" s="13"/>
      <c r="O325" s="21">
        <f t="shared" si="266"/>
        <v>0</v>
      </c>
      <c r="P325" s="38"/>
      <c r="Q325" s="19">
        <f t="shared" si="267"/>
        <v>0</v>
      </c>
      <c r="R325" s="21">
        <f t="shared" si="268"/>
        <v>0</v>
      </c>
      <c r="S325" s="19">
        <f t="shared" si="269"/>
        <v>2</v>
      </c>
      <c r="T325" s="19">
        <f t="shared" si="270"/>
        <v>0</v>
      </c>
      <c r="U325" s="21">
        <f t="shared" si="271"/>
        <v>0</v>
      </c>
      <c r="V325" s="39"/>
      <c r="W325" s="16"/>
      <c r="X325" s="17">
        <f>VLOOKUP(W325,'DATABASE F&amp;B'!$C$3:$F$216,2,0)</f>
        <v>0</v>
      </c>
      <c r="Y325" s="18"/>
      <c r="Z325" s="19">
        <f>VLOOKUP(W325,'DATABASE F&amp;B'!$C$3:$F$216,4,0)</f>
        <v>0</v>
      </c>
      <c r="AA325" s="19">
        <f t="shared" si="272"/>
        <v>0</v>
      </c>
      <c r="AB325" s="16"/>
      <c r="AC325" s="17">
        <f>VLOOKUP(AB325,'DATABASE F&amp;B'!$C$3:$F$216,2,0)</f>
        <v>0</v>
      </c>
      <c r="AD325" s="18"/>
      <c r="AE325" s="19">
        <f>VLOOKUP(AB325,'DATABASE F&amp;B'!$C$3:$F$216,4,0)</f>
        <v>0</v>
      </c>
      <c r="AF325" s="19">
        <f t="shared" si="273"/>
        <v>0</v>
      </c>
      <c r="AG325" s="16"/>
      <c r="AH325" s="17">
        <f>VLOOKUP(AG325,'DATABASE F&amp;B'!$C$3:$F$216,2,0)</f>
        <v>0</v>
      </c>
      <c r="AI325" s="18"/>
      <c r="AJ325" s="19">
        <f>VLOOKUP(AG325,'DATABASE F&amp;B'!$C$3:$F$216,4,0)</f>
        <v>0</v>
      </c>
      <c r="AK325" s="19">
        <f t="shared" si="274"/>
        <v>0</v>
      </c>
      <c r="AL325" s="16"/>
      <c r="AM325" s="17">
        <f>VLOOKUP(AL325,'DATABASE F&amp;B'!$C$3:$F$216,2,0)</f>
        <v>0</v>
      </c>
      <c r="AN325" s="18">
        <v>1</v>
      </c>
      <c r="AO325" s="19">
        <f>VLOOKUP(AL325,'DATABASE F&amp;B'!$C$3:$F$216,4,0)</f>
        <v>0</v>
      </c>
      <c r="AP325" s="19">
        <f t="shared" si="275"/>
        <v>0</v>
      </c>
      <c r="AQ325" s="16"/>
      <c r="AR325" s="17">
        <f>VLOOKUP(AQ325,'DATABASE F&amp;B'!$C$3:$F$216,2,0)</f>
        <v>0</v>
      </c>
      <c r="AS325" s="18">
        <v>1</v>
      </c>
      <c r="AT325" s="19">
        <f>VLOOKUP(AQ325,'DATABASE F&amp;B'!$C$3:$F$216,4,0)</f>
        <v>0</v>
      </c>
      <c r="AU325" s="19">
        <f t="shared" si="276"/>
        <v>0</v>
      </c>
      <c r="AV325" s="16"/>
      <c r="AW325" s="17">
        <f>VLOOKUP(AV325,'DATABASE F&amp;B'!$C$3:$F$216,2,0)</f>
        <v>0</v>
      </c>
      <c r="AX325" s="18"/>
      <c r="AY325" s="19">
        <f>VLOOKUP(AV325,'DATABASE F&amp;B'!$C$3:$F$216,4,0)</f>
        <v>0</v>
      </c>
      <c r="AZ325" s="19">
        <f t="shared" si="277"/>
        <v>0</v>
      </c>
      <c r="BA325" s="16"/>
      <c r="BB325" s="17">
        <f>VLOOKUP(BA325,'DATABASE F&amp;B'!$C$3:$F$216,2,0)</f>
        <v>0</v>
      </c>
      <c r="BC325" s="18"/>
      <c r="BD325" s="19">
        <f>VLOOKUP(BA325,'DATABASE F&amp;B'!$C$3:$F$216,4,0)</f>
        <v>0</v>
      </c>
      <c r="BE325" s="19">
        <f t="shared" si="278"/>
        <v>0</v>
      </c>
      <c r="BF325" s="16"/>
      <c r="BG325" s="17">
        <f>VLOOKUP(BF325,'DATABASE F&amp;B'!$C$3:$F$216,2,0)</f>
        <v>0</v>
      </c>
      <c r="BH325" s="18"/>
      <c r="BI325" s="19">
        <f>VLOOKUP(BF325,'DATABASE F&amp;B'!$C$3:$F$216,4,0)</f>
        <v>0</v>
      </c>
      <c r="BJ325" s="19">
        <f t="shared" si="279"/>
        <v>0</v>
      </c>
      <c r="BK325" s="16"/>
      <c r="BL325" s="17">
        <f>VLOOKUP(BK325,'DATABASE F&amp;B'!$C$3:$F$210,2,0)</f>
        <v>0</v>
      </c>
      <c r="BM325" s="18"/>
      <c r="BN325" s="19">
        <f>VLOOKUP(BK325,'DATABASE F&amp;B'!$C$3:$F$210,4,0)</f>
        <v>0</v>
      </c>
      <c r="BO325" s="19">
        <f t="shared" si="280"/>
        <v>0</v>
      </c>
      <c r="BP325" s="16"/>
      <c r="BQ325" s="17">
        <f>VLOOKUP(BP325,'DATABASE F&amp;B'!$C$3:$F$210,2,0)</f>
        <v>0</v>
      </c>
      <c r="BR325" s="18"/>
      <c r="BS325" s="19">
        <f>VLOOKUP(BP325,'DATABASE F&amp;B'!$C$3:$F$210,4,0)</f>
        <v>0</v>
      </c>
      <c r="BT325" s="19">
        <f t="shared" si="281"/>
        <v>0</v>
      </c>
      <c r="BU325" s="16"/>
      <c r="BV325" s="17">
        <f>VLOOKUP(BU325,'DATABASE F&amp;B'!$C$3:$F$210,2,0)</f>
        <v>0</v>
      </c>
      <c r="BW325" s="18"/>
      <c r="BX325" s="19">
        <f>VLOOKUP(BU325,'DATABASE F&amp;B'!$C$3:$F$210,4,0)</f>
        <v>0</v>
      </c>
      <c r="BY325" s="19">
        <f t="shared" si="282"/>
        <v>0</v>
      </c>
      <c r="BZ325" s="16"/>
      <c r="CA325" s="17">
        <f>VLOOKUP(BZ325,'DATABASE F&amp;B'!$C$3:$F$210,2,0)</f>
        <v>0</v>
      </c>
      <c r="CB325" s="18"/>
      <c r="CC325" s="19">
        <f>VLOOKUP(BZ325,'DATABASE F&amp;B'!$C$3:$F$210,4,0)</f>
        <v>0</v>
      </c>
      <c r="CD325" s="19">
        <f t="shared" si="283"/>
        <v>0</v>
      </c>
    </row>
    <row r="326" spans="1:82" ht="13.5" x14ac:dyDescent="0.25">
      <c r="A326" s="32" t="str">
        <f t="shared" si="264"/>
        <v>--20</v>
      </c>
      <c r="B326" s="22">
        <f t="shared" si="284"/>
        <v>322</v>
      </c>
      <c r="C326" s="22">
        <f t="shared" si="284"/>
        <v>322</v>
      </c>
      <c r="D326" s="34"/>
      <c r="E326" s="35"/>
      <c r="F326" s="35"/>
      <c r="G326" s="52"/>
      <c r="H326" s="36" t="str">
        <f t="shared" ref="H326:H389" si="285">CONCATENATE("RJ","-",E326,F326,G326,"-",B326)</f>
        <v>RJ--322</v>
      </c>
      <c r="I326" s="36" t="str">
        <f t="shared" si="265"/>
        <v>--20</v>
      </c>
      <c r="J326" s="37" t="e">
        <f>VLOOKUP(D326,Laporan!$C$4:$D$34,2,0)</f>
        <v>#N/A</v>
      </c>
      <c r="K326" s="48"/>
      <c r="L326" s="13"/>
      <c r="M326" s="19">
        <f>SUMIF('DATABASE Room'!$B$3:$B$7,L326,'DATABASE Room'!$D$3:$D$7)</f>
        <v>0</v>
      </c>
      <c r="N326" s="13"/>
      <c r="O326" s="21">
        <f t="shared" si="266"/>
        <v>0</v>
      </c>
      <c r="P326" s="38"/>
      <c r="Q326" s="19">
        <f t="shared" si="267"/>
        <v>0</v>
      </c>
      <c r="R326" s="21">
        <f t="shared" si="268"/>
        <v>0</v>
      </c>
      <c r="S326" s="19">
        <f t="shared" si="269"/>
        <v>2</v>
      </c>
      <c r="T326" s="19">
        <f t="shared" si="270"/>
        <v>0</v>
      </c>
      <c r="U326" s="21">
        <f t="shared" si="271"/>
        <v>0</v>
      </c>
      <c r="V326" s="39"/>
      <c r="W326" s="16"/>
      <c r="X326" s="17">
        <f>VLOOKUP(W326,'DATABASE F&amp;B'!$C$3:$F$216,2,0)</f>
        <v>0</v>
      </c>
      <c r="Y326" s="18"/>
      <c r="Z326" s="19">
        <f>VLOOKUP(W326,'DATABASE F&amp;B'!$C$3:$F$216,4,0)</f>
        <v>0</v>
      </c>
      <c r="AA326" s="19">
        <f t="shared" si="272"/>
        <v>0</v>
      </c>
      <c r="AB326" s="16"/>
      <c r="AC326" s="17">
        <f>VLOOKUP(AB326,'DATABASE F&amp;B'!$C$3:$F$216,2,0)</f>
        <v>0</v>
      </c>
      <c r="AD326" s="18"/>
      <c r="AE326" s="19">
        <f>VLOOKUP(AB326,'DATABASE F&amp;B'!$C$3:$F$216,4,0)</f>
        <v>0</v>
      </c>
      <c r="AF326" s="19">
        <f t="shared" si="273"/>
        <v>0</v>
      </c>
      <c r="AG326" s="16"/>
      <c r="AH326" s="17">
        <f>VLOOKUP(AG326,'DATABASE F&amp;B'!$C$3:$F$216,2,0)</f>
        <v>0</v>
      </c>
      <c r="AI326" s="18"/>
      <c r="AJ326" s="19">
        <f>VLOOKUP(AG326,'DATABASE F&amp;B'!$C$3:$F$216,4,0)</f>
        <v>0</v>
      </c>
      <c r="AK326" s="19">
        <f t="shared" si="274"/>
        <v>0</v>
      </c>
      <c r="AL326" s="16"/>
      <c r="AM326" s="17">
        <f>VLOOKUP(AL326,'DATABASE F&amp;B'!$C$3:$F$216,2,0)</f>
        <v>0</v>
      </c>
      <c r="AN326" s="18">
        <v>1</v>
      </c>
      <c r="AO326" s="19">
        <f>VLOOKUP(AL326,'DATABASE F&amp;B'!$C$3:$F$216,4,0)</f>
        <v>0</v>
      </c>
      <c r="AP326" s="19">
        <f t="shared" si="275"/>
        <v>0</v>
      </c>
      <c r="AQ326" s="16"/>
      <c r="AR326" s="17">
        <f>VLOOKUP(AQ326,'DATABASE F&amp;B'!$C$3:$F$216,2,0)</f>
        <v>0</v>
      </c>
      <c r="AS326" s="18">
        <v>1</v>
      </c>
      <c r="AT326" s="19">
        <f>VLOOKUP(AQ326,'DATABASE F&amp;B'!$C$3:$F$216,4,0)</f>
        <v>0</v>
      </c>
      <c r="AU326" s="19">
        <f t="shared" si="276"/>
        <v>0</v>
      </c>
      <c r="AV326" s="16"/>
      <c r="AW326" s="17">
        <f>VLOOKUP(AV326,'DATABASE F&amp;B'!$C$3:$F$216,2,0)</f>
        <v>0</v>
      </c>
      <c r="AX326" s="18"/>
      <c r="AY326" s="19">
        <f>VLOOKUP(AV326,'DATABASE F&amp;B'!$C$3:$F$216,4,0)</f>
        <v>0</v>
      </c>
      <c r="AZ326" s="19">
        <f t="shared" si="277"/>
        <v>0</v>
      </c>
      <c r="BA326" s="16"/>
      <c r="BB326" s="17">
        <f>VLOOKUP(BA326,'DATABASE F&amp;B'!$C$3:$F$216,2,0)</f>
        <v>0</v>
      </c>
      <c r="BC326" s="18"/>
      <c r="BD326" s="19">
        <f>VLOOKUP(BA326,'DATABASE F&amp;B'!$C$3:$F$216,4,0)</f>
        <v>0</v>
      </c>
      <c r="BE326" s="19">
        <f t="shared" si="278"/>
        <v>0</v>
      </c>
      <c r="BF326" s="16"/>
      <c r="BG326" s="17">
        <f>VLOOKUP(BF326,'DATABASE F&amp;B'!$C$3:$F$216,2,0)</f>
        <v>0</v>
      </c>
      <c r="BH326" s="18"/>
      <c r="BI326" s="19">
        <f>VLOOKUP(BF326,'DATABASE F&amp;B'!$C$3:$F$216,4,0)</f>
        <v>0</v>
      </c>
      <c r="BJ326" s="19">
        <f t="shared" si="279"/>
        <v>0</v>
      </c>
      <c r="BK326" s="16"/>
      <c r="BL326" s="17">
        <f>VLOOKUP(BK326,'DATABASE F&amp;B'!$C$3:$F$210,2,0)</f>
        <v>0</v>
      </c>
      <c r="BM326" s="18"/>
      <c r="BN326" s="19">
        <f>VLOOKUP(BK326,'DATABASE F&amp;B'!$C$3:$F$210,4,0)</f>
        <v>0</v>
      </c>
      <c r="BO326" s="19">
        <f t="shared" si="280"/>
        <v>0</v>
      </c>
      <c r="BP326" s="16"/>
      <c r="BQ326" s="17">
        <f>VLOOKUP(BP326,'DATABASE F&amp;B'!$C$3:$F$210,2,0)</f>
        <v>0</v>
      </c>
      <c r="BR326" s="18"/>
      <c r="BS326" s="19">
        <f>VLOOKUP(BP326,'DATABASE F&amp;B'!$C$3:$F$210,4,0)</f>
        <v>0</v>
      </c>
      <c r="BT326" s="19">
        <f t="shared" si="281"/>
        <v>0</v>
      </c>
      <c r="BU326" s="16"/>
      <c r="BV326" s="17">
        <f>VLOOKUP(BU326,'DATABASE F&amp;B'!$C$3:$F$210,2,0)</f>
        <v>0</v>
      </c>
      <c r="BW326" s="18"/>
      <c r="BX326" s="19">
        <f>VLOOKUP(BU326,'DATABASE F&amp;B'!$C$3:$F$210,4,0)</f>
        <v>0</v>
      </c>
      <c r="BY326" s="19">
        <f t="shared" si="282"/>
        <v>0</v>
      </c>
      <c r="BZ326" s="16"/>
      <c r="CA326" s="17">
        <f>VLOOKUP(BZ326,'DATABASE F&amp;B'!$C$3:$F$210,2,0)</f>
        <v>0</v>
      </c>
      <c r="CB326" s="18"/>
      <c r="CC326" s="19">
        <f>VLOOKUP(BZ326,'DATABASE F&amp;B'!$C$3:$F$210,4,0)</f>
        <v>0</v>
      </c>
      <c r="CD326" s="19">
        <f t="shared" si="283"/>
        <v>0</v>
      </c>
    </row>
    <row r="327" spans="1:82" ht="13.5" x14ac:dyDescent="0.25">
      <c r="A327" s="32" t="str">
        <f t="shared" si="264"/>
        <v>--20</v>
      </c>
      <c r="B327" s="22">
        <f t="shared" ref="B327:C342" si="286">B326+1</f>
        <v>323</v>
      </c>
      <c r="C327" s="22">
        <f t="shared" si="286"/>
        <v>323</v>
      </c>
      <c r="D327" s="34"/>
      <c r="E327" s="35"/>
      <c r="F327" s="35"/>
      <c r="G327" s="52"/>
      <c r="H327" s="36" t="str">
        <f t="shared" si="285"/>
        <v>RJ--323</v>
      </c>
      <c r="I327" s="36" t="str">
        <f t="shared" si="265"/>
        <v>--20</v>
      </c>
      <c r="J327" s="37" t="e">
        <f>VLOOKUP(D327,Laporan!$C$4:$D$34,2,0)</f>
        <v>#N/A</v>
      </c>
      <c r="K327" s="48"/>
      <c r="L327" s="13"/>
      <c r="M327" s="19">
        <f>SUMIF('DATABASE Room'!$B$3:$B$7,L327,'DATABASE Room'!$D$3:$D$7)</f>
        <v>0</v>
      </c>
      <c r="N327" s="13"/>
      <c r="O327" s="21">
        <f t="shared" si="266"/>
        <v>0</v>
      </c>
      <c r="P327" s="38"/>
      <c r="Q327" s="19">
        <f t="shared" si="267"/>
        <v>0</v>
      </c>
      <c r="R327" s="21">
        <f t="shared" si="268"/>
        <v>0</v>
      </c>
      <c r="S327" s="19">
        <f t="shared" si="269"/>
        <v>2</v>
      </c>
      <c r="T327" s="19">
        <f t="shared" si="270"/>
        <v>0</v>
      </c>
      <c r="U327" s="21">
        <f t="shared" si="271"/>
        <v>0</v>
      </c>
      <c r="V327" s="39"/>
      <c r="W327" s="16"/>
      <c r="X327" s="17">
        <f>VLOOKUP(W327,'DATABASE F&amp;B'!$C$3:$F$216,2,0)</f>
        <v>0</v>
      </c>
      <c r="Y327" s="18"/>
      <c r="Z327" s="19">
        <f>VLOOKUP(W327,'DATABASE F&amp;B'!$C$3:$F$216,4,0)</f>
        <v>0</v>
      </c>
      <c r="AA327" s="19">
        <f t="shared" si="272"/>
        <v>0</v>
      </c>
      <c r="AB327" s="16"/>
      <c r="AC327" s="17">
        <f>VLOOKUP(AB327,'DATABASE F&amp;B'!$C$3:$F$216,2,0)</f>
        <v>0</v>
      </c>
      <c r="AD327" s="18"/>
      <c r="AE327" s="19">
        <f>VLOOKUP(AB327,'DATABASE F&amp;B'!$C$3:$F$216,4,0)</f>
        <v>0</v>
      </c>
      <c r="AF327" s="19">
        <f t="shared" si="273"/>
        <v>0</v>
      </c>
      <c r="AG327" s="16"/>
      <c r="AH327" s="17">
        <f>VLOOKUP(AG327,'DATABASE F&amp;B'!$C$3:$F$216,2,0)</f>
        <v>0</v>
      </c>
      <c r="AI327" s="18"/>
      <c r="AJ327" s="19">
        <f>VLOOKUP(AG327,'DATABASE F&amp;B'!$C$3:$F$216,4,0)</f>
        <v>0</v>
      </c>
      <c r="AK327" s="19">
        <f t="shared" si="274"/>
        <v>0</v>
      </c>
      <c r="AL327" s="16"/>
      <c r="AM327" s="17">
        <f>VLOOKUP(AL327,'DATABASE F&amp;B'!$C$3:$F$216,2,0)</f>
        <v>0</v>
      </c>
      <c r="AN327" s="18">
        <v>1</v>
      </c>
      <c r="AO327" s="19">
        <f>VLOOKUP(AL327,'DATABASE F&amp;B'!$C$3:$F$216,4,0)</f>
        <v>0</v>
      </c>
      <c r="AP327" s="19">
        <f t="shared" si="275"/>
        <v>0</v>
      </c>
      <c r="AQ327" s="16"/>
      <c r="AR327" s="17">
        <f>VLOOKUP(AQ327,'DATABASE F&amp;B'!$C$3:$F$216,2,0)</f>
        <v>0</v>
      </c>
      <c r="AS327" s="18">
        <v>1</v>
      </c>
      <c r="AT327" s="19">
        <f>VLOOKUP(AQ327,'DATABASE F&amp;B'!$C$3:$F$216,4,0)</f>
        <v>0</v>
      </c>
      <c r="AU327" s="19">
        <f t="shared" si="276"/>
        <v>0</v>
      </c>
      <c r="AV327" s="16"/>
      <c r="AW327" s="17">
        <f>VLOOKUP(AV327,'DATABASE F&amp;B'!$C$3:$F$216,2,0)</f>
        <v>0</v>
      </c>
      <c r="AX327" s="18"/>
      <c r="AY327" s="19">
        <f>VLOOKUP(AV327,'DATABASE F&amp;B'!$C$3:$F$216,4,0)</f>
        <v>0</v>
      </c>
      <c r="AZ327" s="19">
        <f t="shared" si="277"/>
        <v>0</v>
      </c>
      <c r="BA327" s="16"/>
      <c r="BB327" s="17">
        <f>VLOOKUP(BA327,'DATABASE F&amp;B'!$C$3:$F$216,2,0)</f>
        <v>0</v>
      </c>
      <c r="BC327" s="18"/>
      <c r="BD327" s="19">
        <f>VLOOKUP(BA327,'DATABASE F&amp;B'!$C$3:$F$216,4,0)</f>
        <v>0</v>
      </c>
      <c r="BE327" s="19">
        <f t="shared" si="278"/>
        <v>0</v>
      </c>
      <c r="BF327" s="16"/>
      <c r="BG327" s="17">
        <f>VLOOKUP(BF327,'DATABASE F&amp;B'!$C$3:$F$216,2,0)</f>
        <v>0</v>
      </c>
      <c r="BH327" s="18"/>
      <c r="BI327" s="19">
        <f>VLOOKUP(BF327,'DATABASE F&amp;B'!$C$3:$F$216,4,0)</f>
        <v>0</v>
      </c>
      <c r="BJ327" s="19">
        <f t="shared" si="279"/>
        <v>0</v>
      </c>
      <c r="BK327" s="16"/>
      <c r="BL327" s="17">
        <f>VLOOKUP(BK327,'DATABASE F&amp;B'!$C$3:$F$210,2,0)</f>
        <v>0</v>
      </c>
      <c r="BM327" s="18"/>
      <c r="BN327" s="19">
        <f>VLOOKUP(BK327,'DATABASE F&amp;B'!$C$3:$F$210,4,0)</f>
        <v>0</v>
      </c>
      <c r="BO327" s="19">
        <f t="shared" si="280"/>
        <v>0</v>
      </c>
      <c r="BP327" s="16"/>
      <c r="BQ327" s="17">
        <f>VLOOKUP(BP327,'DATABASE F&amp;B'!$C$3:$F$210,2,0)</f>
        <v>0</v>
      </c>
      <c r="BR327" s="18"/>
      <c r="BS327" s="19">
        <f>VLOOKUP(BP327,'DATABASE F&amp;B'!$C$3:$F$210,4,0)</f>
        <v>0</v>
      </c>
      <c r="BT327" s="19">
        <f t="shared" si="281"/>
        <v>0</v>
      </c>
      <c r="BU327" s="16"/>
      <c r="BV327" s="17">
        <f>VLOOKUP(BU327,'DATABASE F&amp;B'!$C$3:$F$210,2,0)</f>
        <v>0</v>
      </c>
      <c r="BW327" s="18"/>
      <c r="BX327" s="19">
        <f>VLOOKUP(BU327,'DATABASE F&amp;B'!$C$3:$F$210,4,0)</f>
        <v>0</v>
      </c>
      <c r="BY327" s="19">
        <f t="shared" si="282"/>
        <v>0</v>
      </c>
      <c r="BZ327" s="16"/>
      <c r="CA327" s="17">
        <f>VLOOKUP(BZ327,'DATABASE F&amp;B'!$C$3:$F$210,2,0)</f>
        <v>0</v>
      </c>
      <c r="CB327" s="18"/>
      <c r="CC327" s="19">
        <f>VLOOKUP(BZ327,'DATABASE F&amp;B'!$C$3:$F$210,4,0)</f>
        <v>0</v>
      </c>
      <c r="CD327" s="19">
        <f t="shared" si="283"/>
        <v>0</v>
      </c>
    </row>
    <row r="328" spans="1:82" ht="13.5" x14ac:dyDescent="0.25">
      <c r="A328" s="32" t="str">
        <f t="shared" si="264"/>
        <v>--20</v>
      </c>
      <c r="B328" s="22">
        <f t="shared" si="286"/>
        <v>324</v>
      </c>
      <c r="C328" s="22">
        <f t="shared" si="286"/>
        <v>324</v>
      </c>
      <c r="D328" s="34"/>
      <c r="E328" s="35"/>
      <c r="F328" s="35"/>
      <c r="G328" s="52"/>
      <c r="H328" s="36" t="str">
        <f t="shared" si="285"/>
        <v>RJ--324</v>
      </c>
      <c r="I328" s="36" t="str">
        <f t="shared" si="265"/>
        <v>--20</v>
      </c>
      <c r="J328" s="37" t="e">
        <f>VLOOKUP(D328,Laporan!$C$4:$D$34,2,0)</f>
        <v>#N/A</v>
      </c>
      <c r="K328" s="48"/>
      <c r="L328" s="13"/>
      <c r="M328" s="19">
        <f>SUMIF('DATABASE Room'!$B$3:$B$7,L328,'DATABASE Room'!$D$3:$D$7)</f>
        <v>0</v>
      </c>
      <c r="N328" s="13"/>
      <c r="O328" s="21">
        <f t="shared" si="266"/>
        <v>0</v>
      </c>
      <c r="P328" s="38"/>
      <c r="Q328" s="19">
        <f t="shared" si="267"/>
        <v>0</v>
      </c>
      <c r="R328" s="21">
        <f t="shared" si="268"/>
        <v>0</v>
      </c>
      <c r="S328" s="19">
        <f t="shared" si="269"/>
        <v>2</v>
      </c>
      <c r="T328" s="19">
        <f t="shared" si="270"/>
        <v>0</v>
      </c>
      <c r="U328" s="21">
        <f t="shared" si="271"/>
        <v>0</v>
      </c>
      <c r="V328" s="39"/>
      <c r="W328" s="16"/>
      <c r="X328" s="17">
        <f>VLOOKUP(W328,'DATABASE F&amp;B'!$C$3:$F$216,2,0)</f>
        <v>0</v>
      </c>
      <c r="Y328" s="18"/>
      <c r="Z328" s="19">
        <f>VLOOKUP(W328,'DATABASE F&amp;B'!$C$3:$F$216,4,0)</f>
        <v>0</v>
      </c>
      <c r="AA328" s="19">
        <f t="shared" si="272"/>
        <v>0</v>
      </c>
      <c r="AB328" s="16"/>
      <c r="AC328" s="17">
        <f>VLOOKUP(AB328,'DATABASE F&amp;B'!$C$3:$F$216,2,0)</f>
        <v>0</v>
      </c>
      <c r="AD328" s="18"/>
      <c r="AE328" s="19">
        <f>VLOOKUP(AB328,'DATABASE F&amp;B'!$C$3:$F$216,4,0)</f>
        <v>0</v>
      </c>
      <c r="AF328" s="19">
        <f t="shared" si="273"/>
        <v>0</v>
      </c>
      <c r="AG328" s="16"/>
      <c r="AH328" s="17">
        <f>VLOOKUP(AG328,'DATABASE F&amp;B'!$C$3:$F$216,2,0)</f>
        <v>0</v>
      </c>
      <c r="AI328" s="18"/>
      <c r="AJ328" s="19">
        <f>VLOOKUP(AG328,'DATABASE F&amp;B'!$C$3:$F$216,4,0)</f>
        <v>0</v>
      </c>
      <c r="AK328" s="19">
        <f t="shared" si="274"/>
        <v>0</v>
      </c>
      <c r="AL328" s="16"/>
      <c r="AM328" s="17">
        <f>VLOOKUP(AL328,'DATABASE F&amp;B'!$C$3:$F$216,2,0)</f>
        <v>0</v>
      </c>
      <c r="AN328" s="18">
        <v>1</v>
      </c>
      <c r="AO328" s="19">
        <f>VLOOKUP(AL328,'DATABASE F&amp;B'!$C$3:$F$216,4,0)</f>
        <v>0</v>
      </c>
      <c r="AP328" s="19">
        <f t="shared" si="275"/>
        <v>0</v>
      </c>
      <c r="AQ328" s="16"/>
      <c r="AR328" s="17">
        <f>VLOOKUP(AQ328,'DATABASE F&amp;B'!$C$3:$F$216,2,0)</f>
        <v>0</v>
      </c>
      <c r="AS328" s="18">
        <v>1</v>
      </c>
      <c r="AT328" s="19">
        <f>VLOOKUP(AQ328,'DATABASE F&amp;B'!$C$3:$F$216,4,0)</f>
        <v>0</v>
      </c>
      <c r="AU328" s="19">
        <f t="shared" si="276"/>
        <v>0</v>
      </c>
      <c r="AV328" s="16"/>
      <c r="AW328" s="17">
        <f>VLOOKUP(AV328,'DATABASE F&amp;B'!$C$3:$F$216,2,0)</f>
        <v>0</v>
      </c>
      <c r="AX328" s="18"/>
      <c r="AY328" s="19">
        <f>VLOOKUP(AV328,'DATABASE F&amp;B'!$C$3:$F$216,4,0)</f>
        <v>0</v>
      </c>
      <c r="AZ328" s="19">
        <f t="shared" si="277"/>
        <v>0</v>
      </c>
      <c r="BA328" s="16"/>
      <c r="BB328" s="17">
        <f>VLOOKUP(BA328,'DATABASE F&amp;B'!$C$3:$F$216,2,0)</f>
        <v>0</v>
      </c>
      <c r="BC328" s="18"/>
      <c r="BD328" s="19">
        <f>VLOOKUP(BA328,'DATABASE F&amp;B'!$C$3:$F$216,4,0)</f>
        <v>0</v>
      </c>
      <c r="BE328" s="19">
        <f t="shared" si="278"/>
        <v>0</v>
      </c>
      <c r="BF328" s="16"/>
      <c r="BG328" s="17">
        <f>VLOOKUP(BF328,'DATABASE F&amp;B'!$C$3:$F$216,2,0)</f>
        <v>0</v>
      </c>
      <c r="BH328" s="18"/>
      <c r="BI328" s="19">
        <f>VLOOKUP(BF328,'DATABASE F&amp;B'!$C$3:$F$216,4,0)</f>
        <v>0</v>
      </c>
      <c r="BJ328" s="19">
        <f t="shared" si="279"/>
        <v>0</v>
      </c>
      <c r="BK328" s="16"/>
      <c r="BL328" s="17">
        <f>VLOOKUP(BK328,'DATABASE F&amp;B'!$C$3:$F$210,2,0)</f>
        <v>0</v>
      </c>
      <c r="BM328" s="18"/>
      <c r="BN328" s="19">
        <f>VLOOKUP(BK328,'DATABASE F&amp;B'!$C$3:$F$210,4,0)</f>
        <v>0</v>
      </c>
      <c r="BO328" s="19">
        <f t="shared" si="280"/>
        <v>0</v>
      </c>
      <c r="BP328" s="16"/>
      <c r="BQ328" s="17">
        <f>VLOOKUP(BP328,'DATABASE F&amp;B'!$C$3:$F$210,2,0)</f>
        <v>0</v>
      </c>
      <c r="BR328" s="18"/>
      <c r="BS328" s="19">
        <f>VLOOKUP(BP328,'DATABASE F&amp;B'!$C$3:$F$210,4,0)</f>
        <v>0</v>
      </c>
      <c r="BT328" s="19">
        <f t="shared" si="281"/>
        <v>0</v>
      </c>
      <c r="BU328" s="16"/>
      <c r="BV328" s="17">
        <f>VLOOKUP(BU328,'DATABASE F&amp;B'!$C$3:$F$210,2,0)</f>
        <v>0</v>
      </c>
      <c r="BW328" s="18"/>
      <c r="BX328" s="19">
        <f>VLOOKUP(BU328,'DATABASE F&amp;B'!$C$3:$F$210,4,0)</f>
        <v>0</v>
      </c>
      <c r="BY328" s="19">
        <f t="shared" si="282"/>
        <v>0</v>
      </c>
      <c r="BZ328" s="16"/>
      <c r="CA328" s="17">
        <f>VLOOKUP(BZ328,'DATABASE F&amp;B'!$C$3:$F$210,2,0)</f>
        <v>0</v>
      </c>
      <c r="CB328" s="18"/>
      <c r="CC328" s="19">
        <f>VLOOKUP(BZ328,'DATABASE F&amp;B'!$C$3:$F$210,4,0)</f>
        <v>0</v>
      </c>
      <c r="CD328" s="19">
        <f t="shared" si="283"/>
        <v>0</v>
      </c>
    </row>
    <row r="329" spans="1:82" ht="13.5" x14ac:dyDescent="0.25">
      <c r="A329" s="32" t="str">
        <f t="shared" si="264"/>
        <v>--20</v>
      </c>
      <c r="B329" s="22">
        <f t="shared" si="286"/>
        <v>325</v>
      </c>
      <c r="C329" s="22">
        <f t="shared" si="286"/>
        <v>325</v>
      </c>
      <c r="D329" s="34"/>
      <c r="E329" s="35"/>
      <c r="F329" s="35"/>
      <c r="G329" s="52"/>
      <c r="H329" s="36" t="str">
        <f t="shared" si="285"/>
        <v>RJ--325</v>
      </c>
      <c r="I329" s="36" t="str">
        <f t="shared" si="265"/>
        <v>--20</v>
      </c>
      <c r="J329" s="37" t="e">
        <f>VLOOKUP(D329,Laporan!$C$4:$D$34,2,0)</f>
        <v>#N/A</v>
      </c>
      <c r="K329" s="48"/>
      <c r="L329" s="13"/>
      <c r="M329" s="19">
        <f>SUMIF('DATABASE Room'!$B$3:$B$7,L329,'DATABASE Room'!$D$3:$D$7)</f>
        <v>0</v>
      </c>
      <c r="N329" s="13"/>
      <c r="O329" s="21">
        <f t="shared" si="266"/>
        <v>0</v>
      </c>
      <c r="P329" s="38"/>
      <c r="Q329" s="19">
        <f t="shared" si="267"/>
        <v>0</v>
      </c>
      <c r="R329" s="21">
        <f t="shared" si="268"/>
        <v>0</v>
      </c>
      <c r="S329" s="19">
        <f t="shared" si="269"/>
        <v>2</v>
      </c>
      <c r="T329" s="19">
        <f t="shared" si="270"/>
        <v>0</v>
      </c>
      <c r="U329" s="21">
        <f t="shared" si="271"/>
        <v>0</v>
      </c>
      <c r="V329" s="39"/>
      <c r="W329" s="16"/>
      <c r="X329" s="17">
        <f>VLOOKUP(W329,'DATABASE F&amp;B'!$C$3:$F$216,2,0)</f>
        <v>0</v>
      </c>
      <c r="Y329" s="18"/>
      <c r="Z329" s="19">
        <f>VLOOKUP(W329,'DATABASE F&amp;B'!$C$3:$F$216,4,0)</f>
        <v>0</v>
      </c>
      <c r="AA329" s="19">
        <f t="shared" si="272"/>
        <v>0</v>
      </c>
      <c r="AB329" s="16"/>
      <c r="AC329" s="17">
        <f>VLOOKUP(AB329,'DATABASE F&amp;B'!$C$3:$F$216,2,0)</f>
        <v>0</v>
      </c>
      <c r="AD329" s="18"/>
      <c r="AE329" s="19">
        <f>VLOOKUP(AB329,'DATABASE F&amp;B'!$C$3:$F$216,4,0)</f>
        <v>0</v>
      </c>
      <c r="AF329" s="19">
        <f t="shared" si="273"/>
        <v>0</v>
      </c>
      <c r="AG329" s="16"/>
      <c r="AH329" s="17">
        <f>VLOOKUP(AG329,'DATABASE F&amp;B'!$C$3:$F$216,2,0)</f>
        <v>0</v>
      </c>
      <c r="AI329" s="18"/>
      <c r="AJ329" s="19">
        <f>VLOOKUP(AG329,'DATABASE F&amp;B'!$C$3:$F$216,4,0)</f>
        <v>0</v>
      </c>
      <c r="AK329" s="19">
        <f t="shared" si="274"/>
        <v>0</v>
      </c>
      <c r="AL329" s="16"/>
      <c r="AM329" s="17">
        <f>VLOOKUP(AL329,'DATABASE F&amp;B'!$C$3:$F$216,2,0)</f>
        <v>0</v>
      </c>
      <c r="AN329" s="18">
        <v>1</v>
      </c>
      <c r="AO329" s="19">
        <f>VLOOKUP(AL329,'DATABASE F&amp;B'!$C$3:$F$216,4,0)</f>
        <v>0</v>
      </c>
      <c r="AP329" s="19">
        <f t="shared" si="275"/>
        <v>0</v>
      </c>
      <c r="AQ329" s="16"/>
      <c r="AR329" s="17">
        <f>VLOOKUP(AQ329,'DATABASE F&amp;B'!$C$3:$F$216,2,0)</f>
        <v>0</v>
      </c>
      <c r="AS329" s="18">
        <v>1</v>
      </c>
      <c r="AT329" s="19">
        <f>VLOOKUP(AQ329,'DATABASE F&amp;B'!$C$3:$F$216,4,0)</f>
        <v>0</v>
      </c>
      <c r="AU329" s="19">
        <f t="shared" si="276"/>
        <v>0</v>
      </c>
      <c r="AV329" s="16"/>
      <c r="AW329" s="17">
        <f>VLOOKUP(AV329,'DATABASE F&amp;B'!$C$3:$F$216,2,0)</f>
        <v>0</v>
      </c>
      <c r="AX329" s="18"/>
      <c r="AY329" s="19">
        <f>VLOOKUP(AV329,'DATABASE F&amp;B'!$C$3:$F$216,4,0)</f>
        <v>0</v>
      </c>
      <c r="AZ329" s="19">
        <f t="shared" si="277"/>
        <v>0</v>
      </c>
      <c r="BA329" s="16"/>
      <c r="BB329" s="17">
        <f>VLOOKUP(BA329,'DATABASE F&amp;B'!$C$3:$F$216,2,0)</f>
        <v>0</v>
      </c>
      <c r="BC329" s="18"/>
      <c r="BD329" s="19">
        <f>VLOOKUP(BA329,'DATABASE F&amp;B'!$C$3:$F$216,4,0)</f>
        <v>0</v>
      </c>
      <c r="BE329" s="19">
        <f t="shared" si="278"/>
        <v>0</v>
      </c>
      <c r="BF329" s="16"/>
      <c r="BG329" s="17">
        <f>VLOOKUP(BF329,'DATABASE F&amp;B'!$C$3:$F$216,2,0)</f>
        <v>0</v>
      </c>
      <c r="BH329" s="18"/>
      <c r="BI329" s="19">
        <f>VLOOKUP(BF329,'DATABASE F&amp;B'!$C$3:$F$216,4,0)</f>
        <v>0</v>
      </c>
      <c r="BJ329" s="19">
        <f t="shared" si="279"/>
        <v>0</v>
      </c>
      <c r="BK329" s="16"/>
      <c r="BL329" s="17">
        <f>VLOOKUP(BK329,'DATABASE F&amp;B'!$C$3:$F$210,2,0)</f>
        <v>0</v>
      </c>
      <c r="BM329" s="18"/>
      <c r="BN329" s="19">
        <f>VLOOKUP(BK329,'DATABASE F&amp;B'!$C$3:$F$210,4,0)</f>
        <v>0</v>
      </c>
      <c r="BO329" s="19">
        <f t="shared" si="280"/>
        <v>0</v>
      </c>
      <c r="BP329" s="16"/>
      <c r="BQ329" s="17">
        <f>VLOOKUP(BP329,'DATABASE F&amp;B'!$C$3:$F$210,2,0)</f>
        <v>0</v>
      </c>
      <c r="BR329" s="18"/>
      <c r="BS329" s="19">
        <f>VLOOKUP(BP329,'DATABASE F&amp;B'!$C$3:$F$210,4,0)</f>
        <v>0</v>
      </c>
      <c r="BT329" s="19">
        <f t="shared" si="281"/>
        <v>0</v>
      </c>
      <c r="BU329" s="16"/>
      <c r="BV329" s="17">
        <f>VLOOKUP(BU329,'DATABASE F&amp;B'!$C$3:$F$210,2,0)</f>
        <v>0</v>
      </c>
      <c r="BW329" s="18"/>
      <c r="BX329" s="19">
        <f>VLOOKUP(BU329,'DATABASE F&amp;B'!$C$3:$F$210,4,0)</f>
        <v>0</v>
      </c>
      <c r="BY329" s="19">
        <f t="shared" si="282"/>
        <v>0</v>
      </c>
      <c r="BZ329" s="16"/>
      <c r="CA329" s="17">
        <f>VLOOKUP(BZ329,'DATABASE F&amp;B'!$C$3:$F$210,2,0)</f>
        <v>0</v>
      </c>
      <c r="CB329" s="18"/>
      <c r="CC329" s="19">
        <f>VLOOKUP(BZ329,'DATABASE F&amp;B'!$C$3:$F$210,4,0)</f>
        <v>0</v>
      </c>
      <c r="CD329" s="19">
        <f t="shared" si="283"/>
        <v>0</v>
      </c>
    </row>
    <row r="330" spans="1:82" ht="13.5" x14ac:dyDescent="0.25">
      <c r="A330" s="32" t="str">
        <f t="shared" si="264"/>
        <v>--20</v>
      </c>
      <c r="B330" s="22">
        <f t="shared" si="286"/>
        <v>326</v>
      </c>
      <c r="C330" s="22">
        <f t="shared" si="286"/>
        <v>326</v>
      </c>
      <c r="D330" s="34"/>
      <c r="E330" s="35"/>
      <c r="F330" s="35"/>
      <c r="G330" s="52"/>
      <c r="H330" s="36" t="str">
        <f t="shared" si="285"/>
        <v>RJ--326</v>
      </c>
      <c r="I330" s="36" t="str">
        <f t="shared" si="265"/>
        <v>--20</v>
      </c>
      <c r="J330" s="37" t="e">
        <f>VLOOKUP(D330,Laporan!$C$4:$D$34,2,0)</f>
        <v>#N/A</v>
      </c>
      <c r="K330" s="48"/>
      <c r="L330" s="13"/>
      <c r="M330" s="19">
        <f>SUMIF('DATABASE Room'!$B$3:$B$7,L330,'DATABASE Room'!$D$3:$D$7)</f>
        <v>0</v>
      </c>
      <c r="N330" s="13"/>
      <c r="O330" s="21">
        <f t="shared" si="266"/>
        <v>0</v>
      </c>
      <c r="P330" s="38"/>
      <c r="Q330" s="19">
        <f t="shared" si="267"/>
        <v>0</v>
      </c>
      <c r="R330" s="21">
        <f t="shared" si="268"/>
        <v>0</v>
      </c>
      <c r="S330" s="19">
        <f t="shared" si="269"/>
        <v>2</v>
      </c>
      <c r="T330" s="19">
        <f t="shared" si="270"/>
        <v>0</v>
      </c>
      <c r="U330" s="21">
        <f t="shared" si="271"/>
        <v>0</v>
      </c>
      <c r="V330" s="39"/>
      <c r="W330" s="16"/>
      <c r="X330" s="17">
        <f>VLOOKUP(W330,'DATABASE F&amp;B'!$C$3:$F$216,2,0)</f>
        <v>0</v>
      </c>
      <c r="Y330" s="18"/>
      <c r="Z330" s="19">
        <f>VLOOKUP(W330,'DATABASE F&amp;B'!$C$3:$F$216,4,0)</f>
        <v>0</v>
      </c>
      <c r="AA330" s="19">
        <f t="shared" si="272"/>
        <v>0</v>
      </c>
      <c r="AB330" s="16"/>
      <c r="AC330" s="17">
        <f>VLOOKUP(AB330,'DATABASE F&amp;B'!$C$3:$F$216,2,0)</f>
        <v>0</v>
      </c>
      <c r="AD330" s="18"/>
      <c r="AE330" s="19">
        <f>VLOOKUP(AB330,'DATABASE F&amp;B'!$C$3:$F$216,4,0)</f>
        <v>0</v>
      </c>
      <c r="AF330" s="19">
        <f t="shared" si="273"/>
        <v>0</v>
      </c>
      <c r="AG330" s="16"/>
      <c r="AH330" s="17">
        <f>VLOOKUP(AG330,'DATABASE F&amp;B'!$C$3:$F$216,2,0)</f>
        <v>0</v>
      </c>
      <c r="AI330" s="18"/>
      <c r="AJ330" s="19">
        <f>VLOOKUP(AG330,'DATABASE F&amp;B'!$C$3:$F$216,4,0)</f>
        <v>0</v>
      </c>
      <c r="AK330" s="19">
        <f t="shared" si="274"/>
        <v>0</v>
      </c>
      <c r="AL330" s="16"/>
      <c r="AM330" s="17">
        <f>VLOOKUP(AL330,'DATABASE F&amp;B'!$C$3:$F$216,2,0)</f>
        <v>0</v>
      </c>
      <c r="AN330" s="18">
        <v>1</v>
      </c>
      <c r="AO330" s="19">
        <f>VLOOKUP(AL330,'DATABASE F&amp;B'!$C$3:$F$216,4,0)</f>
        <v>0</v>
      </c>
      <c r="AP330" s="19">
        <f t="shared" si="275"/>
        <v>0</v>
      </c>
      <c r="AQ330" s="16"/>
      <c r="AR330" s="17">
        <f>VLOOKUP(AQ330,'DATABASE F&amp;B'!$C$3:$F$216,2,0)</f>
        <v>0</v>
      </c>
      <c r="AS330" s="18">
        <v>1</v>
      </c>
      <c r="AT330" s="19">
        <f>VLOOKUP(AQ330,'DATABASE F&amp;B'!$C$3:$F$216,4,0)</f>
        <v>0</v>
      </c>
      <c r="AU330" s="19">
        <f t="shared" si="276"/>
        <v>0</v>
      </c>
      <c r="AV330" s="16"/>
      <c r="AW330" s="17">
        <f>VLOOKUP(AV330,'DATABASE F&amp;B'!$C$3:$F$216,2,0)</f>
        <v>0</v>
      </c>
      <c r="AX330" s="18"/>
      <c r="AY330" s="19">
        <f>VLOOKUP(AV330,'DATABASE F&amp;B'!$C$3:$F$216,4,0)</f>
        <v>0</v>
      </c>
      <c r="AZ330" s="19">
        <f t="shared" si="277"/>
        <v>0</v>
      </c>
      <c r="BA330" s="16"/>
      <c r="BB330" s="17">
        <f>VLOOKUP(BA330,'DATABASE F&amp;B'!$C$3:$F$216,2,0)</f>
        <v>0</v>
      </c>
      <c r="BC330" s="18"/>
      <c r="BD330" s="19">
        <f>VLOOKUP(BA330,'DATABASE F&amp;B'!$C$3:$F$216,4,0)</f>
        <v>0</v>
      </c>
      <c r="BE330" s="19">
        <f t="shared" si="278"/>
        <v>0</v>
      </c>
      <c r="BF330" s="16"/>
      <c r="BG330" s="17">
        <f>VLOOKUP(BF330,'DATABASE F&amp;B'!$C$3:$F$216,2,0)</f>
        <v>0</v>
      </c>
      <c r="BH330" s="18"/>
      <c r="BI330" s="19">
        <f>VLOOKUP(BF330,'DATABASE F&amp;B'!$C$3:$F$216,4,0)</f>
        <v>0</v>
      </c>
      <c r="BJ330" s="19">
        <f t="shared" si="279"/>
        <v>0</v>
      </c>
      <c r="BK330" s="16"/>
      <c r="BL330" s="17">
        <f>VLOOKUP(BK330,'DATABASE F&amp;B'!$C$3:$F$210,2,0)</f>
        <v>0</v>
      </c>
      <c r="BM330" s="18"/>
      <c r="BN330" s="19">
        <f>VLOOKUP(BK330,'DATABASE F&amp;B'!$C$3:$F$210,4,0)</f>
        <v>0</v>
      </c>
      <c r="BO330" s="19">
        <f t="shared" si="280"/>
        <v>0</v>
      </c>
      <c r="BP330" s="16"/>
      <c r="BQ330" s="17">
        <f>VLOOKUP(BP330,'DATABASE F&amp;B'!$C$3:$F$210,2,0)</f>
        <v>0</v>
      </c>
      <c r="BR330" s="18"/>
      <c r="BS330" s="19">
        <f>VLOOKUP(BP330,'DATABASE F&amp;B'!$C$3:$F$210,4,0)</f>
        <v>0</v>
      </c>
      <c r="BT330" s="19">
        <f t="shared" si="281"/>
        <v>0</v>
      </c>
      <c r="BU330" s="16"/>
      <c r="BV330" s="17">
        <f>VLOOKUP(BU330,'DATABASE F&amp;B'!$C$3:$F$210,2,0)</f>
        <v>0</v>
      </c>
      <c r="BW330" s="18"/>
      <c r="BX330" s="19">
        <f>VLOOKUP(BU330,'DATABASE F&amp;B'!$C$3:$F$210,4,0)</f>
        <v>0</v>
      </c>
      <c r="BY330" s="19">
        <f t="shared" si="282"/>
        <v>0</v>
      </c>
      <c r="BZ330" s="16"/>
      <c r="CA330" s="17">
        <f>VLOOKUP(BZ330,'DATABASE F&amp;B'!$C$3:$F$210,2,0)</f>
        <v>0</v>
      </c>
      <c r="CB330" s="18"/>
      <c r="CC330" s="19">
        <f>VLOOKUP(BZ330,'DATABASE F&amp;B'!$C$3:$F$210,4,0)</f>
        <v>0</v>
      </c>
      <c r="CD330" s="19">
        <f t="shared" si="283"/>
        <v>0</v>
      </c>
    </row>
    <row r="331" spans="1:82" ht="13.5" x14ac:dyDescent="0.25">
      <c r="A331" s="32" t="str">
        <f t="shared" si="264"/>
        <v>--20</v>
      </c>
      <c r="B331" s="22">
        <f t="shared" si="286"/>
        <v>327</v>
      </c>
      <c r="C331" s="22">
        <f t="shared" si="286"/>
        <v>327</v>
      </c>
      <c r="D331" s="34"/>
      <c r="E331" s="35"/>
      <c r="F331" s="35"/>
      <c r="G331" s="52"/>
      <c r="H331" s="36" t="str">
        <f t="shared" si="285"/>
        <v>RJ--327</v>
      </c>
      <c r="I331" s="36" t="str">
        <f t="shared" si="265"/>
        <v>--20</v>
      </c>
      <c r="J331" s="37" t="e">
        <f>VLOOKUP(D331,Laporan!$C$4:$D$34,2,0)</f>
        <v>#N/A</v>
      </c>
      <c r="K331" s="48"/>
      <c r="L331" s="13"/>
      <c r="M331" s="19">
        <f>SUMIF('DATABASE Room'!$B$3:$B$7,L331,'DATABASE Room'!$D$3:$D$7)</f>
        <v>0</v>
      </c>
      <c r="N331" s="13"/>
      <c r="O331" s="21">
        <f t="shared" si="266"/>
        <v>0</v>
      </c>
      <c r="P331" s="38"/>
      <c r="Q331" s="19">
        <f t="shared" si="267"/>
        <v>0</v>
      </c>
      <c r="R331" s="21">
        <f t="shared" si="268"/>
        <v>0</v>
      </c>
      <c r="S331" s="19">
        <f t="shared" si="269"/>
        <v>2</v>
      </c>
      <c r="T331" s="19">
        <f t="shared" si="270"/>
        <v>0</v>
      </c>
      <c r="U331" s="21">
        <f t="shared" si="271"/>
        <v>0</v>
      </c>
      <c r="V331" s="39"/>
      <c r="W331" s="16"/>
      <c r="X331" s="17">
        <f>VLOOKUP(W331,'DATABASE F&amp;B'!$C$3:$F$216,2,0)</f>
        <v>0</v>
      </c>
      <c r="Y331" s="18"/>
      <c r="Z331" s="19">
        <f>VLOOKUP(W331,'DATABASE F&amp;B'!$C$3:$F$216,4,0)</f>
        <v>0</v>
      </c>
      <c r="AA331" s="19">
        <f t="shared" si="272"/>
        <v>0</v>
      </c>
      <c r="AB331" s="16"/>
      <c r="AC331" s="17">
        <f>VLOOKUP(AB331,'DATABASE F&amp;B'!$C$3:$F$216,2,0)</f>
        <v>0</v>
      </c>
      <c r="AD331" s="18"/>
      <c r="AE331" s="19">
        <f>VLOOKUP(AB331,'DATABASE F&amp;B'!$C$3:$F$216,4,0)</f>
        <v>0</v>
      </c>
      <c r="AF331" s="19">
        <f t="shared" si="273"/>
        <v>0</v>
      </c>
      <c r="AG331" s="16"/>
      <c r="AH331" s="17">
        <f>VLOOKUP(AG331,'DATABASE F&amp;B'!$C$3:$F$216,2,0)</f>
        <v>0</v>
      </c>
      <c r="AI331" s="18"/>
      <c r="AJ331" s="19">
        <f>VLOOKUP(AG331,'DATABASE F&amp;B'!$C$3:$F$216,4,0)</f>
        <v>0</v>
      </c>
      <c r="AK331" s="19">
        <f t="shared" si="274"/>
        <v>0</v>
      </c>
      <c r="AL331" s="16"/>
      <c r="AM331" s="17">
        <f>VLOOKUP(AL331,'DATABASE F&amp;B'!$C$3:$F$216,2,0)</f>
        <v>0</v>
      </c>
      <c r="AN331" s="18">
        <v>1</v>
      </c>
      <c r="AO331" s="19">
        <f>VLOOKUP(AL331,'DATABASE F&amp;B'!$C$3:$F$216,4,0)</f>
        <v>0</v>
      </c>
      <c r="AP331" s="19">
        <f t="shared" si="275"/>
        <v>0</v>
      </c>
      <c r="AQ331" s="16"/>
      <c r="AR331" s="17">
        <f>VLOOKUP(AQ331,'DATABASE F&amp;B'!$C$3:$F$216,2,0)</f>
        <v>0</v>
      </c>
      <c r="AS331" s="18">
        <v>1</v>
      </c>
      <c r="AT331" s="19">
        <f>VLOOKUP(AQ331,'DATABASE F&amp;B'!$C$3:$F$216,4,0)</f>
        <v>0</v>
      </c>
      <c r="AU331" s="19">
        <f t="shared" si="276"/>
        <v>0</v>
      </c>
      <c r="AV331" s="16"/>
      <c r="AW331" s="17">
        <f>VLOOKUP(AV331,'DATABASE F&amp;B'!$C$3:$F$216,2,0)</f>
        <v>0</v>
      </c>
      <c r="AX331" s="18"/>
      <c r="AY331" s="19">
        <f>VLOOKUP(AV331,'DATABASE F&amp;B'!$C$3:$F$216,4,0)</f>
        <v>0</v>
      </c>
      <c r="AZ331" s="19">
        <f t="shared" si="277"/>
        <v>0</v>
      </c>
      <c r="BA331" s="16"/>
      <c r="BB331" s="17">
        <f>VLOOKUP(BA331,'DATABASE F&amp;B'!$C$3:$F$216,2,0)</f>
        <v>0</v>
      </c>
      <c r="BC331" s="18"/>
      <c r="BD331" s="19">
        <f>VLOOKUP(BA331,'DATABASE F&amp;B'!$C$3:$F$216,4,0)</f>
        <v>0</v>
      </c>
      <c r="BE331" s="19">
        <f t="shared" si="278"/>
        <v>0</v>
      </c>
      <c r="BF331" s="16"/>
      <c r="BG331" s="17">
        <f>VLOOKUP(BF331,'DATABASE F&amp;B'!$C$3:$F$216,2,0)</f>
        <v>0</v>
      </c>
      <c r="BH331" s="18"/>
      <c r="BI331" s="19">
        <f>VLOOKUP(BF331,'DATABASE F&amp;B'!$C$3:$F$216,4,0)</f>
        <v>0</v>
      </c>
      <c r="BJ331" s="19">
        <f t="shared" si="279"/>
        <v>0</v>
      </c>
      <c r="BK331" s="16"/>
      <c r="BL331" s="17">
        <f>VLOOKUP(BK331,'DATABASE F&amp;B'!$C$3:$F$210,2,0)</f>
        <v>0</v>
      </c>
      <c r="BM331" s="18"/>
      <c r="BN331" s="19">
        <f>VLOOKUP(BK331,'DATABASE F&amp;B'!$C$3:$F$210,4,0)</f>
        <v>0</v>
      </c>
      <c r="BO331" s="19">
        <f t="shared" si="280"/>
        <v>0</v>
      </c>
      <c r="BP331" s="16"/>
      <c r="BQ331" s="17">
        <f>VLOOKUP(BP331,'DATABASE F&amp;B'!$C$3:$F$210,2,0)</f>
        <v>0</v>
      </c>
      <c r="BR331" s="18"/>
      <c r="BS331" s="19">
        <f>VLOOKUP(BP331,'DATABASE F&amp;B'!$C$3:$F$210,4,0)</f>
        <v>0</v>
      </c>
      <c r="BT331" s="19">
        <f t="shared" si="281"/>
        <v>0</v>
      </c>
      <c r="BU331" s="16"/>
      <c r="BV331" s="17">
        <f>VLOOKUP(BU331,'DATABASE F&amp;B'!$C$3:$F$210,2,0)</f>
        <v>0</v>
      </c>
      <c r="BW331" s="18"/>
      <c r="BX331" s="19">
        <f>VLOOKUP(BU331,'DATABASE F&amp;B'!$C$3:$F$210,4,0)</f>
        <v>0</v>
      </c>
      <c r="BY331" s="19">
        <f t="shared" si="282"/>
        <v>0</v>
      </c>
      <c r="BZ331" s="16"/>
      <c r="CA331" s="17">
        <f>VLOOKUP(BZ331,'DATABASE F&amp;B'!$C$3:$F$210,2,0)</f>
        <v>0</v>
      </c>
      <c r="CB331" s="18"/>
      <c r="CC331" s="19">
        <f>VLOOKUP(BZ331,'DATABASE F&amp;B'!$C$3:$F$210,4,0)</f>
        <v>0</v>
      </c>
      <c r="CD331" s="19">
        <f t="shared" si="283"/>
        <v>0</v>
      </c>
    </row>
    <row r="332" spans="1:82" ht="13.5" x14ac:dyDescent="0.25">
      <c r="A332" s="32" t="str">
        <f t="shared" si="264"/>
        <v>--20</v>
      </c>
      <c r="B332" s="22">
        <f t="shared" si="286"/>
        <v>328</v>
      </c>
      <c r="C332" s="22">
        <f t="shared" si="286"/>
        <v>328</v>
      </c>
      <c r="D332" s="34"/>
      <c r="E332" s="35"/>
      <c r="F332" s="35"/>
      <c r="G332" s="52"/>
      <c r="H332" s="36" t="str">
        <f t="shared" si="285"/>
        <v>RJ--328</v>
      </c>
      <c r="I332" s="36" t="str">
        <f t="shared" si="265"/>
        <v>--20</v>
      </c>
      <c r="J332" s="37" t="e">
        <f>VLOOKUP(D332,Laporan!$C$4:$D$34,2,0)</f>
        <v>#N/A</v>
      </c>
      <c r="K332" s="48"/>
      <c r="L332" s="13"/>
      <c r="M332" s="19">
        <f>SUMIF('DATABASE Room'!$B$3:$B$7,L332,'DATABASE Room'!$D$3:$D$7)</f>
        <v>0</v>
      </c>
      <c r="N332" s="13"/>
      <c r="O332" s="21">
        <f t="shared" si="266"/>
        <v>0</v>
      </c>
      <c r="P332" s="38"/>
      <c r="Q332" s="19">
        <f t="shared" si="267"/>
        <v>0</v>
      </c>
      <c r="R332" s="21">
        <f t="shared" si="268"/>
        <v>0</v>
      </c>
      <c r="S332" s="19">
        <f t="shared" si="269"/>
        <v>2</v>
      </c>
      <c r="T332" s="19">
        <f t="shared" si="270"/>
        <v>0</v>
      </c>
      <c r="U332" s="21">
        <f t="shared" si="271"/>
        <v>0</v>
      </c>
      <c r="V332" s="39"/>
      <c r="W332" s="16"/>
      <c r="X332" s="17">
        <f>VLOOKUP(W332,'DATABASE F&amp;B'!$C$3:$F$216,2,0)</f>
        <v>0</v>
      </c>
      <c r="Y332" s="18"/>
      <c r="Z332" s="19">
        <f>VLOOKUP(W332,'DATABASE F&amp;B'!$C$3:$F$216,4,0)</f>
        <v>0</v>
      </c>
      <c r="AA332" s="19">
        <f t="shared" si="272"/>
        <v>0</v>
      </c>
      <c r="AB332" s="16"/>
      <c r="AC332" s="17">
        <f>VLOOKUP(AB332,'DATABASE F&amp;B'!$C$3:$F$216,2,0)</f>
        <v>0</v>
      </c>
      <c r="AD332" s="18"/>
      <c r="AE332" s="19">
        <f>VLOOKUP(AB332,'DATABASE F&amp;B'!$C$3:$F$216,4,0)</f>
        <v>0</v>
      </c>
      <c r="AF332" s="19">
        <f t="shared" si="273"/>
        <v>0</v>
      </c>
      <c r="AG332" s="16"/>
      <c r="AH332" s="17">
        <f>VLOOKUP(AG332,'DATABASE F&amp;B'!$C$3:$F$216,2,0)</f>
        <v>0</v>
      </c>
      <c r="AI332" s="18"/>
      <c r="AJ332" s="19">
        <f>VLOOKUP(AG332,'DATABASE F&amp;B'!$C$3:$F$216,4,0)</f>
        <v>0</v>
      </c>
      <c r="AK332" s="19">
        <f t="shared" si="274"/>
        <v>0</v>
      </c>
      <c r="AL332" s="16"/>
      <c r="AM332" s="17">
        <f>VLOOKUP(AL332,'DATABASE F&amp;B'!$C$3:$F$216,2,0)</f>
        <v>0</v>
      </c>
      <c r="AN332" s="18">
        <v>1</v>
      </c>
      <c r="AO332" s="19">
        <f>VLOOKUP(AL332,'DATABASE F&amp;B'!$C$3:$F$216,4,0)</f>
        <v>0</v>
      </c>
      <c r="AP332" s="19">
        <f t="shared" si="275"/>
        <v>0</v>
      </c>
      <c r="AQ332" s="16"/>
      <c r="AR332" s="17">
        <f>VLOOKUP(AQ332,'DATABASE F&amp;B'!$C$3:$F$216,2,0)</f>
        <v>0</v>
      </c>
      <c r="AS332" s="18">
        <v>1</v>
      </c>
      <c r="AT332" s="19">
        <f>VLOOKUP(AQ332,'DATABASE F&amp;B'!$C$3:$F$216,4,0)</f>
        <v>0</v>
      </c>
      <c r="AU332" s="19">
        <f t="shared" si="276"/>
        <v>0</v>
      </c>
      <c r="AV332" s="16"/>
      <c r="AW332" s="17">
        <f>VLOOKUP(AV332,'DATABASE F&amp;B'!$C$3:$F$216,2,0)</f>
        <v>0</v>
      </c>
      <c r="AX332" s="18"/>
      <c r="AY332" s="19">
        <f>VLOOKUP(AV332,'DATABASE F&amp;B'!$C$3:$F$216,4,0)</f>
        <v>0</v>
      </c>
      <c r="AZ332" s="19">
        <f t="shared" si="277"/>
        <v>0</v>
      </c>
      <c r="BA332" s="16"/>
      <c r="BB332" s="17">
        <f>VLOOKUP(BA332,'DATABASE F&amp;B'!$C$3:$F$216,2,0)</f>
        <v>0</v>
      </c>
      <c r="BC332" s="18"/>
      <c r="BD332" s="19">
        <f>VLOOKUP(BA332,'DATABASE F&amp;B'!$C$3:$F$216,4,0)</f>
        <v>0</v>
      </c>
      <c r="BE332" s="19">
        <f t="shared" si="278"/>
        <v>0</v>
      </c>
      <c r="BF332" s="16"/>
      <c r="BG332" s="17">
        <f>VLOOKUP(BF332,'DATABASE F&amp;B'!$C$3:$F$216,2,0)</f>
        <v>0</v>
      </c>
      <c r="BH332" s="18"/>
      <c r="BI332" s="19">
        <f>VLOOKUP(BF332,'DATABASE F&amp;B'!$C$3:$F$216,4,0)</f>
        <v>0</v>
      </c>
      <c r="BJ332" s="19">
        <f t="shared" si="279"/>
        <v>0</v>
      </c>
      <c r="BK332" s="16"/>
      <c r="BL332" s="17">
        <f>VLOOKUP(BK332,'DATABASE F&amp;B'!$C$3:$F$210,2,0)</f>
        <v>0</v>
      </c>
      <c r="BM332" s="18"/>
      <c r="BN332" s="19">
        <f>VLOOKUP(BK332,'DATABASE F&amp;B'!$C$3:$F$210,4,0)</f>
        <v>0</v>
      </c>
      <c r="BO332" s="19">
        <f t="shared" si="280"/>
        <v>0</v>
      </c>
      <c r="BP332" s="16"/>
      <c r="BQ332" s="17">
        <f>VLOOKUP(BP332,'DATABASE F&amp;B'!$C$3:$F$210,2,0)</f>
        <v>0</v>
      </c>
      <c r="BR332" s="18"/>
      <c r="BS332" s="19">
        <f>VLOOKUP(BP332,'DATABASE F&amp;B'!$C$3:$F$210,4,0)</f>
        <v>0</v>
      </c>
      <c r="BT332" s="19">
        <f t="shared" si="281"/>
        <v>0</v>
      </c>
      <c r="BU332" s="16"/>
      <c r="BV332" s="17">
        <f>VLOOKUP(BU332,'DATABASE F&amp;B'!$C$3:$F$210,2,0)</f>
        <v>0</v>
      </c>
      <c r="BW332" s="18"/>
      <c r="BX332" s="19">
        <f>VLOOKUP(BU332,'DATABASE F&amp;B'!$C$3:$F$210,4,0)</f>
        <v>0</v>
      </c>
      <c r="BY332" s="19">
        <f t="shared" si="282"/>
        <v>0</v>
      </c>
      <c r="BZ332" s="16"/>
      <c r="CA332" s="17">
        <f>VLOOKUP(BZ332,'DATABASE F&amp;B'!$C$3:$F$210,2,0)</f>
        <v>0</v>
      </c>
      <c r="CB332" s="18"/>
      <c r="CC332" s="19">
        <f>VLOOKUP(BZ332,'DATABASE F&amp;B'!$C$3:$F$210,4,0)</f>
        <v>0</v>
      </c>
      <c r="CD332" s="19">
        <f t="shared" si="283"/>
        <v>0</v>
      </c>
    </row>
    <row r="333" spans="1:82" ht="13.5" x14ac:dyDescent="0.25">
      <c r="A333" s="32" t="str">
        <f t="shared" si="264"/>
        <v>--20</v>
      </c>
      <c r="B333" s="22">
        <f t="shared" si="286"/>
        <v>329</v>
      </c>
      <c r="C333" s="22">
        <f t="shared" si="286"/>
        <v>329</v>
      </c>
      <c r="D333" s="34"/>
      <c r="E333" s="35"/>
      <c r="F333" s="35"/>
      <c r="G333" s="52"/>
      <c r="H333" s="36" t="str">
        <f t="shared" si="285"/>
        <v>RJ--329</v>
      </c>
      <c r="I333" s="36" t="str">
        <f t="shared" si="265"/>
        <v>--20</v>
      </c>
      <c r="J333" s="37" t="e">
        <f>VLOOKUP(D333,Laporan!$C$4:$D$34,2,0)</f>
        <v>#N/A</v>
      </c>
      <c r="K333" s="48"/>
      <c r="L333" s="13"/>
      <c r="M333" s="19">
        <f>SUMIF('DATABASE Room'!$B$3:$B$7,L333,'DATABASE Room'!$D$3:$D$7)</f>
        <v>0</v>
      </c>
      <c r="N333" s="13"/>
      <c r="O333" s="21">
        <f t="shared" si="266"/>
        <v>0</v>
      </c>
      <c r="P333" s="38"/>
      <c r="Q333" s="19">
        <f t="shared" si="267"/>
        <v>0</v>
      </c>
      <c r="R333" s="21">
        <f t="shared" si="268"/>
        <v>0</v>
      </c>
      <c r="S333" s="19">
        <f t="shared" si="269"/>
        <v>2</v>
      </c>
      <c r="T333" s="19">
        <f t="shared" si="270"/>
        <v>0</v>
      </c>
      <c r="U333" s="21">
        <f t="shared" si="271"/>
        <v>0</v>
      </c>
      <c r="V333" s="39"/>
      <c r="W333" s="16"/>
      <c r="X333" s="17">
        <f>VLOOKUP(W333,'DATABASE F&amp;B'!$C$3:$F$216,2,0)</f>
        <v>0</v>
      </c>
      <c r="Y333" s="18"/>
      <c r="Z333" s="19">
        <f>VLOOKUP(W333,'DATABASE F&amp;B'!$C$3:$F$216,4,0)</f>
        <v>0</v>
      </c>
      <c r="AA333" s="19">
        <f t="shared" si="272"/>
        <v>0</v>
      </c>
      <c r="AB333" s="16"/>
      <c r="AC333" s="17">
        <f>VLOOKUP(AB333,'DATABASE F&amp;B'!$C$3:$F$216,2,0)</f>
        <v>0</v>
      </c>
      <c r="AD333" s="18"/>
      <c r="AE333" s="19">
        <f>VLOOKUP(AB333,'DATABASE F&amp;B'!$C$3:$F$216,4,0)</f>
        <v>0</v>
      </c>
      <c r="AF333" s="19">
        <f t="shared" si="273"/>
        <v>0</v>
      </c>
      <c r="AG333" s="16"/>
      <c r="AH333" s="17">
        <f>VLOOKUP(AG333,'DATABASE F&amp;B'!$C$3:$F$216,2,0)</f>
        <v>0</v>
      </c>
      <c r="AI333" s="18"/>
      <c r="AJ333" s="19">
        <f>VLOOKUP(AG333,'DATABASE F&amp;B'!$C$3:$F$216,4,0)</f>
        <v>0</v>
      </c>
      <c r="AK333" s="19">
        <f t="shared" si="274"/>
        <v>0</v>
      </c>
      <c r="AL333" s="16"/>
      <c r="AM333" s="17">
        <f>VLOOKUP(AL333,'DATABASE F&amp;B'!$C$3:$F$216,2,0)</f>
        <v>0</v>
      </c>
      <c r="AN333" s="18">
        <v>1</v>
      </c>
      <c r="AO333" s="19">
        <f>VLOOKUP(AL333,'DATABASE F&amp;B'!$C$3:$F$216,4,0)</f>
        <v>0</v>
      </c>
      <c r="AP333" s="19">
        <f t="shared" si="275"/>
        <v>0</v>
      </c>
      <c r="AQ333" s="16"/>
      <c r="AR333" s="17">
        <f>VLOOKUP(AQ333,'DATABASE F&amp;B'!$C$3:$F$216,2,0)</f>
        <v>0</v>
      </c>
      <c r="AS333" s="18">
        <v>1</v>
      </c>
      <c r="AT333" s="19">
        <f>VLOOKUP(AQ333,'DATABASE F&amp;B'!$C$3:$F$216,4,0)</f>
        <v>0</v>
      </c>
      <c r="AU333" s="19">
        <f t="shared" si="276"/>
        <v>0</v>
      </c>
      <c r="AV333" s="16"/>
      <c r="AW333" s="17">
        <f>VLOOKUP(AV333,'DATABASE F&amp;B'!$C$3:$F$216,2,0)</f>
        <v>0</v>
      </c>
      <c r="AX333" s="18"/>
      <c r="AY333" s="19">
        <f>VLOOKUP(AV333,'DATABASE F&amp;B'!$C$3:$F$216,4,0)</f>
        <v>0</v>
      </c>
      <c r="AZ333" s="19">
        <f t="shared" si="277"/>
        <v>0</v>
      </c>
      <c r="BA333" s="16"/>
      <c r="BB333" s="17">
        <f>VLOOKUP(BA333,'DATABASE F&amp;B'!$C$3:$F$216,2,0)</f>
        <v>0</v>
      </c>
      <c r="BC333" s="18"/>
      <c r="BD333" s="19">
        <f>VLOOKUP(BA333,'DATABASE F&amp;B'!$C$3:$F$216,4,0)</f>
        <v>0</v>
      </c>
      <c r="BE333" s="19">
        <f t="shared" si="278"/>
        <v>0</v>
      </c>
      <c r="BF333" s="16"/>
      <c r="BG333" s="17">
        <f>VLOOKUP(BF333,'DATABASE F&amp;B'!$C$3:$F$216,2,0)</f>
        <v>0</v>
      </c>
      <c r="BH333" s="18"/>
      <c r="BI333" s="19">
        <f>VLOOKUP(BF333,'DATABASE F&amp;B'!$C$3:$F$216,4,0)</f>
        <v>0</v>
      </c>
      <c r="BJ333" s="19">
        <f t="shared" si="279"/>
        <v>0</v>
      </c>
      <c r="BK333" s="16"/>
      <c r="BL333" s="17">
        <f>VLOOKUP(BK333,'DATABASE F&amp;B'!$C$3:$F$210,2,0)</f>
        <v>0</v>
      </c>
      <c r="BM333" s="18"/>
      <c r="BN333" s="19">
        <f>VLOOKUP(BK333,'DATABASE F&amp;B'!$C$3:$F$210,4,0)</f>
        <v>0</v>
      </c>
      <c r="BO333" s="19">
        <f t="shared" si="280"/>
        <v>0</v>
      </c>
      <c r="BP333" s="16"/>
      <c r="BQ333" s="17">
        <f>VLOOKUP(BP333,'DATABASE F&amp;B'!$C$3:$F$210,2,0)</f>
        <v>0</v>
      </c>
      <c r="BR333" s="18"/>
      <c r="BS333" s="19">
        <f>VLOOKUP(BP333,'DATABASE F&amp;B'!$C$3:$F$210,4,0)</f>
        <v>0</v>
      </c>
      <c r="BT333" s="19">
        <f t="shared" si="281"/>
        <v>0</v>
      </c>
      <c r="BU333" s="16"/>
      <c r="BV333" s="17">
        <f>VLOOKUP(BU333,'DATABASE F&amp;B'!$C$3:$F$210,2,0)</f>
        <v>0</v>
      </c>
      <c r="BW333" s="18"/>
      <c r="BX333" s="19">
        <f>VLOOKUP(BU333,'DATABASE F&amp;B'!$C$3:$F$210,4,0)</f>
        <v>0</v>
      </c>
      <c r="BY333" s="19">
        <f t="shared" si="282"/>
        <v>0</v>
      </c>
      <c r="BZ333" s="16"/>
      <c r="CA333" s="17">
        <f>VLOOKUP(BZ333,'DATABASE F&amp;B'!$C$3:$F$210,2,0)</f>
        <v>0</v>
      </c>
      <c r="CB333" s="18"/>
      <c r="CC333" s="19">
        <f>VLOOKUP(BZ333,'DATABASE F&amp;B'!$C$3:$F$210,4,0)</f>
        <v>0</v>
      </c>
      <c r="CD333" s="19">
        <f t="shared" si="283"/>
        <v>0</v>
      </c>
    </row>
    <row r="334" spans="1:82" ht="13.5" x14ac:dyDescent="0.25">
      <c r="A334" s="32" t="str">
        <f t="shared" si="264"/>
        <v>--20</v>
      </c>
      <c r="B334" s="22">
        <f t="shared" si="286"/>
        <v>330</v>
      </c>
      <c r="C334" s="22">
        <f t="shared" si="286"/>
        <v>330</v>
      </c>
      <c r="D334" s="34"/>
      <c r="E334" s="35"/>
      <c r="F334" s="35"/>
      <c r="G334" s="52"/>
      <c r="H334" s="36" t="str">
        <f t="shared" si="285"/>
        <v>RJ--330</v>
      </c>
      <c r="I334" s="36" t="str">
        <f t="shared" si="265"/>
        <v>--20</v>
      </c>
      <c r="J334" s="37" t="e">
        <f>VLOOKUP(D334,Laporan!$C$4:$D$34,2,0)</f>
        <v>#N/A</v>
      </c>
      <c r="K334" s="48"/>
      <c r="L334" s="13"/>
      <c r="M334" s="19">
        <f>SUMIF('DATABASE Room'!$B$3:$B$7,L334,'DATABASE Room'!$D$3:$D$7)</f>
        <v>0</v>
      </c>
      <c r="N334" s="13"/>
      <c r="O334" s="21">
        <f t="shared" si="266"/>
        <v>0</v>
      </c>
      <c r="P334" s="38"/>
      <c r="Q334" s="19">
        <f t="shared" si="267"/>
        <v>0</v>
      </c>
      <c r="R334" s="21">
        <f t="shared" si="268"/>
        <v>0</v>
      </c>
      <c r="S334" s="19">
        <f t="shared" si="269"/>
        <v>2</v>
      </c>
      <c r="T334" s="19">
        <f t="shared" si="270"/>
        <v>0</v>
      </c>
      <c r="U334" s="21">
        <f t="shared" si="271"/>
        <v>0</v>
      </c>
      <c r="V334" s="39"/>
      <c r="W334" s="16"/>
      <c r="X334" s="17">
        <f>VLOOKUP(W334,'DATABASE F&amp;B'!$C$3:$F$216,2,0)</f>
        <v>0</v>
      </c>
      <c r="Y334" s="18"/>
      <c r="Z334" s="19">
        <f>VLOOKUP(W334,'DATABASE F&amp;B'!$C$3:$F$216,4,0)</f>
        <v>0</v>
      </c>
      <c r="AA334" s="19">
        <f t="shared" si="272"/>
        <v>0</v>
      </c>
      <c r="AB334" s="16"/>
      <c r="AC334" s="17">
        <f>VLOOKUP(AB334,'DATABASE F&amp;B'!$C$3:$F$216,2,0)</f>
        <v>0</v>
      </c>
      <c r="AD334" s="18"/>
      <c r="AE334" s="19">
        <f>VLOOKUP(AB334,'DATABASE F&amp;B'!$C$3:$F$216,4,0)</f>
        <v>0</v>
      </c>
      <c r="AF334" s="19">
        <f t="shared" si="273"/>
        <v>0</v>
      </c>
      <c r="AG334" s="16"/>
      <c r="AH334" s="17">
        <f>VLOOKUP(AG334,'DATABASE F&amp;B'!$C$3:$F$216,2,0)</f>
        <v>0</v>
      </c>
      <c r="AI334" s="18"/>
      <c r="AJ334" s="19">
        <f>VLOOKUP(AG334,'DATABASE F&amp;B'!$C$3:$F$216,4,0)</f>
        <v>0</v>
      </c>
      <c r="AK334" s="19">
        <f t="shared" si="274"/>
        <v>0</v>
      </c>
      <c r="AL334" s="16"/>
      <c r="AM334" s="17">
        <f>VLOOKUP(AL334,'DATABASE F&amp;B'!$C$3:$F$216,2,0)</f>
        <v>0</v>
      </c>
      <c r="AN334" s="18">
        <v>1</v>
      </c>
      <c r="AO334" s="19">
        <f>VLOOKUP(AL334,'DATABASE F&amp;B'!$C$3:$F$216,4,0)</f>
        <v>0</v>
      </c>
      <c r="AP334" s="19">
        <f t="shared" si="275"/>
        <v>0</v>
      </c>
      <c r="AQ334" s="16"/>
      <c r="AR334" s="17">
        <f>VLOOKUP(AQ334,'DATABASE F&amp;B'!$C$3:$F$216,2,0)</f>
        <v>0</v>
      </c>
      <c r="AS334" s="18">
        <v>1</v>
      </c>
      <c r="AT334" s="19">
        <f>VLOOKUP(AQ334,'DATABASE F&amp;B'!$C$3:$F$216,4,0)</f>
        <v>0</v>
      </c>
      <c r="AU334" s="19">
        <f t="shared" si="276"/>
        <v>0</v>
      </c>
      <c r="AV334" s="16"/>
      <c r="AW334" s="17">
        <f>VLOOKUP(AV334,'DATABASE F&amp;B'!$C$3:$F$216,2,0)</f>
        <v>0</v>
      </c>
      <c r="AX334" s="18"/>
      <c r="AY334" s="19">
        <f>VLOOKUP(AV334,'DATABASE F&amp;B'!$C$3:$F$216,4,0)</f>
        <v>0</v>
      </c>
      <c r="AZ334" s="19">
        <f t="shared" si="277"/>
        <v>0</v>
      </c>
      <c r="BA334" s="16"/>
      <c r="BB334" s="17">
        <f>VLOOKUP(BA334,'DATABASE F&amp;B'!$C$3:$F$216,2,0)</f>
        <v>0</v>
      </c>
      <c r="BC334" s="18"/>
      <c r="BD334" s="19">
        <f>VLOOKUP(BA334,'DATABASE F&amp;B'!$C$3:$F$216,4,0)</f>
        <v>0</v>
      </c>
      <c r="BE334" s="19">
        <f t="shared" si="278"/>
        <v>0</v>
      </c>
      <c r="BF334" s="16"/>
      <c r="BG334" s="17">
        <f>VLOOKUP(BF334,'DATABASE F&amp;B'!$C$3:$F$216,2,0)</f>
        <v>0</v>
      </c>
      <c r="BH334" s="18"/>
      <c r="BI334" s="19">
        <f>VLOOKUP(BF334,'DATABASE F&amp;B'!$C$3:$F$216,4,0)</f>
        <v>0</v>
      </c>
      <c r="BJ334" s="19">
        <f t="shared" si="279"/>
        <v>0</v>
      </c>
      <c r="BK334" s="16"/>
      <c r="BL334" s="17">
        <f>VLOOKUP(BK334,'DATABASE F&amp;B'!$C$3:$F$210,2,0)</f>
        <v>0</v>
      </c>
      <c r="BM334" s="18"/>
      <c r="BN334" s="19">
        <f>VLOOKUP(BK334,'DATABASE F&amp;B'!$C$3:$F$210,4,0)</f>
        <v>0</v>
      </c>
      <c r="BO334" s="19">
        <f t="shared" si="280"/>
        <v>0</v>
      </c>
      <c r="BP334" s="16"/>
      <c r="BQ334" s="17">
        <f>VLOOKUP(BP334,'DATABASE F&amp;B'!$C$3:$F$210,2,0)</f>
        <v>0</v>
      </c>
      <c r="BR334" s="18"/>
      <c r="BS334" s="19">
        <f>VLOOKUP(BP334,'DATABASE F&amp;B'!$C$3:$F$210,4,0)</f>
        <v>0</v>
      </c>
      <c r="BT334" s="19">
        <f t="shared" si="281"/>
        <v>0</v>
      </c>
      <c r="BU334" s="16"/>
      <c r="BV334" s="17">
        <f>VLOOKUP(BU334,'DATABASE F&amp;B'!$C$3:$F$210,2,0)</f>
        <v>0</v>
      </c>
      <c r="BW334" s="18"/>
      <c r="BX334" s="19">
        <f>VLOOKUP(BU334,'DATABASE F&amp;B'!$C$3:$F$210,4,0)</f>
        <v>0</v>
      </c>
      <c r="BY334" s="19">
        <f t="shared" si="282"/>
        <v>0</v>
      </c>
      <c r="BZ334" s="16"/>
      <c r="CA334" s="17">
        <f>VLOOKUP(BZ334,'DATABASE F&amp;B'!$C$3:$F$210,2,0)</f>
        <v>0</v>
      </c>
      <c r="CB334" s="18"/>
      <c r="CC334" s="19">
        <f>VLOOKUP(BZ334,'DATABASE F&amp;B'!$C$3:$F$210,4,0)</f>
        <v>0</v>
      </c>
      <c r="CD334" s="19">
        <f t="shared" si="283"/>
        <v>0</v>
      </c>
    </row>
    <row r="335" spans="1:82" ht="13.5" x14ac:dyDescent="0.25">
      <c r="A335" s="32" t="str">
        <f t="shared" si="264"/>
        <v>--20</v>
      </c>
      <c r="B335" s="22">
        <f t="shared" si="286"/>
        <v>331</v>
      </c>
      <c r="C335" s="22">
        <f t="shared" si="286"/>
        <v>331</v>
      </c>
      <c r="D335" s="34"/>
      <c r="E335" s="35"/>
      <c r="F335" s="35"/>
      <c r="G335" s="52"/>
      <c r="H335" s="36" t="str">
        <f t="shared" si="285"/>
        <v>RJ--331</v>
      </c>
      <c r="I335" s="36" t="str">
        <f t="shared" si="265"/>
        <v>--20</v>
      </c>
      <c r="J335" s="37" t="e">
        <f>VLOOKUP(D335,Laporan!$C$4:$D$34,2,0)</f>
        <v>#N/A</v>
      </c>
      <c r="K335" s="48"/>
      <c r="L335" s="13"/>
      <c r="M335" s="19">
        <f>SUMIF('DATABASE Room'!$B$3:$B$7,L335,'DATABASE Room'!$D$3:$D$7)</f>
        <v>0</v>
      </c>
      <c r="N335" s="13"/>
      <c r="O335" s="21">
        <f t="shared" si="266"/>
        <v>0</v>
      </c>
      <c r="P335" s="38"/>
      <c r="Q335" s="19">
        <f t="shared" si="267"/>
        <v>0</v>
      </c>
      <c r="R335" s="21">
        <f t="shared" si="268"/>
        <v>0</v>
      </c>
      <c r="S335" s="19">
        <f t="shared" si="269"/>
        <v>2</v>
      </c>
      <c r="T335" s="19">
        <f t="shared" si="270"/>
        <v>0</v>
      </c>
      <c r="U335" s="21">
        <f t="shared" si="271"/>
        <v>0</v>
      </c>
      <c r="V335" s="39"/>
      <c r="W335" s="16"/>
      <c r="X335" s="17">
        <f>VLOOKUP(W335,'DATABASE F&amp;B'!$C$3:$F$216,2,0)</f>
        <v>0</v>
      </c>
      <c r="Y335" s="18"/>
      <c r="Z335" s="19">
        <f>VLOOKUP(W335,'DATABASE F&amp;B'!$C$3:$F$216,4,0)</f>
        <v>0</v>
      </c>
      <c r="AA335" s="19">
        <f t="shared" si="272"/>
        <v>0</v>
      </c>
      <c r="AB335" s="16"/>
      <c r="AC335" s="17">
        <f>VLOOKUP(AB335,'DATABASE F&amp;B'!$C$3:$F$216,2,0)</f>
        <v>0</v>
      </c>
      <c r="AD335" s="18"/>
      <c r="AE335" s="19">
        <f>VLOOKUP(AB335,'DATABASE F&amp;B'!$C$3:$F$216,4,0)</f>
        <v>0</v>
      </c>
      <c r="AF335" s="19">
        <f t="shared" si="273"/>
        <v>0</v>
      </c>
      <c r="AG335" s="16"/>
      <c r="AH335" s="17">
        <f>VLOOKUP(AG335,'DATABASE F&amp;B'!$C$3:$F$216,2,0)</f>
        <v>0</v>
      </c>
      <c r="AI335" s="18"/>
      <c r="AJ335" s="19">
        <f>VLOOKUP(AG335,'DATABASE F&amp;B'!$C$3:$F$216,4,0)</f>
        <v>0</v>
      </c>
      <c r="AK335" s="19">
        <f t="shared" si="274"/>
        <v>0</v>
      </c>
      <c r="AL335" s="16"/>
      <c r="AM335" s="17">
        <f>VLOOKUP(AL335,'DATABASE F&amp;B'!$C$3:$F$216,2,0)</f>
        <v>0</v>
      </c>
      <c r="AN335" s="18">
        <v>1</v>
      </c>
      <c r="AO335" s="19">
        <f>VLOOKUP(AL335,'DATABASE F&amp;B'!$C$3:$F$216,4,0)</f>
        <v>0</v>
      </c>
      <c r="AP335" s="19">
        <f t="shared" si="275"/>
        <v>0</v>
      </c>
      <c r="AQ335" s="16"/>
      <c r="AR335" s="17">
        <f>VLOOKUP(AQ335,'DATABASE F&amp;B'!$C$3:$F$216,2,0)</f>
        <v>0</v>
      </c>
      <c r="AS335" s="18">
        <v>1</v>
      </c>
      <c r="AT335" s="19">
        <f>VLOOKUP(AQ335,'DATABASE F&amp;B'!$C$3:$F$216,4,0)</f>
        <v>0</v>
      </c>
      <c r="AU335" s="19">
        <f t="shared" si="276"/>
        <v>0</v>
      </c>
      <c r="AV335" s="16"/>
      <c r="AW335" s="17">
        <f>VLOOKUP(AV335,'DATABASE F&amp;B'!$C$3:$F$216,2,0)</f>
        <v>0</v>
      </c>
      <c r="AX335" s="18"/>
      <c r="AY335" s="19">
        <f>VLOOKUP(AV335,'DATABASE F&amp;B'!$C$3:$F$216,4,0)</f>
        <v>0</v>
      </c>
      <c r="AZ335" s="19">
        <f t="shared" si="277"/>
        <v>0</v>
      </c>
      <c r="BA335" s="16"/>
      <c r="BB335" s="17">
        <f>VLOOKUP(BA335,'DATABASE F&amp;B'!$C$3:$F$216,2,0)</f>
        <v>0</v>
      </c>
      <c r="BC335" s="18"/>
      <c r="BD335" s="19">
        <f>VLOOKUP(BA335,'DATABASE F&amp;B'!$C$3:$F$216,4,0)</f>
        <v>0</v>
      </c>
      <c r="BE335" s="19">
        <f t="shared" si="278"/>
        <v>0</v>
      </c>
      <c r="BF335" s="16"/>
      <c r="BG335" s="17">
        <f>VLOOKUP(BF335,'DATABASE F&amp;B'!$C$3:$F$216,2,0)</f>
        <v>0</v>
      </c>
      <c r="BH335" s="18"/>
      <c r="BI335" s="19">
        <f>VLOOKUP(BF335,'DATABASE F&amp;B'!$C$3:$F$216,4,0)</f>
        <v>0</v>
      </c>
      <c r="BJ335" s="19">
        <f t="shared" si="279"/>
        <v>0</v>
      </c>
      <c r="BK335" s="16"/>
      <c r="BL335" s="17">
        <f>VLOOKUP(BK335,'DATABASE F&amp;B'!$C$3:$F$210,2,0)</f>
        <v>0</v>
      </c>
      <c r="BM335" s="18"/>
      <c r="BN335" s="19">
        <f>VLOOKUP(BK335,'DATABASE F&amp;B'!$C$3:$F$210,4,0)</f>
        <v>0</v>
      </c>
      <c r="BO335" s="19">
        <f t="shared" si="280"/>
        <v>0</v>
      </c>
      <c r="BP335" s="16"/>
      <c r="BQ335" s="17">
        <f>VLOOKUP(BP335,'DATABASE F&amp;B'!$C$3:$F$210,2,0)</f>
        <v>0</v>
      </c>
      <c r="BR335" s="18"/>
      <c r="BS335" s="19">
        <f>VLOOKUP(BP335,'DATABASE F&amp;B'!$C$3:$F$210,4,0)</f>
        <v>0</v>
      </c>
      <c r="BT335" s="19">
        <f t="shared" si="281"/>
        <v>0</v>
      </c>
      <c r="BU335" s="16"/>
      <c r="BV335" s="17">
        <f>VLOOKUP(BU335,'DATABASE F&amp;B'!$C$3:$F$210,2,0)</f>
        <v>0</v>
      </c>
      <c r="BW335" s="18"/>
      <c r="BX335" s="19">
        <f>VLOOKUP(BU335,'DATABASE F&amp;B'!$C$3:$F$210,4,0)</f>
        <v>0</v>
      </c>
      <c r="BY335" s="19">
        <f t="shared" si="282"/>
        <v>0</v>
      </c>
      <c r="BZ335" s="16"/>
      <c r="CA335" s="17">
        <f>VLOOKUP(BZ335,'DATABASE F&amp;B'!$C$3:$F$210,2,0)</f>
        <v>0</v>
      </c>
      <c r="CB335" s="18"/>
      <c r="CC335" s="19">
        <f>VLOOKUP(BZ335,'DATABASE F&amp;B'!$C$3:$F$210,4,0)</f>
        <v>0</v>
      </c>
      <c r="CD335" s="19">
        <f t="shared" si="283"/>
        <v>0</v>
      </c>
    </row>
    <row r="336" spans="1:82" ht="13.5" x14ac:dyDescent="0.25">
      <c r="A336" s="32" t="str">
        <f t="shared" si="264"/>
        <v>--20</v>
      </c>
      <c r="B336" s="22">
        <f t="shared" si="286"/>
        <v>332</v>
      </c>
      <c r="C336" s="22">
        <f t="shared" si="286"/>
        <v>332</v>
      </c>
      <c r="D336" s="34"/>
      <c r="E336" s="35"/>
      <c r="F336" s="35"/>
      <c r="G336" s="52"/>
      <c r="H336" s="36" t="str">
        <f t="shared" si="285"/>
        <v>RJ--332</v>
      </c>
      <c r="I336" s="36" t="str">
        <f t="shared" si="265"/>
        <v>--20</v>
      </c>
      <c r="J336" s="37" t="e">
        <f>VLOOKUP(D336,Laporan!$C$4:$D$34,2,0)</f>
        <v>#N/A</v>
      </c>
      <c r="K336" s="48"/>
      <c r="L336" s="13"/>
      <c r="M336" s="19">
        <f>SUMIF('DATABASE Room'!$B$3:$B$7,L336,'DATABASE Room'!$D$3:$D$7)</f>
        <v>0</v>
      </c>
      <c r="N336" s="13"/>
      <c r="O336" s="21">
        <f t="shared" si="266"/>
        <v>0</v>
      </c>
      <c r="P336" s="38"/>
      <c r="Q336" s="19">
        <f t="shared" si="267"/>
        <v>0</v>
      </c>
      <c r="R336" s="21">
        <f t="shared" si="268"/>
        <v>0</v>
      </c>
      <c r="S336" s="19">
        <f t="shared" si="269"/>
        <v>2</v>
      </c>
      <c r="T336" s="19">
        <f t="shared" si="270"/>
        <v>0</v>
      </c>
      <c r="U336" s="21">
        <f t="shared" si="271"/>
        <v>0</v>
      </c>
      <c r="V336" s="39"/>
      <c r="W336" s="16"/>
      <c r="X336" s="17">
        <f>VLOOKUP(W336,'DATABASE F&amp;B'!$C$3:$F$216,2,0)</f>
        <v>0</v>
      </c>
      <c r="Y336" s="18"/>
      <c r="Z336" s="19">
        <f>VLOOKUP(W336,'DATABASE F&amp;B'!$C$3:$F$216,4,0)</f>
        <v>0</v>
      </c>
      <c r="AA336" s="19">
        <f t="shared" si="272"/>
        <v>0</v>
      </c>
      <c r="AB336" s="16"/>
      <c r="AC336" s="17">
        <f>VLOOKUP(AB336,'DATABASE F&amp;B'!$C$3:$F$216,2,0)</f>
        <v>0</v>
      </c>
      <c r="AD336" s="18"/>
      <c r="AE336" s="19">
        <f>VLOOKUP(AB336,'DATABASE F&amp;B'!$C$3:$F$216,4,0)</f>
        <v>0</v>
      </c>
      <c r="AF336" s="19">
        <f t="shared" si="273"/>
        <v>0</v>
      </c>
      <c r="AG336" s="16"/>
      <c r="AH336" s="17">
        <f>VLOOKUP(AG336,'DATABASE F&amp;B'!$C$3:$F$216,2,0)</f>
        <v>0</v>
      </c>
      <c r="AI336" s="18"/>
      <c r="AJ336" s="19">
        <f>VLOOKUP(AG336,'DATABASE F&amp;B'!$C$3:$F$216,4,0)</f>
        <v>0</v>
      </c>
      <c r="AK336" s="19">
        <f t="shared" si="274"/>
        <v>0</v>
      </c>
      <c r="AL336" s="16"/>
      <c r="AM336" s="17">
        <f>VLOOKUP(AL336,'DATABASE F&amp;B'!$C$3:$F$216,2,0)</f>
        <v>0</v>
      </c>
      <c r="AN336" s="18">
        <v>1</v>
      </c>
      <c r="AO336" s="19">
        <f>VLOOKUP(AL336,'DATABASE F&amp;B'!$C$3:$F$216,4,0)</f>
        <v>0</v>
      </c>
      <c r="AP336" s="19">
        <f t="shared" si="275"/>
        <v>0</v>
      </c>
      <c r="AQ336" s="16"/>
      <c r="AR336" s="17">
        <f>VLOOKUP(AQ336,'DATABASE F&amp;B'!$C$3:$F$216,2,0)</f>
        <v>0</v>
      </c>
      <c r="AS336" s="18">
        <v>1</v>
      </c>
      <c r="AT336" s="19">
        <f>VLOOKUP(AQ336,'DATABASE F&amp;B'!$C$3:$F$216,4,0)</f>
        <v>0</v>
      </c>
      <c r="AU336" s="19">
        <f t="shared" si="276"/>
        <v>0</v>
      </c>
      <c r="AV336" s="16"/>
      <c r="AW336" s="17">
        <f>VLOOKUP(AV336,'DATABASE F&amp;B'!$C$3:$F$216,2,0)</f>
        <v>0</v>
      </c>
      <c r="AX336" s="18"/>
      <c r="AY336" s="19">
        <f>VLOOKUP(AV336,'DATABASE F&amp;B'!$C$3:$F$216,4,0)</f>
        <v>0</v>
      </c>
      <c r="AZ336" s="19">
        <f t="shared" si="277"/>
        <v>0</v>
      </c>
      <c r="BA336" s="16"/>
      <c r="BB336" s="17">
        <f>VLOOKUP(BA336,'DATABASE F&amp;B'!$C$3:$F$216,2,0)</f>
        <v>0</v>
      </c>
      <c r="BC336" s="18"/>
      <c r="BD336" s="19">
        <f>VLOOKUP(BA336,'DATABASE F&amp;B'!$C$3:$F$216,4,0)</f>
        <v>0</v>
      </c>
      <c r="BE336" s="19">
        <f t="shared" si="278"/>
        <v>0</v>
      </c>
      <c r="BF336" s="16"/>
      <c r="BG336" s="17">
        <f>VLOOKUP(BF336,'DATABASE F&amp;B'!$C$3:$F$216,2,0)</f>
        <v>0</v>
      </c>
      <c r="BH336" s="18"/>
      <c r="BI336" s="19">
        <f>VLOOKUP(BF336,'DATABASE F&amp;B'!$C$3:$F$216,4,0)</f>
        <v>0</v>
      </c>
      <c r="BJ336" s="19">
        <f t="shared" si="279"/>
        <v>0</v>
      </c>
      <c r="BK336" s="16"/>
      <c r="BL336" s="17">
        <f>VLOOKUP(BK336,'DATABASE F&amp;B'!$C$3:$F$210,2,0)</f>
        <v>0</v>
      </c>
      <c r="BM336" s="18"/>
      <c r="BN336" s="19">
        <f>VLOOKUP(BK336,'DATABASE F&amp;B'!$C$3:$F$210,4,0)</f>
        <v>0</v>
      </c>
      <c r="BO336" s="19">
        <f t="shared" si="280"/>
        <v>0</v>
      </c>
      <c r="BP336" s="16"/>
      <c r="BQ336" s="17">
        <f>VLOOKUP(BP336,'DATABASE F&amp;B'!$C$3:$F$210,2,0)</f>
        <v>0</v>
      </c>
      <c r="BR336" s="18"/>
      <c r="BS336" s="19">
        <f>VLOOKUP(BP336,'DATABASE F&amp;B'!$C$3:$F$210,4,0)</f>
        <v>0</v>
      </c>
      <c r="BT336" s="19">
        <f t="shared" si="281"/>
        <v>0</v>
      </c>
      <c r="BU336" s="16"/>
      <c r="BV336" s="17">
        <f>VLOOKUP(BU336,'DATABASE F&amp;B'!$C$3:$F$210,2,0)</f>
        <v>0</v>
      </c>
      <c r="BW336" s="18"/>
      <c r="BX336" s="19">
        <f>VLOOKUP(BU336,'DATABASE F&amp;B'!$C$3:$F$210,4,0)</f>
        <v>0</v>
      </c>
      <c r="BY336" s="19">
        <f t="shared" si="282"/>
        <v>0</v>
      </c>
      <c r="BZ336" s="16"/>
      <c r="CA336" s="17">
        <f>VLOOKUP(BZ336,'DATABASE F&amp;B'!$C$3:$F$210,2,0)</f>
        <v>0</v>
      </c>
      <c r="CB336" s="18"/>
      <c r="CC336" s="19">
        <f>VLOOKUP(BZ336,'DATABASE F&amp;B'!$C$3:$F$210,4,0)</f>
        <v>0</v>
      </c>
      <c r="CD336" s="19">
        <f t="shared" si="283"/>
        <v>0</v>
      </c>
    </row>
    <row r="337" spans="1:82" ht="13.5" x14ac:dyDescent="0.25">
      <c r="A337" s="32" t="str">
        <f t="shared" si="264"/>
        <v>--20</v>
      </c>
      <c r="B337" s="22">
        <f t="shared" si="286"/>
        <v>333</v>
      </c>
      <c r="C337" s="22">
        <f t="shared" si="286"/>
        <v>333</v>
      </c>
      <c r="D337" s="34"/>
      <c r="E337" s="35"/>
      <c r="F337" s="35"/>
      <c r="G337" s="52"/>
      <c r="H337" s="36" t="str">
        <f t="shared" si="285"/>
        <v>RJ--333</v>
      </c>
      <c r="I337" s="36" t="str">
        <f t="shared" si="265"/>
        <v>--20</v>
      </c>
      <c r="J337" s="37" t="e">
        <f>VLOOKUP(D337,Laporan!$C$4:$D$34,2,0)</f>
        <v>#N/A</v>
      </c>
      <c r="K337" s="48"/>
      <c r="L337" s="13"/>
      <c r="M337" s="19">
        <f>SUMIF('DATABASE Room'!$B$3:$B$7,L337,'DATABASE Room'!$D$3:$D$7)</f>
        <v>0</v>
      </c>
      <c r="N337" s="13"/>
      <c r="O337" s="21">
        <f t="shared" si="266"/>
        <v>0</v>
      </c>
      <c r="P337" s="38"/>
      <c r="Q337" s="19">
        <f t="shared" si="267"/>
        <v>0</v>
      </c>
      <c r="R337" s="21">
        <f t="shared" si="268"/>
        <v>0</v>
      </c>
      <c r="S337" s="19">
        <f t="shared" si="269"/>
        <v>2</v>
      </c>
      <c r="T337" s="19">
        <f t="shared" si="270"/>
        <v>0</v>
      </c>
      <c r="U337" s="21">
        <f t="shared" si="271"/>
        <v>0</v>
      </c>
      <c r="V337" s="39"/>
      <c r="W337" s="16"/>
      <c r="X337" s="17">
        <f>VLOOKUP(W337,'DATABASE F&amp;B'!$C$3:$F$216,2,0)</f>
        <v>0</v>
      </c>
      <c r="Y337" s="18"/>
      <c r="Z337" s="19">
        <f>VLOOKUP(W337,'DATABASE F&amp;B'!$C$3:$F$216,4,0)</f>
        <v>0</v>
      </c>
      <c r="AA337" s="19">
        <f t="shared" si="272"/>
        <v>0</v>
      </c>
      <c r="AB337" s="16"/>
      <c r="AC337" s="17">
        <f>VLOOKUP(AB337,'DATABASE F&amp;B'!$C$3:$F$216,2,0)</f>
        <v>0</v>
      </c>
      <c r="AD337" s="18"/>
      <c r="AE337" s="19">
        <f>VLOOKUP(AB337,'DATABASE F&amp;B'!$C$3:$F$216,4,0)</f>
        <v>0</v>
      </c>
      <c r="AF337" s="19">
        <f t="shared" si="273"/>
        <v>0</v>
      </c>
      <c r="AG337" s="16"/>
      <c r="AH337" s="17">
        <f>VLOOKUP(AG337,'DATABASE F&amp;B'!$C$3:$F$216,2,0)</f>
        <v>0</v>
      </c>
      <c r="AI337" s="18"/>
      <c r="AJ337" s="19">
        <f>VLOOKUP(AG337,'DATABASE F&amp;B'!$C$3:$F$216,4,0)</f>
        <v>0</v>
      </c>
      <c r="AK337" s="19">
        <f t="shared" si="274"/>
        <v>0</v>
      </c>
      <c r="AL337" s="16"/>
      <c r="AM337" s="17">
        <f>VLOOKUP(AL337,'DATABASE F&amp;B'!$C$3:$F$216,2,0)</f>
        <v>0</v>
      </c>
      <c r="AN337" s="18">
        <v>1</v>
      </c>
      <c r="AO337" s="19">
        <f>VLOOKUP(AL337,'DATABASE F&amp;B'!$C$3:$F$216,4,0)</f>
        <v>0</v>
      </c>
      <c r="AP337" s="19">
        <f t="shared" si="275"/>
        <v>0</v>
      </c>
      <c r="AQ337" s="16"/>
      <c r="AR337" s="17">
        <f>VLOOKUP(AQ337,'DATABASE F&amp;B'!$C$3:$F$216,2,0)</f>
        <v>0</v>
      </c>
      <c r="AS337" s="18">
        <v>1</v>
      </c>
      <c r="AT337" s="19">
        <f>VLOOKUP(AQ337,'DATABASE F&amp;B'!$C$3:$F$216,4,0)</f>
        <v>0</v>
      </c>
      <c r="AU337" s="19">
        <f t="shared" si="276"/>
        <v>0</v>
      </c>
      <c r="AV337" s="16"/>
      <c r="AW337" s="17">
        <f>VLOOKUP(AV337,'DATABASE F&amp;B'!$C$3:$F$216,2,0)</f>
        <v>0</v>
      </c>
      <c r="AX337" s="18"/>
      <c r="AY337" s="19">
        <f>VLOOKUP(AV337,'DATABASE F&amp;B'!$C$3:$F$216,4,0)</f>
        <v>0</v>
      </c>
      <c r="AZ337" s="19">
        <f t="shared" si="277"/>
        <v>0</v>
      </c>
      <c r="BA337" s="16"/>
      <c r="BB337" s="17">
        <f>VLOOKUP(BA337,'DATABASE F&amp;B'!$C$3:$F$216,2,0)</f>
        <v>0</v>
      </c>
      <c r="BC337" s="18"/>
      <c r="BD337" s="19">
        <f>VLOOKUP(BA337,'DATABASE F&amp;B'!$C$3:$F$216,4,0)</f>
        <v>0</v>
      </c>
      <c r="BE337" s="19">
        <f t="shared" si="278"/>
        <v>0</v>
      </c>
      <c r="BF337" s="16"/>
      <c r="BG337" s="17">
        <f>VLOOKUP(BF337,'DATABASE F&amp;B'!$C$3:$F$216,2,0)</f>
        <v>0</v>
      </c>
      <c r="BH337" s="18"/>
      <c r="BI337" s="19">
        <f>VLOOKUP(BF337,'DATABASE F&amp;B'!$C$3:$F$216,4,0)</f>
        <v>0</v>
      </c>
      <c r="BJ337" s="19">
        <f t="shared" si="279"/>
        <v>0</v>
      </c>
      <c r="BK337" s="16"/>
      <c r="BL337" s="17">
        <f>VLOOKUP(BK337,'DATABASE F&amp;B'!$C$3:$F$210,2,0)</f>
        <v>0</v>
      </c>
      <c r="BM337" s="18"/>
      <c r="BN337" s="19">
        <f>VLOOKUP(BK337,'DATABASE F&amp;B'!$C$3:$F$210,4,0)</f>
        <v>0</v>
      </c>
      <c r="BO337" s="19">
        <f t="shared" si="280"/>
        <v>0</v>
      </c>
      <c r="BP337" s="16"/>
      <c r="BQ337" s="17">
        <f>VLOOKUP(BP337,'DATABASE F&amp;B'!$C$3:$F$210,2,0)</f>
        <v>0</v>
      </c>
      <c r="BR337" s="18"/>
      <c r="BS337" s="19">
        <f>VLOOKUP(BP337,'DATABASE F&amp;B'!$C$3:$F$210,4,0)</f>
        <v>0</v>
      </c>
      <c r="BT337" s="19">
        <f t="shared" si="281"/>
        <v>0</v>
      </c>
      <c r="BU337" s="16"/>
      <c r="BV337" s="17">
        <f>VLOOKUP(BU337,'DATABASE F&amp;B'!$C$3:$F$210,2,0)</f>
        <v>0</v>
      </c>
      <c r="BW337" s="18"/>
      <c r="BX337" s="19">
        <f>VLOOKUP(BU337,'DATABASE F&amp;B'!$C$3:$F$210,4,0)</f>
        <v>0</v>
      </c>
      <c r="BY337" s="19">
        <f t="shared" si="282"/>
        <v>0</v>
      </c>
      <c r="BZ337" s="16"/>
      <c r="CA337" s="17">
        <f>VLOOKUP(BZ337,'DATABASE F&amp;B'!$C$3:$F$210,2,0)</f>
        <v>0</v>
      </c>
      <c r="CB337" s="18"/>
      <c r="CC337" s="19">
        <f>VLOOKUP(BZ337,'DATABASE F&amp;B'!$C$3:$F$210,4,0)</f>
        <v>0</v>
      </c>
      <c r="CD337" s="19">
        <f t="shared" si="283"/>
        <v>0</v>
      </c>
    </row>
    <row r="338" spans="1:82" ht="13.5" x14ac:dyDescent="0.25">
      <c r="A338" s="32" t="str">
        <f t="shared" si="264"/>
        <v>--20</v>
      </c>
      <c r="B338" s="22">
        <f t="shared" si="286"/>
        <v>334</v>
      </c>
      <c r="C338" s="22">
        <f t="shared" si="286"/>
        <v>334</v>
      </c>
      <c r="D338" s="34"/>
      <c r="E338" s="35"/>
      <c r="F338" s="35"/>
      <c r="G338" s="52"/>
      <c r="H338" s="36" t="str">
        <f t="shared" si="285"/>
        <v>RJ--334</v>
      </c>
      <c r="I338" s="36" t="str">
        <f t="shared" si="265"/>
        <v>--20</v>
      </c>
      <c r="J338" s="37" t="e">
        <f>VLOOKUP(D338,Laporan!$C$4:$D$34,2,0)</f>
        <v>#N/A</v>
      </c>
      <c r="K338" s="48"/>
      <c r="L338" s="13"/>
      <c r="M338" s="19">
        <f>SUMIF('DATABASE Room'!$B$3:$B$7,L338,'DATABASE Room'!$D$3:$D$7)</f>
        <v>0</v>
      </c>
      <c r="N338" s="13"/>
      <c r="O338" s="21">
        <f t="shared" si="266"/>
        <v>0</v>
      </c>
      <c r="P338" s="38"/>
      <c r="Q338" s="19">
        <f t="shared" si="267"/>
        <v>0</v>
      </c>
      <c r="R338" s="21">
        <f t="shared" si="268"/>
        <v>0</v>
      </c>
      <c r="S338" s="19">
        <f t="shared" si="269"/>
        <v>2</v>
      </c>
      <c r="T338" s="19">
        <f t="shared" si="270"/>
        <v>0</v>
      </c>
      <c r="U338" s="21">
        <f t="shared" si="271"/>
        <v>0</v>
      </c>
      <c r="V338" s="39"/>
      <c r="W338" s="16"/>
      <c r="X338" s="17">
        <f>VLOOKUP(W338,'DATABASE F&amp;B'!$C$3:$F$216,2,0)</f>
        <v>0</v>
      </c>
      <c r="Y338" s="18"/>
      <c r="Z338" s="19">
        <f>VLOOKUP(W338,'DATABASE F&amp;B'!$C$3:$F$216,4,0)</f>
        <v>0</v>
      </c>
      <c r="AA338" s="19">
        <f t="shared" si="272"/>
        <v>0</v>
      </c>
      <c r="AB338" s="16"/>
      <c r="AC338" s="17">
        <f>VLOOKUP(AB338,'DATABASE F&amp;B'!$C$3:$F$216,2,0)</f>
        <v>0</v>
      </c>
      <c r="AD338" s="18"/>
      <c r="AE338" s="19">
        <f>VLOOKUP(AB338,'DATABASE F&amp;B'!$C$3:$F$216,4,0)</f>
        <v>0</v>
      </c>
      <c r="AF338" s="19">
        <f t="shared" si="273"/>
        <v>0</v>
      </c>
      <c r="AG338" s="16"/>
      <c r="AH338" s="17">
        <f>VLOOKUP(AG338,'DATABASE F&amp;B'!$C$3:$F$216,2,0)</f>
        <v>0</v>
      </c>
      <c r="AI338" s="18"/>
      <c r="AJ338" s="19">
        <f>VLOOKUP(AG338,'DATABASE F&amp;B'!$C$3:$F$216,4,0)</f>
        <v>0</v>
      </c>
      <c r="AK338" s="19">
        <f t="shared" si="274"/>
        <v>0</v>
      </c>
      <c r="AL338" s="16"/>
      <c r="AM338" s="17">
        <f>VLOOKUP(AL338,'DATABASE F&amp;B'!$C$3:$F$216,2,0)</f>
        <v>0</v>
      </c>
      <c r="AN338" s="18">
        <v>1</v>
      </c>
      <c r="AO338" s="19">
        <f>VLOOKUP(AL338,'DATABASE F&amp;B'!$C$3:$F$216,4,0)</f>
        <v>0</v>
      </c>
      <c r="AP338" s="19">
        <f t="shared" si="275"/>
        <v>0</v>
      </c>
      <c r="AQ338" s="16"/>
      <c r="AR338" s="17">
        <f>VLOOKUP(AQ338,'DATABASE F&amp;B'!$C$3:$F$216,2,0)</f>
        <v>0</v>
      </c>
      <c r="AS338" s="18">
        <v>1</v>
      </c>
      <c r="AT338" s="19">
        <f>VLOOKUP(AQ338,'DATABASE F&amp;B'!$C$3:$F$216,4,0)</f>
        <v>0</v>
      </c>
      <c r="AU338" s="19">
        <f t="shared" si="276"/>
        <v>0</v>
      </c>
      <c r="AV338" s="16"/>
      <c r="AW338" s="17">
        <f>VLOOKUP(AV338,'DATABASE F&amp;B'!$C$3:$F$216,2,0)</f>
        <v>0</v>
      </c>
      <c r="AX338" s="18"/>
      <c r="AY338" s="19">
        <f>VLOOKUP(AV338,'DATABASE F&amp;B'!$C$3:$F$216,4,0)</f>
        <v>0</v>
      </c>
      <c r="AZ338" s="19">
        <f t="shared" si="277"/>
        <v>0</v>
      </c>
      <c r="BA338" s="16"/>
      <c r="BB338" s="17">
        <f>VLOOKUP(BA338,'DATABASE F&amp;B'!$C$3:$F$216,2,0)</f>
        <v>0</v>
      </c>
      <c r="BC338" s="18"/>
      <c r="BD338" s="19">
        <f>VLOOKUP(BA338,'DATABASE F&amp;B'!$C$3:$F$216,4,0)</f>
        <v>0</v>
      </c>
      <c r="BE338" s="19">
        <f t="shared" si="278"/>
        <v>0</v>
      </c>
      <c r="BF338" s="16"/>
      <c r="BG338" s="17">
        <f>VLOOKUP(BF338,'DATABASE F&amp;B'!$C$3:$F$216,2,0)</f>
        <v>0</v>
      </c>
      <c r="BH338" s="18"/>
      <c r="BI338" s="19">
        <f>VLOOKUP(BF338,'DATABASE F&amp;B'!$C$3:$F$216,4,0)</f>
        <v>0</v>
      </c>
      <c r="BJ338" s="19">
        <f t="shared" si="279"/>
        <v>0</v>
      </c>
      <c r="BK338" s="16"/>
      <c r="BL338" s="17">
        <f>VLOOKUP(BK338,'DATABASE F&amp;B'!$C$3:$F$210,2,0)</f>
        <v>0</v>
      </c>
      <c r="BM338" s="18"/>
      <c r="BN338" s="19">
        <f>VLOOKUP(BK338,'DATABASE F&amp;B'!$C$3:$F$210,4,0)</f>
        <v>0</v>
      </c>
      <c r="BO338" s="19">
        <f t="shared" si="280"/>
        <v>0</v>
      </c>
      <c r="BP338" s="16"/>
      <c r="BQ338" s="17">
        <f>VLOOKUP(BP338,'DATABASE F&amp;B'!$C$3:$F$210,2,0)</f>
        <v>0</v>
      </c>
      <c r="BR338" s="18"/>
      <c r="BS338" s="19">
        <f>VLOOKUP(BP338,'DATABASE F&amp;B'!$C$3:$F$210,4,0)</f>
        <v>0</v>
      </c>
      <c r="BT338" s="19">
        <f t="shared" si="281"/>
        <v>0</v>
      </c>
      <c r="BU338" s="16"/>
      <c r="BV338" s="17">
        <f>VLOOKUP(BU338,'DATABASE F&amp;B'!$C$3:$F$210,2,0)</f>
        <v>0</v>
      </c>
      <c r="BW338" s="18"/>
      <c r="BX338" s="19">
        <f>VLOOKUP(BU338,'DATABASE F&amp;B'!$C$3:$F$210,4,0)</f>
        <v>0</v>
      </c>
      <c r="BY338" s="19">
        <f t="shared" si="282"/>
        <v>0</v>
      </c>
      <c r="BZ338" s="16"/>
      <c r="CA338" s="17">
        <f>VLOOKUP(BZ338,'DATABASE F&amp;B'!$C$3:$F$210,2,0)</f>
        <v>0</v>
      </c>
      <c r="CB338" s="18"/>
      <c r="CC338" s="19">
        <f>VLOOKUP(BZ338,'DATABASE F&amp;B'!$C$3:$F$210,4,0)</f>
        <v>0</v>
      </c>
      <c r="CD338" s="19">
        <f t="shared" si="283"/>
        <v>0</v>
      </c>
    </row>
    <row r="339" spans="1:82" ht="13.5" x14ac:dyDescent="0.25">
      <c r="A339" s="32" t="str">
        <f t="shared" si="264"/>
        <v>--20</v>
      </c>
      <c r="B339" s="22">
        <f t="shared" si="286"/>
        <v>335</v>
      </c>
      <c r="C339" s="22">
        <f t="shared" si="286"/>
        <v>335</v>
      </c>
      <c r="D339" s="34"/>
      <c r="E339" s="35"/>
      <c r="F339" s="35"/>
      <c r="G339" s="52"/>
      <c r="H339" s="36" t="str">
        <f t="shared" si="285"/>
        <v>RJ--335</v>
      </c>
      <c r="I339" s="36" t="str">
        <f t="shared" si="265"/>
        <v>--20</v>
      </c>
      <c r="J339" s="37" t="e">
        <f>VLOOKUP(D339,Laporan!$C$4:$D$34,2,0)</f>
        <v>#N/A</v>
      </c>
      <c r="K339" s="48"/>
      <c r="L339" s="13"/>
      <c r="M339" s="19">
        <f>SUMIF('DATABASE Room'!$B$3:$B$7,L339,'DATABASE Room'!$D$3:$D$7)</f>
        <v>0</v>
      </c>
      <c r="N339" s="13"/>
      <c r="O339" s="21">
        <f t="shared" si="266"/>
        <v>0</v>
      </c>
      <c r="P339" s="38"/>
      <c r="Q339" s="19">
        <f t="shared" si="267"/>
        <v>0</v>
      </c>
      <c r="R339" s="21">
        <f t="shared" si="268"/>
        <v>0</v>
      </c>
      <c r="S339" s="19">
        <f t="shared" si="269"/>
        <v>2</v>
      </c>
      <c r="T339" s="19">
        <f t="shared" si="270"/>
        <v>0</v>
      </c>
      <c r="U339" s="21">
        <f t="shared" si="271"/>
        <v>0</v>
      </c>
      <c r="V339" s="39"/>
      <c r="W339" s="16"/>
      <c r="X339" s="17">
        <f>VLOOKUP(W339,'DATABASE F&amp;B'!$C$3:$F$216,2,0)</f>
        <v>0</v>
      </c>
      <c r="Y339" s="18"/>
      <c r="Z339" s="19">
        <f>VLOOKUP(W339,'DATABASE F&amp;B'!$C$3:$F$216,4,0)</f>
        <v>0</v>
      </c>
      <c r="AA339" s="19">
        <f t="shared" si="272"/>
        <v>0</v>
      </c>
      <c r="AB339" s="16"/>
      <c r="AC339" s="17">
        <f>VLOOKUP(AB339,'DATABASE F&amp;B'!$C$3:$F$216,2,0)</f>
        <v>0</v>
      </c>
      <c r="AD339" s="18"/>
      <c r="AE339" s="19">
        <f>VLOOKUP(AB339,'DATABASE F&amp;B'!$C$3:$F$216,4,0)</f>
        <v>0</v>
      </c>
      <c r="AF339" s="19">
        <f t="shared" si="273"/>
        <v>0</v>
      </c>
      <c r="AG339" s="16"/>
      <c r="AH339" s="17">
        <f>VLOOKUP(AG339,'DATABASE F&amp;B'!$C$3:$F$216,2,0)</f>
        <v>0</v>
      </c>
      <c r="AI339" s="18"/>
      <c r="AJ339" s="19">
        <f>VLOOKUP(AG339,'DATABASE F&amp;B'!$C$3:$F$216,4,0)</f>
        <v>0</v>
      </c>
      <c r="AK339" s="19">
        <f t="shared" si="274"/>
        <v>0</v>
      </c>
      <c r="AL339" s="16"/>
      <c r="AM339" s="17">
        <f>VLOOKUP(AL339,'DATABASE F&amp;B'!$C$3:$F$216,2,0)</f>
        <v>0</v>
      </c>
      <c r="AN339" s="18">
        <v>1</v>
      </c>
      <c r="AO339" s="19">
        <f>VLOOKUP(AL339,'DATABASE F&amp;B'!$C$3:$F$216,4,0)</f>
        <v>0</v>
      </c>
      <c r="AP339" s="19">
        <f t="shared" si="275"/>
        <v>0</v>
      </c>
      <c r="AQ339" s="16"/>
      <c r="AR339" s="17">
        <f>VLOOKUP(AQ339,'DATABASE F&amp;B'!$C$3:$F$216,2,0)</f>
        <v>0</v>
      </c>
      <c r="AS339" s="18">
        <v>1</v>
      </c>
      <c r="AT339" s="19">
        <f>VLOOKUP(AQ339,'DATABASE F&amp;B'!$C$3:$F$216,4,0)</f>
        <v>0</v>
      </c>
      <c r="AU339" s="19">
        <f t="shared" si="276"/>
        <v>0</v>
      </c>
      <c r="AV339" s="16"/>
      <c r="AW339" s="17">
        <f>VLOOKUP(AV339,'DATABASE F&amp;B'!$C$3:$F$216,2,0)</f>
        <v>0</v>
      </c>
      <c r="AX339" s="18"/>
      <c r="AY339" s="19">
        <f>VLOOKUP(AV339,'DATABASE F&amp;B'!$C$3:$F$216,4,0)</f>
        <v>0</v>
      </c>
      <c r="AZ339" s="19">
        <f t="shared" si="277"/>
        <v>0</v>
      </c>
      <c r="BA339" s="16"/>
      <c r="BB339" s="17">
        <f>VLOOKUP(BA339,'DATABASE F&amp;B'!$C$3:$F$216,2,0)</f>
        <v>0</v>
      </c>
      <c r="BC339" s="18"/>
      <c r="BD339" s="19">
        <f>VLOOKUP(BA339,'DATABASE F&amp;B'!$C$3:$F$216,4,0)</f>
        <v>0</v>
      </c>
      <c r="BE339" s="19">
        <f t="shared" si="278"/>
        <v>0</v>
      </c>
      <c r="BF339" s="16"/>
      <c r="BG339" s="17">
        <f>VLOOKUP(BF339,'DATABASE F&amp;B'!$C$3:$F$216,2,0)</f>
        <v>0</v>
      </c>
      <c r="BH339" s="18"/>
      <c r="BI339" s="19">
        <f>VLOOKUP(BF339,'DATABASE F&amp;B'!$C$3:$F$216,4,0)</f>
        <v>0</v>
      </c>
      <c r="BJ339" s="19">
        <f t="shared" si="279"/>
        <v>0</v>
      </c>
      <c r="BK339" s="16"/>
      <c r="BL339" s="17">
        <f>VLOOKUP(BK339,'DATABASE F&amp;B'!$C$3:$F$210,2,0)</f>
        <v>0</v>
      </c>
      <c r="BM339" s="18"/>
      <c r="BN339" s="19">
        <f>VLOOKUP(BK339,'DATABASE F&amp;B'!$C$3:$F$210,4,0)</f>
        <v>0</v>
      </c>
      <c r="BO339" s="19">
        <f t="shared" si="280"/>
        <v>0</v>
      </c>
      <c r="BP339" s="16"/>
      <c r="BQ339" s="17">
        <f>VLOOKUP(BP339,'DATABASE F&amp;B'!$C$3:$F$210,2,0)</f>
        <v>0</v>
      </c>
      <c r="BR339" s="18"/>
      <c r="BS339" s="19">
        <f>VLOOKUP(BP339,'DATABASE F&amp;B'!$C$3:$F$210,4,0)</f>
        <v>0</v>
      </c>
      <c r="BT339" s="19">
        <f t="shared" si="281"/>
        <v>0</v>
      </c>
      <c r="BU339" s="16"/>
      <c r="BV339" s="17">
        <f>VLOOKUP(BU339,'DATABASE F&amp;B'!$C$3:$F$210,2,0)</f>
        <v>0</v>
      </c>
      <c r="BW339" s="18"/>
      <c r="BX339" s="19">
        <f>VLOOKUP(BU339,'DATABASE F&amp;B'!$C$3:$F$210,4,0)</f>
        <v>0</v>
      </c>
      <c r="BY339" s="19">
        <f t="shared" si="282"/>
        <v>0</v>
      </c>
      <c r="BZ339" s="16"/>
      <c r="CA339" s="17">
        <f>VLOOKUP(BZ339,'DATABASE F&amp;B'!$C$3:$F$210,2,0)</f>
        <v>0</v>
      </c>
      <c r="CB339" s="18"/>
      <c r="CC339" s="19">
        <f>VLOOKUP(BZ339,'DATABASE F&amp;B'!$C$3:$F$210,4,0)</f>
        <v>0</v>
      </c>
      <c r="CD339" s="19">
        <f t="shared" si="283"/>
        <v>0</v>
      </c>
    </row>
    <row r="340" spans="1:82" ht="13.5" x14ac:dyDescent="0.25">
      <c r="A340" s="32" t="str">
        <f t="shared" si="264"/>
        <v>--20</v>
      </c>
      <c r="B340" s="22">
        <f t="shared" si="286"/>
        <v>336</v>
      </c>
      <c r="C340" s="22">
        <f t="shared" si="286"/>
        <v>336</v>
      </c>
      <c r="D340" s="34"/>
      <c r="E340" s="35"/>
      <c r="F340" s="35"/>
      <c r="G340" s="52"/>
      <c r="H340" s="36" t="str">
        <f t="shared" si="285"/>
        <v>RJ--336</v>
      </c>
      <c r="I340" s="36" t="str">
        <f t="shared" si="265"/>
        <v>--20</v>
      </c>
      <c r="J340" s="37" t="e">
        <f>VLOOKUP(D340,Laporan!$C$4:$D$34,2,0)</f>
        <v>#N/A</v>
      </c>
      <c r="K340" s="48"/>
      <c r="L340" s="13"/>
      <c r="M340" s="19">
        <f>SUMIF('DATABASE Room'!$B$3:$B$7,L340,'DATABASE Room'!$D$3:$D$7)</f>
        <v>0</v>
      </c>
      <c r="N340" s="13"/>
      <c r="O340" s="21">
        <f t="shared" si="266"/>
        <v>0</v>
      </c>
      <c r="P340" s="38"/>
      <c r="Q340" s="19">
        <f t="shared" si="267"/>
        <v>0</v>
      </c>
      <c r="R340" s="21">
        <f t="shared" si="268"/>
        <v>0</v>
      </c>
      <c r="S340" s="19">
        <f t="shared" si="269"/>
        <v>2</v>
      </c>
      <c r="T340" s="19">
        <f t="shared" si="270"/>
        <v>0</v>
      </c>
      <c r="U340" s="21">
        <f t="shared" si="271"/>
        <v>0</v>
      </c>
      <c r="V340" s="39"/>
      <c r="W340" s="16"/>
      <c r="X340" s="17">
        <f>VLOOKUP(W340,'DATABASE F&amp;B'!$C$3:$F$216,2,0)</f>
        <v>0</v>
      </c>
      <c r="Y340" s="18"/>
      <c r="Z340" s="19">
        <f>VLOOKUP(W340,'DATABASE F&amp;B'!$C$3:$F$216,4,0)</f>
        <v>0</v>
      </c>
      <c r="AA340" s="19">
        <f t="shared" si="272"/>
        <v>0</v>
      </c>
      <c r="AB340" s="16"/>
      <c r="AC340" s="17">
        <f>VLOOKUP(AB340,'DATABASE F&amp;B'!$C$3:$F$216,2,0)</f>
        <v>0</v>
      </c>
      <c r="AD340" s="18"/>
      <c r="AE340" s="19">
        <f>VLOOKUP(AB340,'DATABASE F&amp;B'!$C$3:$F$216,4,0)</f>
        <v>0</v>
      </c>
      <c r="AF340" s="19">
        <f t="shared" si="273"/>
        <v>0</v>
      </c>
      <c r="AG340" s="16"/>
      <c r="AH340" s="17">
        <f>VLOOKUP(AG340,'DATABASE F&amp;B'!$C$3:$F$216,2,0)</f>
        <v>0</v>
      </c>
      <c r="AI340" s="18"/>
      <c r="AJ340" s="19">
        <f>VLOOKUP(AG340,'DATABASE F&amp;B'!$C$3:$F$216,4,0)</f>
        <v>0</v>
      </c>
      <c r="AK340" s="19">
        <f t="shared" si="274"/>
        <v>0</v>
      </c>
      <c r="AL340" s="16"/>
      <c r="AM340" s="17">
        <f>VLOOKUP(AL340,'DATABASE F&amp;B'!$C$3:$F$216,2,0)</f>
        <v>0</v>
      </c>
      <c r="AN340" s="18">
        <v>1</v>
      </c>
      <c r="AO340" s="19">
        <f>VLOOKUP(AL340,'DATABASE F&amp;B'!$C$3:$F$216,4,0)</f>
        <v>0</v>
      </c>
      <c r="AP340" s="19">
        <f t="shared" si="275"/>
        <v>0</v>
      </c>
      <c r="AQ340" s="16"/>
      <c r="AR340" s="17">
        <f>VLOOKUP(AQ340,'DATABASE F&amp;B'!$C$3:$F$216,2,0)</f>
        <v>0</v>
      </c>
      <c r="AS340" s="18">
        <v>1</v>
      </c>
      <c r="AT340" s="19">
        <f>VLOOKUP(AQ340,'DATABASE F&amp;B'!$C$3:$F$216,4,0)</f>
        <v>0</v>
      </c>
      <c r="AU340" s="19">
        <f t="shared" si="276"/>
        <v>0</v>
      </c>
      <c r="AV340" s="16"/>
      <c r="AW340" s="17">
        <f>VLOOKUP(AV340,'DATABASE F&amp;B'!$C$3:$F$216,2,0)</f>
        <v>0</v>
      </c>
      <c r="AX340" s="18"/>
      <c r="AY340" s="19">
        <f>VLOOKUP(AV340,'DATABASE F&amp;B'!$C$3:$F$216,4,0)</f>
        <v>0</v>
      </c>
      <c r="AZ340" s="19">
        <f t="shared" si="277"/>
        <v>0</v>
      </c>
      <c r="BA340" s="16"/>
      <c r="BB340" s="17">
        <f>VLOOKUP(BA340,'DATABASE F&amp;B'!$C$3:$F$216,2,0)</f>
        <v>0</v>
      </c>
      <c r="BC340" s="18"/>
      <c r="BD340" s="19">
        <f>VLOOKUP(BA340,'DATABASE F&amp;B'!$C$3:$F$216,4,0)</f>
        <v>0</v>
      </c>
      <c r="BE340" s="19">
        <f t="shared" si="278"/>
        <v>0</v>
      </c>
      <c r="BF340" s="16"/>
      <c r="BG340" s="17">
        <f>VLOOKUP(BF340,'DATABASE F&amp;B'!$C$3:$F$216,2,0)</f>
        <v>0</v>
      </c>
      <c r="BH340" s="18"/>
      <c r="BI340" s="19">
        <f>VLOOKUP(BF340,'DATABASE F&amp;B'!$C$3:$F$216,4,0)</f>
        <v>0</v>
      </c>
      <c r="BJ340" s="19">
        <f t="shared" si="279"/>
        <v>0</v>
      </c>
      <c r="BK340" s="16"/>
      <c r="BL340" s="17">
        <f>VLOOKUP(BK340,'DATABASE F&amp;B'!$C$3:$F$210,2,0)</f>
        <v>0</v>
      </c>
      <c r="BM340" s="18"/>
      <c r="BN340" s="19">
        <f>VLOOKUP(BK340,'DATABASE F&amp;B'!$C$3:$F$210,4,0)</f>
        <v>0</v>
      </c>
      <c r="BO340" s="19">
        <f t="shared" si="280"/>
        <v>0</v>
      </c>
      <c r="BP340" s="16"/>
      <c r="BQ340" s="17">
        <f>VLOOKUP(BP340,'DATABASE F&amp;B'!$C$3:$F$210,2,0)</f>
        <v>0</v>
      </c>
      <c r="BR340" s="18"/>
      <c r="BS340" s="19">
        <f>VLOOKUP(BP340,'DATABASE F&amp;B'!$C$3:$F$210,4,0)</f>
        <v>0</v>
      </c>
      <c r="BT340" s="19">
        <f t="shared" si="281"/>
        <v>0</v>
      </c>
      <c r="BU340" s="16"/>
      <c r="BV340" s="17">
        <f>VLOOKUP(BU340,'DATABASE F&amp;B'!$C$3:$F$210,2,0)</f>
        <v>0</v>
      </c>
      <c r="BW340" s="18"/>
      <c r="BX340" s="19">
        <f>VLOOKUP(BU340,'DATABASE F&amp;B'!$C$3:$F$210,4,0)</f>
        <v>0</v>
      </c>
      <c r="BY340" s="19">
        <f t="shared" si="282"/>
        <v>0</v>
      </c>
      <c r="BZ340" s="16"/>
      <c r="CA340" s="17">
        <f>VLOOKUP(BZ340,'DATABASE F&amp;B'!$C$3:$F$210,2,0)</f>
        <v>0</v>
      </c>
      <c r="CB340" s="18"/>
      <c r="CC340" s="19">
        <f>VLOOKUP(BZ340,'DATABASE F&amp;B'!$C$3:$F$210,4,0)</f>
        <v>0</v>
      </c>
      <c r="CD340" s="19">
        <f t="shared" si="283"/>
        <v>0</v>
      </c>
    </row>
    <row r="341" spans="1:82" ht="13.5" x14ac:dyDescent="0.25">
      <c r="A341" s="32" t="str">
        <f t="shared" si="264"/>
        <v>--20</v>
      </c>
      <c r="B341" s="22">
        <f t="shared" si="286"/>
        <v>337</v>
      </c>
      <c r="C341" s="22">
        <f t="shared" si="286"/>
        <v>337</v>
      </c>
      <c r="D341" s="34"/>
      <c r="E341" s="35"/>
      <c r="F341" s="35"/>
      <c r="G341" s="52"/>
      <c r="H341" s="36" t="str">
        <f t="shared" si="285"/>
        <v>RJ--337</v>
      </c>
      <c r="I341" s="36" t="str">
        <f t="shared" si="265"/>
        <v>--20</v>
      </c>
      <c r="J341" s="37" t="e">
        <f>VLOOKUP(D341,Laporan!$C$4:$D$34,2,0)</f>
        <v>#N/A</v>
      </c>
      <c r="K341" s="48"/>
      <c r="L341" s="13"/>
      <c r="M341" s="19">
        <f>SUMIF('DATABASE Room'!$B$3:$B$7,L341,'DATABASE Room'!$D$3:$D$7)</f>
        <v>0</v>
      </c>
      <c r="N341" s="13"/>
      <c r="O341" s="21">
        <f t="shared" si="266"/>
        <v>0</v>
      </c>
      <c r="P341" s="38"/>
      <c r="Q341" s="19">
        <f t="shared" si="267"/>
        <v>0</v>
      </c>
      <c r="R341" s="21">
        <f t="shared" si="268"/>
        <v>0</v>
      </c>
      <c r="S341" s="19">
        <f t="shared" si="269"/>
        <v>2</v>
      </c>
      <c r="T341" s="19">
        <f t="shared" si="270"/>
        <v>0</v>
      </c>
      <c r="U341" s="21">
        <f t="shared" si="271"/>
        <v>0</v>
      </c>
      <c r="V341" s="39"/>
      <c r="W341" s="16"/>
      <c r="X341" s="17">
        <f>VLOOKUP(W341,'DATABASE F&amp;B'!$C$3:$F$216,2,0)</f>
        <v>0</v>
      </c>
      <c r="Y341" s="18"/>
      <c r="Z341" s="19">
        <f>VLOOKUP(W341,'DATABASE F&amp;B'!$C$3:$F$216,4,0)</f>
        <v>0</v>
      </c>
      <c r="AA341" s="19">
        <f t="shared" si="272"/>
        <v>0</v>
      </c>
      <c r="AB341" s="16"/>
      <c r="AC341" s="17">
        <f>VLOOKUP(AB341,'DATABASE F&amp;B'!$C$3:$F$216,2,0)</f>
        <v>0</v>
      </c>
      <c r="AD341" s="18"/>
      <c r="AE341" s="19">
        <f>VLOOKUP(AB341,'DATABASE F&amp;B'!$C$3:$F$216,4,0)</f>
        <v>0</v>
      </c>
      <c r="AF341" s="19">
        <f t="shared" si="273"/>
        <v>0</v>
      </c>
      <c r="AG341" s="16"/>
      <c r="AH341" s="17">
        <f>VLOOKUP(AG341,'DATABASE F&amp;B'!$C$3:$F$216,2,0)</f>
        <v>0</v>
      </c>
      <c r="AI341" s="18"/>
      <c r="AJ341" s="19">
        <f>VLOOKUP(AG341,'DATABASE F&amp;B'!$C$3:$F$216,4,0)</f>
        <v>0</v>
      </c>
      <c r="AK341" s="19">
        <f t="shared" si="274"/>
        <v>0</v>
      </c>
      <c r="AL341" s="16"/>
      <c r="AM341" s="17">
        <f>VLOOKUP(AL341,'DATABASE F&amp;B'!$C$3:$F$216,2,0)</f>
        <v>0</v>
      </c>
      <c r="AN341" s="18">
        <v>1</v>
      </c>
      <c r="AO341" s="19">
        <f>VLOOKUP(AL341,'DATABASE F&amp;B'!$C$3:$F$216,4,0)</f>
        <v>0</v>
      </c>
      <c r="AP341" s="19">
        <f t="shared" si="275"/>
        <v>0</v>
      </c>
      <c r="AQ341" s="16"/>
      <c r="AR341" s="17">
        <f>VLOOKUP(AQ341,'DATABASE F&amp;B'!$C$3:$F$216,2,0)</f>
        <v>0</v>
      </c>
      <c r="AS341" s="18">
        <v>1</v>
      </c>
      <c r="AT341" s="19">
        <f>VLOOKUP(AQ341,'DATABASE F&amp;B'!$C$3:$F$216,4,0)</f>
        <v>0</v>
      </c>
      <c r="AU341" s="19">
        <f t="shared" si="276"/>
        <v>0</v>
      </c>
      <c r="AV341" s="16"/>
      <c r="AW341" s="17">
        <f>VLOOKUP(AV341,'DATABASE F&amp;B'!$C$3:$F$216,2,0)</f>
        <v>0</v>
      </c>
      <c r="AX341" s="18"/>
      <c r="AY341" s="19">
        <f>VLOOKUP(AV341,'DATABASE F&amp;B'!$C$3:$F$216,4,0)</f>
        <v>0</v>
      </c>
      <c r="AZ341" s="19">
        <f t="shared" si="277"/>
        <v>0</v>
      </c>
      <c r="BA341" s="16"/>
      <c r="BB341" s="17">
        <f>VLOOKUP(BA341,'DATABASE F&amp;B'!$C$3:$F$216,2,0)</f>
        <v>0</v>
      </c>
      <c r="BC341" s="18"/>
      <c r="BD341" s="19">
        <f>VLOOKUP(BA341,'DATABASE F&amp;B'!$C$3:$F$216,4,0)</f>
        <v>0</v>
      </c>
      <c r="BE341" s="19">
        <f t="shared" si="278"/>
        <v>0</v>
      </c>
      <c r="BF341" s="16"/>
      <c r="BG341" s="17">
        <f>VLOOKUP(BF341,'DATABASE F&amp;B'!$C$3:$F$216,2,0)</f>
        <v>0</v>
      </c>
      <c r="BH341" s="18"/>
      <c r="BI341" s="19">
        <f>VLOOKUP(BF341,'DATABASE F&amp;B'!$C$3:$F$216,4,0)</f>
        <v>0</v>
      </c>
      <c r="BJ341" s="19">
        <f t="shared" si="279"/>
        <v>0</v>
      </c>
      <c r="BK341" s="16"/>
      <c r="BL341" s="17">
        <f>VLOOKUP(BK341,'DATABASE F&amp;B'!$C$3:$F$210,2,0)</f>
        <v>0</v>
      </c>
      <c r="BM341" s="18"/>
      <c r="BN341" s="19">
        <f>VLOOKUP(BK341,'DATABASE F&amp;B'!$C$3:$F$210,4,0)</f>
        <v>0</v>
      </c>
      <c r="BO341" s="19">
        <f t="shared" si="280"/>
        <v>0</v>
      </c>
      <c r="BP341" s="16"/>
      <c r="BQ341" s="17">
        <f>VLOOKUP(BP341,'DATABASE F&amp;B'!$C$3:$F$210,2,0)</f>
        <v>0</v>
      </c>
      <c r="BR341" s="18"/>
      <c r="BS341" s="19">
        <f>VLOOKUP(BP341,'DATABASE F&amp;B'!$C$3:$F$210,4,0)</f>
        <v>0</v>
      </c>
      <c r="BT341" s="19">
        <f t="shared" si="281"/>
        <v>0</v>
      </c>
      <c r="BU341" s="16"/>
      <c r="BV341" s="17">
        <f>VLOOKUP(BU341,'DATABASE F&amp;B'!$C$3:$F$210,2,0)</f>
        <v>0</v>
      </c>
      <c r="BW341" s="18"/>
      <c r="BX341" s="19">
        <f>VLOOKUP(BU341,'DATABASE F&amp;B'!$C$3:$F$210,4,0)</f>
        <v>0</v>
      </c>
      <c r="BY341" s="19">
        <f t="shared" si="282"/>
        <v>0</v>
      </c>
      <c r="BZ341" s="16"/>
      <c r="CA341" s="17">
        <f>VLOOKUP(BZ341,'DATABASE F&amp;B'!$C$3:$F$210,2,0)</f>
        <v>0</v>
      </c>
      <c r="CB341" s="18"/>
      <c r="CC341" s="19">
        <f>VLOOKUP(BZ341,'DATABASE F&amp;B'!$C$3:$F$210,4,0)</f>
        <v>0</v>
      </c>
      <c r="CD341" s="19">
        <f t="shared" si="283"/>
        <v>0</v>
      </c>
    </row>
    <row r="342" spans="1:82" ht="13.5" x14ac:dyDescent="0.25">
      <c r="A342" s="32" t="str">
        <f t="shared" si="264"/>
        <v>--20</v>
      </c>
      <c r="B342" s="22">
        <f t="shared" si="286"/>
        <v>338</v>
      </c>
      <c r="C342" s="22">
        <f t="shared" si="286"/>
        <v>338</v>
      </c>
      <c r="D342" s="34"/>
      <c r="E342" s="35"/>
      <c r="F342" s="35"/>
      <c r="G342" s="52"/>
      <c r="H342" s="36" t="str">
        <f t="shared" si="285"/>
        <v>RJ--338</v>
      </c>
      <c r="I342" s="36" t="str">
        <f t="shared" si="265"/>
        <v>--20</v>
      </c>
      <c r="J342" s="37" t="e">
        <f>VLOOKUP(D342,Laporan!$C$4:$D$34,2,0)</f>
        <v>#N/A</v>
      </c>
      <c r="K342" s="48"/>
      <c r="L342" s="13"/>
      <c r="M342" s="19">
        <f>SUMIF('DATABASE Room'!$B$3:$B$7,L342,'DATABASE Room'!$D$3:$D$7)</f>
        <v>0</v>
      </c>
      <c r="N342" s="13"/>
      <c r="O342" s="21">
        <f t="shared" si="266"/>
        <v>0</v>
      </c>
      <c r="P342" s="38"/>
      <c r="Q342" s="19">
        <f t="shared" si="267"/>
        <v>0</v>
      </c>
      <c r="R342" s="21">
        <f t="shared" si="268"/>
        <v>0</v>
      </c>
      <c r="S342" s="19">
        <f t="shared" si="269"/>
        <v>2</v>
      </c>
      <c r="T342" s="19">
        <f t="shared" si="270"/>
        <v>0</v>
      </c>
      <c r="U342" s="21">
        <f t="shared" si="271"/>
        <v>0</v>
      </c>
      <c r="V342" s="39"/>
      <c r="W342" s="16"/>
      <c r="X342" s="17">
        <f>VLOOKUP(W342,'DATABASE F&amp;B'!$C$3:$F$216,2,0)</f>
        <v>0</v>
      </c>
      <c r="Y342" s="18"/>
      <c r="Z342" s="19">
        <f>VLOOKUP(W342,'DATABASE F&amp;B'!$C$3:$F$216,4,0)</f>
        <v>0</v>
      </c>
      <c r="AA342" s="19">
        <f t="shared" si="272"/>
        <v>0</v>
      </c>
      <c r="AB342" s="16"/>
      <c r="AC342" s="17">
        <f>VLOOKUP(AB342,'DATABASE F&amp;B'!$C$3:$F$216,2,0)</f>
        <v>0</v>
      </c>
      <c r="AD342" s="18"/>
      <c r="AE342" s="19">
        <f>VLOOKUP(AB342,'DATABASE F&amp;B'!$C$3:$F$216,4,0)</f>
        <v>0</v>
      </c>
      <c r="AF342" s="19">
        <f t="shared" si="273"/>
        <v>0</v>
      </c>
      <c r="AG342" s="16"/>
      <c r="AH342" s="17">
        <f>VLOOKUP(AG342,'DATABASE F&amp;B'!$C$3:$F$216,2,0)</f>
        <v>0</v>
      </c>
      <c r="AI342" s="18"/>
      <c r="AJ342" s="19">
        <f>VLOOKUP(AG342,'DATABASE F&amp;B'!$C$3:$F$216,4,0)</f>
        <v>0</v>
      </c>
      <c r="AK342" s="19">
        <f t="shared" si="274"/>
        <v>0</v>
      </c>
      <c r="AL342" s="16"/>
      <c r="AM342" s="17">
        <f>VLOOKUP(AL342,'DATABASE F&amp;B'!$C$3:$F$216,2,0)</f>
        <v>0</v>
      </c>
      <c r="AN342" s="18">
        <v>1</v>
      </c>
      <c r="AO342" s="19">
        <f>VLOOKUP(AL342,'DATABASE F&amp;B'!$C$3:$F$216,4,0)</f>
        <v>0</v>
      </c>
      <c r="AP342" s="19">
        <f t="shared" si="275"/>
        <v>0</v>
      </c>
      <c r="AQ342" s="16"/>
      <c r="AR342" s="17">
        <f>VLOOKUP(AQ342,'DATABASE F&amp;B'!$C$3:$F$216,2,0)</f>
        <v>0</v>
      </c>
      <c r="AS342" s="18">
        <v>1</v>
      </c>
      <c r="AT342" s="19">
        <f>VLOOKUP(AQ342,'DATABASE F&amp;B'!$C$3:$F$216,4,0)</f>
        <v>0</v>
      </c>
      <c r="AU342" s="19">
        <f t="shared" si="276"/>
        <v>0</v>
      </c>
      <c r="AV342" s="16"/>
      <c r="AW342" s="17">
        <f>VLOOKUP(AV342,'DATABASE F&amp;B'!$C$3:$F$216,2,0)</f>
        <v>0</v>
      </c>
      <c r="AX342" s="18"/>
      <c r="AY342" s="19">
        <f>VLOOKUP(AV342,'DATABASE F&amp;B'!$C$3:$F$216,4,0)</f>
        <v>0</v>
      </c>
      <c r="AZ342" s="19">
        <f t="shared" si="277"/>
        <v>0</v>
      </c>
      <c r="BA342" s="16"/>
      <c r="BB342" s="17">
        <f>VLOOKUP(BA342,'DATABASE F&amp;B'!$C$3:$F$216,2,0)</f>
        <v>0</v>
      </c>
      <c r="BC342" s="18"/>
      <c r="BD342" s="19">
        <f>VLOOKUP(BA342,'DATABASE F&amp;B'!$C$3:$F$216,4,0)</f>
        <v>0</v>
      </c>
      <c r="BE342" s="19">
        <f t="shared" si="278"/>
        <v>0</v>
      </c>
      <c r="BF342" s="16"/>
      <c r="BG342" s="17">
        <f>VLOOKUP(BF342,'DATABASE F&amp;B'!$C$3:$F$216,2,0)</f>
        <v>0</v>
      </c>
      <c r="BH342" s="18"/>
      <c r="BI342" s="19">
        <f>VLOOKUP(BF342,'DATABASE F&amp;B'!$C$3:$F$216,4,0)</f>
        <v>0</v>
      </c>
      <c r="BJ342" s="19">
        <f t="shared" si="279"/>
        <v>0</v>
      </c>
      <c r="BK342" s="16"/>
      <c r="BL342" s="17">
        <f>VLOOKUP(BK342,'DATABASE F&amp;B'!$C$3:$F$210,2,0)</f>
        <v>0</v>
      </c>
      <c r="BM342" s="18"/>
      <c r="BN342" s="19">
        <f>VLOOKUP(BK342,'DATABASE F&amp;B'!$C$3:$F$210,4,0)</f>
        <v>0</v>
      </c>
      <c r="BO342" s="19">
        <f t="shared" si="280"/>
        <v>0</v>
      </c>
      <c r="BP342" s="16"/>
      <c r="BQ342" s="17">
        <f>VLOOKUP(BP342,'DATABASE F&amp;B'!$C$3:$F$210,2,0)</f>
        <v>0</v>
      </c>
      <c r="BR342" s="18"/>
      <c r="BS342" s="19">
        <f>VLOOKUP(BP342,'DATABASE F&amp;B'!$C$3:$F$210,4,0)</f>
        <v>0</v>
      </c>
      <c r="BT342" s="19">
        <f t="shared" si="281"/>
        <v>0</v>
      </c>
      <c r="BU342" s="16"/>
      <c r="BV342" s="17">
        <f>VLOOKUP(BU342,'DATABASE F&amp;B'!$C$3:$F$210,2,0)</f>
        <v>0</v>
      </c>
      <c r="BW342" s="18"/>
      <c r="BX342" s="19">
        <f>VLOOKUP(BU342,'DATABASE F&amp;B'!$C$3:$F$210,4,0)</f>
        <v>0</v>
      </c>
      <c r="BY342" s="19">
        <f t="shared" si="282"/>
        <v>0</v>
      </c>
      <c r="BZ342" s="16"/>
      <c r="CA342" s="17">
        <f>VLOOKUP(BZ342,'DATABASE F&amp;B'!$C$3:$F$210,2,0)</f>
        <v>0</v>
      </c>
      <c r="CB342" s="18"/>
      <c r="CC342" s="19">
        <f>VLOOKUP(BZ342,'DATABASE F&amp;B'!$C$3:$F$210,4,0)</f>
        <v>0</v>
      </c>
      <c r="CD342" s="19">
        <f t="shared" si="283"/>
        <v>0</v>
      </c>
    </row>
    <row r="343" spans="1:82" ht="13.5" x14ac:dyDescent="0.25">
      <c r="A343" s="32" t="str">
        <f t="shared" si="264"/>
        <v>--20</v>
      </c>
      <c r="B343" s="22">
        <f t="shared" ref="B343:C344" si="287">B342+1</f>
        <v>339</v>
      </c>
      <c r="C343" s="22">
        <f t="shared" si="287"/>
        <v>339</v>
      </c>
      <c r="D343" s="34"/>
      <c r="E343" s="35"/>
      <c r="F343" s="35"/>
      <c r="G343" s="52"/>
      <c r="H343" s="36" t="str">
        <f t="shared" si="285"/>
        <v>RJ--339</v>
      </c>
      <c r="I343" s="36" t="str">
        <f t="shared" si="265"/>
        <v>--20</v>
      </c>
      <c r="J343" s="37" t="e">
        <f>VLOOKUP(D343,Laporan!$C$4:$D$34,2,0)</f>
        <v>#N/A</v>
      </c>
      <c r="K343" s="48"/>
      <c r="L343" s="13"/>
      <c r="M343" s="19">
        <f>SUMIF('DATABASE Room'!$B$3:$B$7,L343,'DATABASE Room'!$D$3:$D$7)</f>
        <v>0</v>
      </c>
      <c r="N343" s="13"/>
      <c r="O343" s="21">
        <f t="shared" si="266"/>
        <v>0</v>
      </c>
      <c r="P343" s="38"/>
      <c r="Q343" s="19">
        <f t="shared" si="267"/>
        <v>0</v>
      </c>
      <c r="R343" s="21">
        <f t="shared" si="268"/>
        <v>0</v>
      </c>
      <c r="S343" s="19">
        <f t="shared" si="269"/>
        <v>2</v>
      </c>
      <c r="T343" s="19">
        <f t="shared" si="270"/>
        <v>0</v>
      </c>
      <c r="U343" s="21">
        <f t="shared" si="271"/>
        <v>0</v>
      </c>
      <c r="V343" s="39"/>
      <c r="W343" s="16"/>
      <c r="X343" s="17">
        <f>VLOOKUP(W343,'DATABASE F&amp;B'!$C$3:$F$216,2,0)</f>
        <v>0</v>
      </c>
      <c r="Y343" s="18"/>
      <c r="Z343" s="19">
        <f>VLOOKUP(W343,'DATABASE F&amp;B'!$C$3:$F$216,4,0)</f>
        <v>0</v>
      </c>
      <c r="AA343" s="19">
        <f t="shared" si="272"/>
        <v>0</v>
      </c>
      <c r="AB343" s="16"/>
      <c r="AC343" s="17">
        <f>VLOOKUP(AB343,'DATABASE F&amp;B'!$C$3:$F$216,2,0)</f>
        <v>0</v>
      </c>
      <c r="AD343" s="18"/>
      <c r="AE343" s="19">
        <f>VLOOKUP(AB343,'DATABASE F&amp;B'!$C$3:$F$216,4,0)</f>
        <v>0</v>
      </c>
      <c r="AF343" s="19">
        <f t="shared" si="273"/>
        <v>0</v>
      </c>
      <c r="AG343" s="16"/>
      <c r="AH343" s="17">
        <f>VLOOKUP(AG343,'DATABASE F&amp;B'!$C$3:$F$216,2,0)</f>
        <v>0</v>
      </c>
      <c r="AI343" s="18"/>
      <c r="AJ343" s="19">
        <f>VLOOKUP(AG343,'DATABASE F&amp;B'!$C$3:$F$216,4,0)</f>
        <v>0</v>
      </c>
      <c r="AK343" s="19">
        <f t="shared" si="274"/>
        <v>0</v>
      </c>
      <c r="AL343" s="16"/>
      <c r="AM343" s="17">
        <f>VLOOKUP(AL343,'DATABASE F&amp;B'!$C$3:$F$216,2,0)</f>
        <v>0</v>
      </c>
      <c r="AN343" s="18">
        <v>1</v>
      </c>
      <c r="AO343" s="19">
        <f>VLOOKUP(AL343,'DATABASE F&amp;B'!$C$3:$F$216,4,0)</f>
        <v>0</v>
      </c>
      <c r="AP343" s="19">
        <f t="shared" si="275"/>
        <v>0</v>
      </c>
      <c r="AQ343" s="16"/>
      <c r="AR343" s="17">
        <f>VLOOKUP(AQ343,'DATABASE F&amp;B'!$C$3:$F$216,2,0)</f>
        <v>0</v>
      </c>
      <c r="AS343" s="18">
        <v>1</v>
      </c>
      <c r="AT343" s="19">
        <f>VLOOKUP(AQ343,'DATABASE F&amp;B'!$C$3:$F$216,4,0)</f>
        <v>0</v>
      </c>
      <c r="AU343" s="19">
        <f t="shared" si="276"/>
        <v>0</v>
      </c>
      <c r="AV343" s="16"/>
      <c r="AW343" s="17">
        <f>VLOOKUP(AV343,'DATABASE F&amp;B'!$C$3:$F$216,2,0)</f>
        <v>0</v>
      </c>
      <c r="AX343" s="18"/>
      <c r="AY343" s="19">
        <f>VLOOKUP(AV343,'DATABASE F&amp;B'!$C$3:$F$216,4,0)</f>
        <v>0</v>
      </c>
      <c r="AZ343" s="19">
        <f t="shared" si="277"/>
        <v>0</v>
      </c>
      <c r="BA343" s="16"/>
      <c r="BB343" s="17">
        <f>VLOOKUP(BA343,'DATABASE F&amp;B'!$C$3:$F$216,2,0)</f>
        <v>0</v>
      </c>
      <c r="BC343" s="18"/>
      <c r="BD343" s="19">
        <f>VLOOKUP(BA343,'DATABASE F&amp;B'!$C$3:$F$216,4,0)</f>
        <v>0</v>
      </c>
      <c r="BE343" s="19">
        <f t="shared" si="278"/>
        <v>0</v>
      </c>
      <c r="BF343" s="16"/>
      <c r="BG343" s="17">
        <f>VLOOKUP(BF343,'DATABASE F&amp;B'!$C$3:$F$216,2,0)</f>
        <v>0</v>
      </c>
      <c r="BH343" s="18"/>
      <c r="BI343" s="19">
        <f>VLOOKUP(BF343,'DATABASE F&amp;B'!$C$3:$F$216,4,0)</f>
        <v>0</v>
      </c>
      <c r="BJ343" s="19">
        <f t="shared" si="279"/>
        <v>0</v>
      </c>
      <c r="BK343" s="16"/>
      <c r="BL343" s="17">
        <f>VLOOKUP(BK343,'DATABASE F&amp;B'!$C$3:$F$210,2,0)</f>
        <v>0</v>
      </c>
      <c r="BM343" s="18"/>
      <c r="BN343" s="19">
        <f>VLOOKUP(BK343,'DATABASE F&amp;B'!$C$3:$F$210,4,0)</f>
        <v>0</v>
      </c>
      <c r="BO343" s="19">
        <f t="shared" si="280"/>
        <v>0</v>
      </c>
      <c r="BP343" s="16"/>
      <c r="BQ343" s="17">
        <f>VLOOKUP(BP343,'DATABASE F&amp;B'!$C$3:$F$210,2,0)</f>
        <v>0</v>
      </c>
      <c r="BR343" s="18"/>
      <c r="BS343" s="19">
        <f>VLOOKUP(BP343,'DATABASE F&amp;B'!$C$3:$F$210,4,0)</f>
        <v>0</v>
      </c>
      <c r="BT343" s="19">
        <f t="shared" si="281"/>
        <v>0</v>
      </c>
      <c r="BU343" s="16"/>
      <c r="BV343" s="17">
        <f>VLOOKUP(BU343,'DATABASE F&amp;B'!$C$3:$F$210,2,0)</f>
        <v>0</v>
      </c>
      <c r="BW343" s="18"/>
      <c r="BX343" s="19">
        <f>VLOOKUP(BU343,'DATABASE F&amp;B'!$C$3:$F$210,4,0)</f>
        <v>0</v>
      </c>
      <c r="BY343" s="19">
        <f t="shared" si="282"/>
        <v>0</v>
      </c>
      <c r="BZ343" s="16"/>
      <c r="CA343" s="17">
        <f>VLOOKUP(BZ343,'DATABASE F&amp;B'!$C$3:$F$210,2,0)</f>
        <v>0</v>
      </c>
      <c r="CB343" s="18"/>
      <c r="CC343" s="19">
        <f>VLOOKUP(BZ343,'DATABASE F&amp;B'!$C$3:$F$210,4,0)</f>
        <v>0</v>
      </c>
      <c r="CD343" s="19">
        <f t="shared" si="283"/>
        <v>0</v>
      </c>
    </row>
    <row r="344" spans="1:82" ht="13.5" x14ac:dyDescent="0.25">
      <c r="A344" s="32" t="str">
        <f t="shared" si="264"/>
        <v>--20</v>
      </c>
      <c r="B344" s="22">
        <f t="shared" si="287"/>
        <v>340</v>
      </c>
      <c r="C344" s="22">
        <f t="shared" si="287"/>
        <v>340</v>
      </c>
      <c r="D344" s="34"/>
      <c r="E344" s="35"/>
      <c r="F344" s="35"/>
      <c r="G344" s="52"/>
      <c r="H344" s="36" t="str">
        <f t="shared" si="285"/>
        <v>RJ--340</v>
      </c>
      <c r="I344" s="36" t="str">
        <f t="shared" si="265"/>
        <v>--20</v>
      </c>
      <c r="J344" s="37" t="e">
        <f>VLOOKUP(D344,Laporan!$C$4:$D$34,2,0)</f>
        <v>#N/A</v>
      </c>
      <c r="K344" s="48"/>
      <c r="L344" s="13"/>
      <c r="M344" s="19">
        <f>SUMIF('DATABASE Room'!$B$3:$B$7,L344,'DATABASE Room'!$D$3:$D$7)</f>
        <v>0</v>
      </c>
      <c r="N344" s="13"/>
      <c r="O344" s="21">
        <f t="shared" si="266"/>
        <v>0</v>
      </c>
      <c r="P344" s="38"/>
      <c r="Q344" s="19">
        <f t="shared" si="267"/>
        <v>0</v>
      </c>
      <c r="R344" s="21">
        <f t="shared" si="268"/>
        <v>0</v>
      </c>
      <c r="S344" s="19">
        <f t="shared" si="269"/>
        <v>2</v>
      </c>
      <c r="T344" s="19">
        <f t="shared" si="270"/>
        <v>0</v>
      </c>
      <c r="U344" s="21">
        <f t="shared" si="271"/>
        <v>0</v>
      </c>
      <c r="V344" s="39"/>
      <c r="W344" s="16"/>
      <c r="X344" s="17">
        <f>VLOOKUP(W344,'DATABASE F&amp;B'!$C$3:$F$216,2,0)</f>
        <v>0</v>
      </c>
      <c r="Y344" s="18"/>
      <c r="Z344" s="19">
        <f>VLOOKUP(W344,'DATABASE F&amp;B'!$C$3:$F$216,4,0)</f>
        <v>0</v>
      </c>
      <c r="AA344" s="19">
        <f t="shared" si="272"/>
        <v>0</v>
      </c>
      <c r="AB344" s="16"/>
      <c r="AC344" s="17">
        <f>VLOOKUP(AB344,'DATABASE F&amp;B'!$C$3:$F$216,2,0)</f>
        <v>0</v>
      </c>
      <c r="AD344" s="18"/>
      <c r="AE344" s="19">
        <f>VLOOKUP(AB344,'DATABASE F&amp;B'!$C$3:$F$216,4,0)</f>
        <v>0</v>
      </c>
      <c r="AF344" s="19">
        <f t="shared" si="273"/>
        <v>0</v>
      </c>
      <c r="AG344" s="16"/>
      <c r="AH344" s="17">
        <f>VLOOKUP(AG344,'DATABASE F&amp;B'!$C$3:$F$216,2,0)</f>
        <v>0</v>
      </c>
      <c r="AI344" s="18"/>
      <c r="AJ344" s="19">
        <f>VLOOKUP(AG344,'DATABASE F&amp;B'!$C$3:$F$216,4,0)</f>
        <v>0</v>
      </c>
      <c r="AK344" s="19">
        <f t="shared" si="274"/>
        <v>0</v>
      </c>
      <c r="AL344" s="16"/>
      <c r="AM344" s="17">
        <f>VLOOKUP(AL344,'DATABASE F&amp;B'!$C$3:$F$216,2,0)</f>
        <v>0</v>
      </c>
      <c r="AN344" s="18">
        <v>1</v>
      </c>
      <c r="AO344" s="19">
        <f>VLOOKUP(AL344,'DATABASE F&amp;B'!$C$3:$F$216,4,0)</f>
        <v>0</v>
      </c>
      <c r="AP344" s="19">
        <f t="shared" si="275"/>
        <v>0</v>
      </c>
      <c r="AQ344" s="16"/>
      <c r="AR344" s="17">
        <f>VLOOKUP(AQ344,'DATABASE F&amp;B'!$C$3:$F$216,2,0)</f>
        <v>0</v>
      </c>
      <c r="AS344" s="18">
        <v>1</v>
      </c>
      <c r="AT344" s="19">
        <f>VLOOKUP(AQ344,'DATABASE F&amp;B'!$C$3:$F$216,4,0)</f>
        <v>0</v>
      </c>
      <c r="AU344" s="19">
        <f t="shared" si="276"/>
        <v>0</v>
      </c>
      <c r="AV344" s="16"/>
      <c r="AW344" s="17">
        <f>VLOOKUP(AV344,'DATABASE F&amp;B'!$C$3:$F$216,2,0)</f>
        <v>0</v>
      </c>
      <c r="AX344" s="18"/>
      <c r="AY344" s="19">
        <f>VLOOKUP(AV344,'DATABASE F&amp;B'!$C$3:$F$216,4,0)</f>
        <v>0</v>
      </c>
      <c r="AZ344" s="19">
        <f t="shared" si="277"/>
        <v>0</v>
      </c>
      <c r="BA344" s="16"/>
      <c r="BB344" s="17">
        <f>VLOOKUP(BA344,'DATABASE F&amp;B'!$C$3:$F$216,2,0)</f>
        <v>0</v>
      </c>
      <c r="BC344" s="18"/>
      <c r="BD344" s="19">
        <f>VLOOKUP(BA344,'DATABASE F&amp;B'!$C$3:$F$216,4,0)</f>
        <v>0</v>
      </c>
      <c r="BE344" s="19">
        <f t="shared" si="278"/>
        <v>0</v>
      </c>
      <c r="BF344" s="16"/>
      <c r="BG344" s="17">
        <f>VLOOKUP(BF344,'DATABASE F&amp;B'!$C$3:$F$216,2,0)</f>
        <v>0</v>
      </c>
      <c r="BH344" s="18"/>
      <c r="BI344" s="19">
        <f>VLOOKUP(BF344,'DATABASE F&amp;B'!$C$3:$F$216,4,0)</f>
        <v>0</v>
      </c>
      <c r="BJ344" s="19">
        <f t="shared" si="279"/>
        <v>0</v>
      </c>
      <c r="BK344" s="16"/>
      <c r="BL344" s="17">
        <f>VLOOKUP(BK344,'DATABASE F&amp;B'!$C$3:$F$210,2,0)</f>
        <v>0</v>
      </c>
      <c r="BM344" s="18"/>
      <c r="BN344" s="19">
        <f>VLOOKUP(BK344,'DATABASE F&amp;B'!$C$3:$F$210,4,0)</f>
        <v>0</v>
      </c>
      <c r="BO344" s="19">
        <f t="shared" si="280"/>
        <v>0</v>
      </c>
      <c r="BP344" s="16"/>
      <c r="BQ344" s="17">
        <f>VLOOKUP(BP344,'DATABASE F&amp;B'!$C$3:$F$210,2,0)</f>
        <v>0</v>
      </c>
      <c r="BR344" s="18"/>
      <c r="BS344" s="19">
        <f>VLOOKUP(BP344,'DATABASE F&amp;B'!$C$3:$F$210,4,0)</f>
        <v>0</v>
      </c>
      <c r="BT344" s="19">
        <f t="shared" si="281"/>
        <v>0</v>
      </c>
      <c r="BU344" s="16"/>
      <c r="BV344" s="17">
        <f>VLOOKUP(BU344,'DATABASE F&amp;B'!$C$3:$F$210,2,0)</f>
        <v>0</v>
      </c>
      <c r="BW344" s="18"/>
      <c r="BX344" s="19">
        <f>VLOOKUP(BU344,'DATABASE F&amp;B'!$C$3:$F$210,4,0)</f>
        <v>0</v>
      </c>
      <c r="BY344" s="19">
        <f t="shared" si="282"/>
        <v>0</v>
      </c>
      <c r="BZ344" s="16"/>
      <c r="CA344" s="17">
        <f>VLOOKUP(BZ344,'DATABASE F&amp;B'!$C$3:$F$210,2,0)</f>
        <v>0</v>
      </c>
      <c r="CB344" s="18"/>
      <c r="CC344" s="19">
        <f>VLOOKUP(BZ344,'DATABASE F&amp;B'!$C$3:$F$210,4,0)</f>
        <v>0</v>
      </c>
      <c r="CD344" s="19">
        <f t="shared" si="283"/>
        <v>0</v>
      </c>
    </row>
    <row r="345" spans="1:82" ht="13.5" x14ac:dyDescent="0.25">
      <c r="A345" s="32" t="str">
        <f t="shared" ref="A345:A385" si="288">CONCATENATE(F345,"-",E345,"-20",G345)</f>
        <v>--20</v>
      </c>
      <c r="B345" s="22">
        <f t="shared" ref="B345:C345" si="289">B344+1</f>
        <v>341</v>
      </c>
      <c r="C345" s="22">
        <f t="shared" si="289"/>
        <v>341</v>
      </c>
      <c r="D345" s="34"/>
      <c r="E345" s="35"/>
      <c r="F345" s="35"/>
      <c r="G345" s="52"/>
      <c r="H345" s="36" t="str">
        <f t="shared" si="285"/>
        <v>RJ--341</v>
      </c>
      <c r="I345" s="36" t="str">
        <f t="shared" ref="I345:I385" si="290">CONCATENATE(E345,"-",F345,"-20",G345)</f>
        <v>--20</v>
      </c>
      <c r="J345" s="37" t="e">
        <f>VLOOKUP(D345,Laporan!$C$4:$D$34,2,0)</f>
        <v>#N/A</v>
      </c>
      <c r="K345" s="48"/>
      <c r="L345" s="13"/>
      <c r="M345" s="19">
        <f>SUMIF('DATABASE Room'!$B$3:$B$7,L345,'DATABASE Room'!$D$3:$D$7)</f>
        <v>0</v>
      </c>
      <c r="N345" s="13"/>
      <c r="O345" s="21">
        <f t="shared" ref="O345:O385" si="291">N345*M345</f>
        <v>0</v>
      </c>
      <c r="P345" s="38"/>
      <c r="Q345" s="19">
        <f t="shared" ref="Q345:Q385" si="292">P345*M345</f>
        <v>0</v>
      </c>
      <c r="R345" s="21">
        <f t="shared" ref="R345:R385" si="293">O345+Q345</f>
        <v>0</v>
      </c>
      <c r="S345" s="19">
        <f t="shared" ref="S345:S385" si="294">SUMIF($W$4:$CD$4,$S$4,W345:CD345)</f>
        <v>2</v>
      </c>
      <c r="T345" s="19">
        <f t="shared" ref="T345:T385" si="295">SUMIF($W$4:$CD$4,$T$4,W345:CD345)</f>
        <v>0</v>
      </c>
      <c r="U345" s="21">
        <f t="shared" ref="U345:U385" si="296">R345+T345</f>
        <v>0</v>
      </c>
      <c r="V345" s="39"/>
      <c r="W345" s="16"/>
      <c r="X345" s="17">
        <f>VLOOKUP(W345,'DATABASE F&amp;B'!$C$3:$F$216,2,0)</f>
        <v>0</v>
      </c>
      <c r="Y345" s="18"/>
      <c r="Z345" s="19">
        <f>VLOOKUP(W345,'DATABASE F&amp;B'!$C$3:$F$216,4,0)</f>
        <v>0</v>
      </c>
      <c r="AA345" s="19">
        <f t="shared" ref="AA345:AA385" si="297">Y345*Z345</f>
        <v>0</v>
      </c>
      <c r="AB345" s="16"/>
      <c r="AC345" s="17">
        <f>VLOOKUP(AB345,'DATABASE F&amp;B'!$C$3:$F$216,2,0)</f>
        <v>0</v>
      </c>
      <c r="AD345" s="18"/>
      <c r="AE345" s="19">
        <f>VLOOKUP(AB345,'DATABASE F&amp;B'!$C$3:$F$216,4,0)</f>
        <v>0</v>
      </c>
      <c r="AF345" s="19">
        <f t="shared" ref="AF345:AF385" si="298">AD345*AE345</f>
        <v>0</v>
      </c>
      <c r="AG345" s="16"/>
      <c r="AH345" s="17">
        <f>VLOOKUP(AG345,'DATABASE F&amp;B'!$C$3:$F$216,2,0)</f>
        <v>0</v>
      </c>
      <c r="AI345" s="18"/>
      <c r="AJ345" s="19">
        <f>VLOOKUP(AG345,'DATABASE F&amp;B'!$C$3:$F$216,4,0)</f>
        <v>0</v>
      </c>
      <c r="AK345" s="19">
        <f t="shared" ref="AK345:AK385" si="299">AI345*AJ345</f>
        <v>0</v>
      </c>
      <c r="AL345" s="16"/>
      <c r="AM345" s="17">
        <f>VLOOKUP(AL345,'DATABASE F&amp;B'!$C$3:$F$216,2,0)</f>
        <v>0</v>
      </c>
      <c r="AN345" s="18">
        <v>1</v>
      </c>
      <c r="AO345" s="19">
        <f>VLOOKUP(AL345,'DATABASE F&amp;B'!$C$3:$F$216,4,0)</f>
        <v>0</v>
      </c>
      <c r="AP345" s="19">
        <f t="shared" ref="AP345:AP385" si="300">AN345*AO345</f>
        <v>0</v>
      </c>
      <c r="AQ345" s="16"/>
      <c r="AR345" s="17">
        <f>VLOOKUP(AQ345,'DATABASE F&amp;B'!$C$3:$F$216,2,0)</f>
        <v>0</v>
      </c>
      <c r="AS345" s="18">
        <v>1</v>
      </c>
      <c r="AT345" s="19">
        <f>VLOOKUP(AQ345,'DATABASE F&amp;B'!$C$3:$F$216,4,0)</f>
        <v>0</v>
      </c>
      <c r="AU345" s="19">
        <f t="shared" ref="AU345:AU385" si="301">AS345*AT345</f>
        <v>0</v>
      </c>
      <c r="AV345" s="16"/>
      <c r="AW345" s="17">
        <f>VLOOKUP(AV345,'DATABASE F&amp;B'!$C$3:$F$216,2,0)</f>
        <v>0</v>
      </c>
      <c r="AX345" s="18"/>
      <c r="AY345" s="19">
        <f>VLOOKUP(AV345,'DATABASE F&amp;B'!$C$3:$F$216,4,0)</f>
        <v>0</v>
      </c>
      <c r="AZ345" s="19">
        <f t="shared" ref="AZ345:AZ385" si="302">AX345*AY345</f>
        <v>0</v>
      </c>
      <c r="BA345" s="16"/>
      <c r="BB345" s="17">
        <f>VLOOKUP(BA345,'DATABASE F&amp;B'!$C$3:$F$216,2,0)</f>
        <v>0</v>
      </c>
      <c r="BC345" s="18"/>
      <c r="BD345" s="19">
        <f>VLOOKUP(BA345,'DATABASE F&amp;B'!$C$3:$F$216,4,0)</f>
        <v>0</v>
      </c>
      <c r="BE345" s="19">
        <f t="shared" ref="BE345:BE385" si="303">BC345*BD345</f>
        <v>0</v>
      </c>
      <c r="BF345" s="16"/>
      <c r="BG345" s="17">
        <f>VLOOKUP(BF345,'DATABASE F&amp;B'!$C$3:$F$216,2,0)</f>
        <v>0</v>
      </c>
      <c r="BH345" s="18"/>
      <c r="BI345" s="19">
        <f>VLOOKUP(BF345,'DATABASE F&amp;B'!$C$3:$F$216,4,0)</f>
        <v>0</v>
      </c>
      <c r="BJ345" s="19">
        <f t="shared" ref="BJ345:BJ385" si="304">BH345*BI345</f>
        <v>0</v>
      </c>
      <c r="BK345" s="16"/>
      <c r="BL345" s="17">
        <f>VLOOKUP(BK345,'DATABASE F&amp;B'!$C$3:$F$210,2,0)</f>
        <v>0</v>
      </c>
      <c r="BM345" s="18"/>
      <c r="BN345" s="19">
        <f>VLOOKUP(BK345,'DATABASE F&amp;B'!$C$3:$F$210,4,0)</f>
        <v>0</v>
      </c>
      <c r="BO345" s="19">
        <f t="shared" ref="BO345:BO385" si="305">BM345*BN345</f>
        <v>0</v>
      </c>
      <c r="BP345" s="16"/>
      <c r="BQ345" s="17">
        <f>VLOOKUP(BP345,'DATABASE F&amp;B'!$C$3:$F$210,2,0)</f>
        <v>0</v>
      </c>
      <c r="BR345" s="18"/>
      <c r="BS345" s="19">
        <f>VLOOKUP(BP345,'DATABASE F&amp;B'!$C$3:$F$210,4,0)</f>
        <v>0</v>
      </c>
      <c r="BT345" s="19">
        <f t="shared" ref="BT345:BT385" si="306">BR345*BS345</f>
        <v>0</v>
      </c>
      <c r="BU345" s="16"/>
      <c r="BV345" s="17">
        <f>VLOOKUP(BU345,'DATABASE F&amp;B'!$C$3:$F$210,2,0)</f>
        <v>0</v>
      </c>
      <c r="BW345" s="18"/>
      <c r="BX345" s="19">
        <f>VLOOKUP(BU345,'DATABASE F&amp;B'!$C$3:$F$210,4,0)</f>
        <v>0</v>
      </c>
      <c r="BY345" s="19">
        <f t="shared" ref="BY345:BY385" si="307">BW345*BX345</f>
        <v>0</v>
      </c>
      <c r="BZ345" s="16"/>
      <c r="CA345" s="17">
        <f>VLOOKUP(BZ345,'DATABASE F&amp;B'!$C$3:$F$210,2,0)</f>
        <v>0</v>
      </c>
      <c r="CB345" s="18"/>
      <c r="CC345" s="19">
        <f>VLOOKUP(BZ345,'DATABASE F&amp;B'!$C$3:$F$210,4,0)</f>
        <v>0</v>
      </c>
      <c r="CD345" s="19">
        <f t="shared" ref="CD345:CD385" si="308">CB345*CC345</f>
        <v>0</v>
      </c>
    </row>
    <row r="346" spans="1:82" ht="13.5" x14ac:dyDescent="0.25">
      <c r="A346" s="32" t="str">
        <f t="shared" si="288"/>
        <v>--20</v>
      </c>
      <c r="B346" s="22">
        <f t="shared" ref="B346:C346" si="309">B345+1</f>
        <v>342</v>
      </c>
      <c r="C346" s="22">
        <f t="shared" si="309"/>
        <v>342</v>
      </c>
      <c r="D346" s="34"/>
      <c r="E346" s="35"/>
      <c r="F346" s="35"/>
      <c r="G346" s="52"/>
      <c r="H346" s="36" t="str">
        <f t="shared" si="285"/>
        <v>RJ--342</v>
      </c>
      <c r="I346" s="36" t="str">
        <f t="shared" si="290"/>
        <v>--20</v>
      </c>
      <c r="J346" s="37" t="e">
        <f>VLOOKUP(D346,Laporan!$C$4:$D$34,2,0)</f>
        <v>#N/A</v>
      </c>
      <c r="K346" s="48"/>
      <c r="L346" s="13"/>
      <c r="M346" s="19">
        <f>SUMIF('DATABASE Room'!$B$3:$B$7,L346,'DATABASE Room'!$D$3:$D$7)</f>
        <v>0</v>
      </c>
      <c r="N346" s="13"/>
      <c r="O346" s="21">
        <f t="shared" si="291"/>
        <v>0</v>
      </c>
      <c r="P346" s="38"/>
      <c r="Q346" s="19">
        <f t="shared" si="292"/>
        <v>0</v>
      </c>
      <c r="R346" s="21">
        <f t="shared" si="293"/>
        <v>0</v>
      </c>
      <c r="S346" s="19">
        <f t="shared" si="294"/>
        <v>2</v>
      </c>
      <c r="T346" s="19">
        <f t="shared" si="295"/>
        <v>0</v>
      </c>
      <c r="U346" s="21">
        <f t="shared" si="296"/>
        <v>0</v>
      </c>
      <c r="V346" s="39"/>
      <c r="W346" s="16"/>
      <c r="X346" s="17">
        <f>VLOOKUP(W346,'DATABASE F&amp;B'!$C$3:$F$216,2,0)</f>
        <v>0</v>
      </c>
      <c r="Y346" s="18"/>
      <c r="Z346" s="19">
        <f>VLOOKUP(W346,'DATABASE F&amp;B'!$C$3:$F$216,4,0)</f>
        <v>0</v>
      </c>
      <c r="AA346" s="19">
        <f t="shared" si="297"/>
        <v>0</v>
      </c>
      <c r="AB346" s="16"/>
      <c r="AC346" s="17">
        <f>VLOOKUP(AB346,'DATABASE F&amp;B'!$C$3:$F$216,2,0)</f>
        <v>0</v>
      </c>
      <c r="AD346" s="18"/>
      <c r="AE346" s="19">
        <f>VLOOKUP(AB346,'DATABASE F&amp;B'!$C$3:$F$216,4,0)</f>
        <v>0</v>
      </c>
      <c r="AF346" s="19">
        <f t="shared" si="298"/>
        <v>0</v>
      </c>
      <c r="AG346" s="16"/>
      <c r="AH346" s="17">
        <f>VLOOKUP(AG346,'DATABASE F&amp;B'!$C$3:$F$216,2,0)</f>
        <v>0</v>
      </c>
      <c r="AI346" s="18"/>
      <c r="AJ346" s="19">
        <f>VLOOKUP(AG346,'DATABASE F&amp;B'!$C$3:$F$216,4,0)</f>
        <v>0</v>
      </c>
      <c r="AK346" s="19">
        <f t="shared" si="299"/>
        <v>0</v>
      </c>
      <c r="AL346" s="16"/>
      <c r="AM346" s="17">
        <f>VLOOKUP(AL346,'DATABASE F&amp;B'!$C$3:$F$216,2,0)</f>
        <v>0</v>
      </c>
      <c r="AN346" s="18">
        <v>1</v>
      </c>
      <c r="AO346" s="19">
        <f>VLOOKUP(AL346,'DATABASE F&amp;B'!$C$3:$F$216,4,0)</f>
        <v>0</v>
      </c>
      <c r="AP346" s="19">
        <f t="shared" si="300"/>
        <v>0</v>
      </c>
      <c r="AQ346" s="16"/>
      <c r="AR346" s="17">
        <f>VLOOKUP(AQ346,'DATABASE F&amp;B'!$C$3:$F$216,2,0)</f>
        <v>0</v>
      </c>
      <c r="AS346" s="18">
        <v>1</v>
      </c>
      <c r="AT346" s="19">
        <f>VLOOKUP(AQ346,'DATABASE F&amp;B'!$C$3:$F$216,4,0)</f>
        <v>0</v>
      </c>
      <c r="AU346" s="19">
        <f t="shared" si="301"/>
        <v>0</v>
      </c>
      <c r="AV346" s="16"/>
      <c r="AW346" s="17">
        <f>VLOOKUP(AV346,'DATABASE F&amp;B'!$C$3:$F$216,2,0)</f>
        <v>0</v>
      </c>
      <c r="AX346" s="18"/>
      <c r="AY346" s="19">
        <f>VLOOKUP(AV346,'DATABASE F&amp;B'!$C$3:$F$216,4,0)</f>
        <v>0</v>
      </c>
      <c r="AZ346" s="19">
        <f t="shared" si="302"/>
        <v>0</v>
      </c>
      <c r="BA346" s="16"/>
      <c r="BB346" s="17">
        <f>VLOOKUP(BA346,'DATABASE F&amp;B'!$C$3:$F$216,2,0)</f>
        <v>0</v>
      </c>
      <c r="BC346" s="18"/>
      <c r="BD346" s="19">
        <f>VLOOKUP(BA346,'DATABASE F&amp;B'!$C$3:$F$216,4,0)</f>
        <v>0</v>
      </c>
      <c r="BE346" s="19">
        <f t="shared" si="303"/>
        <v>0</v>
      </c>
      <c r="BF346" s="16"/>
      <c r="BG346" s="17">
        <f>VLOOKUP(BF346,'DATABASE F&amp;B'!$C$3:$F$216,2,0)</f>
        <v>0</v>
      </c>
      <c r="BH346" s="18"/>
      <c r="BI346" s="19">
        <f>VLOOKUP(BF346,'DATABASE F&amp;B'!$C$3:$F$216,4,0)</f>
        <v>0</v>
      </c>
      <c r="BJ346" s="19">
        <f t="shared" si="304"/>
        <v>0</v>
      </c>
      <c r="BK346" s="16"/>
      <c r="BL346" s="17">
        <f>VLOOKUP(BK346,'DATABASE F&amp;B'!$C$3:$F$210,2,0)</f>
        <v>0</v>
      </c>
      <c r="BM346" s="18"/>
      <c r="BN346" s="19">
        <f>VLOOKUP(BK346,'DATABASE F&amp;B'!$C$3:$F$210,4,0)</f>
        <v>0</v>
      </c>
      <c r="BO346" s="19">
        <f t="shared" si="305"/>
        <v>0</v>
      </c>
      <c r="BP346" s="16"/>
      <c r="BQ346" s="17">
        <f>VLOOKUP(BP346,'DATABASE F&amp;B'!$C$3:$F$210,2,0)</f>
        <v>0</v>
      </c>
      <c r="BR346" s="18"/>
      <c r="BS346" s="19">
        <f>VLOOKUP(BP346,'DATABASE F&amp;B'!$C$3:$F$210,4,0)</f>
        <v>0</v>
      </c>
      <c r="BT346" s="19">
        <f t="shared" si="306"/>
        <v>0</v>
      </c>
      <c r="BU346" s="16"/>
      <c r="BV346" s="17">
        <f>VLOOKUP(BU346,'DATABASE F&amp;B'!$C$3:$F$210,2,0)</f>
        <v>0</v>
      </c>
      <c r="BW346" s="18"/>
      <c r="BX346" s="19">
        <f>VLOOKUP(BU346,'DATABASE F&amp;B'!$C$3:$F$210,4,0)</f>
        <v>0</v>
      </c>
      <c r="BY346" s="19">
        <f t="shared" si="307"/>
        <v>0</v>
      </c>
      <c r="BZ346" s="16"/>
      <c r="CA346" s="17">
        <f>VLOOKUP(BZ346,'DATABASE F&amp;B'!$C$3:$F$210,2,0)</f>
        <v>0</v>
      </c>
      <c r="CB346" s="18"/>
      <c r="CC346" s="19">
        <f>VLOOKUP(BZ346,'DATABASE F&amp;B'!$C$3:$F$210,4,0)</f>
        <v>0</v>
      </c>
      <c r="CD346" s="19">
        <f t="shared" si="308"/>
        <v>0</v>
      </c>
    </row>
    <row r="347" spans="1:82" ht="13.5" x14ac:dyDescent="0.25">
      <c r="A347" s="32" t="str">
        <f t="shared" si="288"/>
        <v>--20</v>
      </c>
      <c r="B347" s="22">
        <f t="shared" ref="B347:C347" si="310">B346+1</f>
        <v>343</v>
      </c>
      <c r="C347" s="22">
        <f t="shared" si="310"/>
        <v>343</v>
      </c>
      <c r="D347" s="34"/>
      <c r="E347" s="35"/>
      <c r="F347" s="35"/>
      <c r="G347" s="52"/>
      <c r="H347" s="36" t="str">
        <f t="shared" si="285"/>
        <v>RJ--343</v>
      </c>
      <c r="I347" s="36" t="str">
        <f t="shared" si="290"/>
        <v>--20</v>
      </c>
      <c r="J347" s="37" t="e">
        <f>VLOOKUP(D347,Laporan!$C$4:$D$34,2,0)</f>
        <v>#N/A</v>
      </c>
      <c r="K347" s="48"/>
      <c r="L347" s="13"/>
      <c r="M347" s="19">
        <f>SUMIF('DATABASE Room'!$B$3:$B$7,L347,'DATABASE Room'!$D$3:$D$7)</f>
        <v>0</v>
      </c>
      <c r="N347" s="13"/>
      <c r="O347" s="21">
        <f t="shared" si="291"/>
        <v>0</v>
      </c>
      <c r="P347" s="38"/>
      <c r="Q347" s="19">
        <f t="shared" si="292"/>
        <v>0</v>
      </c>
      <c r="R347" s="21">
        <f t="shared" si="293"/>
        <v>0</v>
      </c>
      <c r="S347" s="19">
        <f t="shared" si="294"/>
        <v>2</v>
      </c>
      <c r="T347" s="19">
        <f t="shared" si="295"/>
        <v>0</v>
      </c>
      <c r="U347" s="21">
        <f t="shared" si="296"/>
        <v>0</v>
      </c>
      <c r="V347" s="39"/>
      <c r="W347" s="16"/>
      <c r="X347" s="17">
        <f>VLOOKUP(W347,'DATABASE F&amp;B'!$C$3:$F$216,2,0)</f>
        <v>0</v>
      </c>
      <c r="Y347" s="18"/>
      <c r="Z347" s="19">
        <f>VLOOKUP(W347,'DATABASE F&amp;B'!$C$3:$F$216,4,0)</f>
        <v>0</v>
      </c>
      <c r="AA347" s="19">
        <f t="shared" si="297"/>
        <v>0</v>
      </c>
      <c r="AB347" s="16"/>
      <c r="AC347" s="17">
        <f>VLOOKUP(AB347,'DATABASE F&amp;B'!$C$3:$F$216,2,0)</f>
        <v>0</v>
      </c>
      <c r="AD347" s="18"/>
      <c r="AE347" s="19">
        <f>VLOOKUP(AB347,'DATABASE F&amp;B'!$C$3:$F$216,4,0)</f>
        <v>0</v>
      </c>
      <c r="AF347" s="19">
        <f t="shared" si="298"/>
        <v>0</v>
      </c>
      <c r="AG347" s="16"/>
      <c r="AH347" s="17">
        <f>VLOOKUP(AG347,'DATABASE F&amp;B'!$C$3:$F$216,2,0)</f>
        <v>0</v>
      </c>
      <c r="AI347" s="18"/>
      <c r="AJ347" s="19">
        <f>VLOOKUP(AG347,'DATABASE F&amp;B'!$C$3:$F$216,4,0)</f>
        <v>0</v>
      </c>
      <c r="AK347" s="19">
        <f t="shared" si="299"/>
        <v>0</v>
      </c>
      <c r="AL347" s="16"/>
      <c r="AM347" s="17">
        <f>VLOOKUP(AL347,'DATABASE F&amp;B'!$C$3:$F$216,2,0)</f>
        <v>0</v>
      </c>
      <c r="AN347" s="18">
        <v>1</v>
      </c>
      <c r="AO347" s="19">
        <f>VLOOKUP(AL347,'DATABASE F&amp;B'!$C$3:$F$216,4,0)</f>
        <v>0</v>
      </c>
      <c r="AP347" s="19">
        <f t="shared" si="300"/>
        <v>0</v>
      </c>
      <c r="AQ347" s="16"/>
      <c r="AR347" s="17">
        <f>VLOOKUP(AQ347,'DATABASE F&amp;B'!$C$3:$F$216,2,0)</f>
        <v>0</v>
      </c>
      <c r="AS347" s="18">
        <v>1</v>
      </c>
      <c r="AT347" s="19">
        <f>VLOOKUP(AQ347,'DATABASE F&amp;B'!$C$3:$F$216,4,0)</f>
        <v>0</v>
      </c>
      <c r="AU347" s="19">
        <f t="shared" si="301"/>
        <v>0</v>
      </c>
      <c r="AV347" s="16"/>
      <c r="AW347" s="17">
        <f>VLOOKUP(AV347,'DATABASE F&amp;B'!$C$3:$F$216,2,0)</f>
        <v>0</v>
      </c>
      <c r="AX347" s="18"/>
      <c r="AY347" s="19">
        <f>VLOOKUP(AV347,'DATABASE F&amp;B'!$C$3:$F$216,4,0)</f>
        <v>0</v>
      </c>
      <c r="AZ347" s="19">
        <f t="shared" si="302"/>
        <v>0</v>
      </c>
      <c r="BA347" s="16"/>
      <c r="BB347" s="17">
        <f>VLOOKUP(BA347,'DATABASE F&amp;B'!$C$3:$F$216,2,0)</f>
        <v>0</v>
      </c>
      <c r="BC347" s="18"/>
      <c r="BD347" s="19">
        <f>VLOOKUP(BA347,'DATABASE F&amp;B'!$C$3:$F$216,4,0)</f>
        <v>0</v>
      </c>
      <c r="BE347" s="19">
        <f t="shared" si="303"/>
        <v>0</v>
      </c>
      <c r="BF347" s="16"/>
      <c r="BG347" s="17">
        <f>VLOOKUP(BF347,'DATABASE F&amp;B'!$C$3:$F$216,2,0)</f>
        <v>0</v>
      </c>
      <c r="BH347" s="18"/>
      <c r="BI347" s="19">
        <f>VLOOKUP(BF347,'DATABASE F&amp;B'!$C$3:$F$216,4,0)</f>
        <v>0</v>
      </c>
      <c r="BJ347" s="19">
        <f t="shared" si="304"/>
        <v>0</v>
      </c>
      <c r="BK347" s="16"/>
      <c r="BL347" s="17">
        <f>VLOOKUP(BK347,'DATABASE F&amp;B'!$C$3:$F$210,2,0)</f>
        <v>0</v>
      </c>
      <c r="BM347" s="18"/>
      <c r="BN347" s="19">
        <f>VLOOKUP(BK347,'DATABASE F&amp;B'!$C$3:$F$210,4,0)</f>
        <v>0</v>
      </c>
      <c r="BO347" s="19">
        <f t="shared" si="305"/>
        <v>0</v>
      </c>
      <c r="BP347" s="16"/>
      <c r="BQ347" s="17">
        <f>VLOOKUP(BP347,'DATABASE F&amp;B'!$C$3:$F$210,2,0)</f>
        <v>0</v>
      </c>
      <c r="BR347" s="18"/>
      <c r="BS347" s="19">
        <f>VLOOKUP(BP347,'DATABASE F&amp;B'!$C$3:$F$210,4,0)</f>
        <v>0</v>
      </c>
      <c r="BT347" s="19">
        <f t="shared" si="306"/>
        <v>0</v>
      </c>
      <c r="BU347" s="16"/>
      <c r="BV347" s="17">
        <f>VLOOKUP(BU347,'DATABASE F&amp;B'!$C$3:$F$210,2,0)</f>
        <v>0</v>
      </c>
      <c r="BW347" s="18"/>
      <c r="BX347" s="19">
        <f>VLOOKUP(BU347,'DATABASE F&amp;B'!$C$3:$F$210,4,0)</f>
        <v>0</v>
      </c>
      <c r="BY347" s="19">
        <f t="shared" si="307"/>
        <v>0</v>
      </c>
      <c r="BZ347" s="16"/>
      <c r="CA347" s="17">
        <f>VLOOKUP(BZ347,'DATABASE F&amp;B'!$C$3:$F$210,2,0)</f>
        <v>0</v>
      </c>
      <c r="CB347" s="18"/>
      <c r="CC347" s="19">
        <f>VLOOKUP(BZ347,'DATABASE F&amp;B'!$C$3:$F$210,4,0)</f>
        <v>0</v>
      </c>
      <c r="CD347" s="19">
        <f t="shared" si="308"/>
        <v>0</v>
      </c>
    </row>
    <row r="348" spans="1:82" ht="13.5" x14ac:dyDescent="0.25">
      <c r="A348" s="32" t="str">
        <f t="shared" si="288"/>
        <v>--20</v>
      </c>
      <c r="B348" s="22">
        <f t="shared" ref="B348:C348" si="311">B347+1</f>
        <v>344</v>
      </c>
      <c r="C348" s="22">
        <f t="shared" si="311"/>
        <v>344</v>
      </c>
      <c r="D348" s="34"/>
      <c r="E348" s="35"/>
      <c r="F348" s="35"/>
      <c r="G348" s="52"/>
      <c r="H348" s="36" t="str">
        <f t="shared" si="285"/>
        <v>RJ--344</v>
      </c>
      <c r="I348" s="36" t="str">
        <f t="shared" si="290"/>
        <v>--20</v>
      </c>
      <c r="J348" s="37" t="e">
        <f>VLOOKUP(D348,Laporan!$C$4:$D$34,2,0)</f>
        <v>#N/A</v>
      </c>
      <c r="K348" s="48"/>
      <c r="L348" s="13"/>
      <c r="M348" s="19">
        <f>SUMIF('DATABASE Room'!$B$3:$B$7,L348,'DATABASE Room'!$D$3:$D$7)</f>
        <v>0</v>
      </c>
      <c r="N348" s="13"/>
      <c r="O348" s="21">
        <f t="shared" si="291"/>
        <v>0</v>
      </c>
      <c r="P348" s="38"/>
      <c r="Q348" s="19">
        <f t="shared" si="292"/>
        <v>0</v>
      </c>
      <c r="R348" s="21">
        <f t="shared" si="293"/>
        <v>0</v>
      </c>
      <c r="S348" s="19">
        <f t="shared" si="294"/>
        <v>2</v>
      </c>
      <c r="T348" s="19">
        <f t="shared" si="295"/>
        <v>0</v>
      </c>
      <c r="U348" s="21">
        <f t="shared" si="296"/>
        <v>0</v>
      </c>
      <c r="V348" s="39"/>
      <c r="W348" s="16"/>
      <c r="X348" s="17">
        <f>VLOOKUP(W348,'DATABASE F&amp;B'!$C$3:$F$216,2,0)</f>
        <v>0</v>
      </c>
      <c r="Y348" s="18"/>
      <c r="Z348" s="19">
        <f>VLOOKUP(W348,'DATABASE F&amp;B'!$C$3:$F$216,4,0)</f>
        <v>0</v>
      </c>
      <c r="AA348" s="19">
        <f t="shared" si="297"/>
        <v>0</v>
      </c>
      <c r="AB348" s="16"/>
      <c r="AC348" s="17">
        <f>VLOOKUP(AB348,'DATABASE F&amp;B'!$C$3:$F$216,2,0)</f>
        <v>0</v>
      </c>
      <c r="AD348" s="18"/>
      <c r="AE348" s="19">
        <f>VLOOKUP(AB348,'DATABASE F&amp;B'!$C$3:$F$216,4,0)</f>
        <v>0</v>
      </c>
      <c r="AF348" s="19">
        <f t="shared" si="298"/>
        <v>0</v>
      </c>
      <c r="AG348" s="16"/>
      <c r="AH348" s="17">
        <f>VLOOKUP(AG348,'DATABASE F&amp;B'!$C$3:$F$216,2,0)</f>
        <v>0</v>
      </c>
      <c r="AI348" s="18"/>
      <c r="AJ348" s="19">
        <f>VLOOKUP(AG348,'DATABASE F&amp;B'!$C$3:$F$216,4,0)</f>
        <v>0</v>
      </c>
      <c r="AK348" s="19">
        <f t="shared" si="299"/>
        <v>0</v>
      </c>
      <c r="AL348" s="16"/>
      <c r="AM348" s="17">
        <f>VLOOKUP(AL348,'DATABASE F&amp;B'!$C$3:$F$216,2,0)</f>
        <v>0</v>
      </c>
      <c r="AN348" s="18">
        <v>1</v>
      </c>
      <c r="AO348" s="19">
        <f>VLOOKUP(AL348,'DATABASE F&amp;B'!$C$3:$F$216,4,0)</f>
        <v>0</v>
      </c>
      <c r="AP348" s="19">
        <f t="shared" si="300"/>
        <v>0</v>
      </c>
      <c r="AQ348" s="16"/>
      <c r="AR348" s="17">
        <f>VLOOKUP(AQ348,'DATABASE F&amp;B'!$C$3:$F$216,2,0)</f>
        <v>0</v>
      </c>
      <c r="AS348" s="18">
        <v>1</v>
      </c>
      <c r="AT348" s="19">
        <f>VLOOKUP(AQ348,'DATABASE F&amp;B'!$C$3:$F$216,4,0)</f>
        <v>0</v>
      </c>
      <c r="AU348" s="19">
        <f t="shared" si="301"/>
        <v>0</v>
      </c>
      <c r="AV348" s="16"/>
      <c r="AW348" s="17">
        <f>VLOOKUP(AV348,'DATABASE F&amp;B'!$C$3:$F$216,2,0)</f>
        <v>0</v>
      </c>
      <c r="AX348" s="18"/>
      <c r="AY348" s="19">
        <f>VLOOKUP(AV348,'DATABASE F&amp;B'!$C$3:$F$216,4,0)</f>
        <v>0</v>
      </c>
      <c r="AZ348" s="19">
        <f t="shared" si="302"/>
        <v>0</v>
      </c>
      <c r="BA348" s="16"/>
      <c r="BB348" s="17">
        <f>VLOOKUP(BA348,'DATABASE F&amp;B'!$C$3:$F$216,2,0)</f>
        <v>0</v>
      </c>
      <c r="BC348" s="18"/>
      <c r="BD348" s="19">
        <f>VLOOKUP(BA348,'DATABASE F&amp;B'!$C$3:$F$216,4,0)</f>
        <v>0</v>
      </c>
      <c r="BE348" s="19">
        <f t="shared" si="303"/>
        <v>0</v>
      </c>
      <c r="BF348" s="16"/>
      <c r="BG348" s="17">
        <f>VLOOKUP(BF348,'DATABASE F&amp;B'!$C$3:$F$216,2,0)</f>
        <v>0</v>
      </c>
      <c r="BH348" s="18"/>
      <c r="BI348" s="19">
        <f>VLOOKUP(BF348,'DATABASE F&amp;B'!$C$3:$F$216,4,0)</f>
        <v>0</v>
      </c>
      <c r="BJ348" s="19">
        <f t="shared" si="304"/>
        <v>0</v>
      </c>
      <c r="BK348" s="16"/>
      <c r="BL348" s="17">
        <f>VLOOKUP(BK348,'DATABASE F&amp;B'!$C$3:$F$210,2,0)</f>
        <v>0</v>
      </c>
      <c r="BM348" s="18"/>
      <c r="BN348" s="19">
        <f>VLOOKUP(BK348,'DATABASE F&amp;B'!$C$3:$F$210,4,0)</f>
        <v>0</v>
      </c>
      <c r="BO348" s="19">
        <f t="shared" si="305"/>
        <v>0</v>
      </c>
      <c r="BP348" s="16"/>
      <c r="BQ348" s="17">
        <f>VLOOKUP(BP348,'DATABASE F&amp;B'!$C$3:$F$210,2,0)</f>
        <v>0</v>
      </c>
      <c r="BR348" s="18"/>
      <c r="BS348" s="19">
        <f>VLOOKUP(BP348,'DATABASE F&amp;B'!$C$3:$F$210,4,0)</f>
        <v>0</v>
      </c>
      <c r="BT348" s="19">
        <f t="shared" si="306"/>
        <v>0</v>
      </c>
      <c r="BU348" s="16"/>
      <c r="BV348" s="17">
        <f>VLOOKUP(BU348,'DATABASE F&amp;B'!$C$3:$F$210,2,0)</f>
        <v>0</v>
      </c>
      <c r="BW348" s="18"/>
      <c r="BX348" s="19">
        <f>VLOOKUP(BU348,'DATABASE F&amp;B'!$C$3:$F$210,4,0)</f>
        <v>0</v>
      </c>
      <c r="BY348" s="19">
        <f t="shared" si="307"/>
        <v>0</v>
      </c>
      <c r="BZ348" s="16"/>
      <c r="CA348" s="17">
        <f>VLOOKUP(BZ348,'DATABASE F&amp;B'!$C$3:$F$210,2,0)</f>
        <v>0</v>
      </c>
      <c r="CB348" s="18"/>
      <c r="CC348" s="19">
        <f>VLOOKUP(BZ348,'DATABASE F&amp;B'!$C$3:$F$210,4,0)</f>
        <v>0</v>
      </c>
      <c r="CD348" s="19">
        <f t="shared" si="308"/>
        <v>0</v>
      </c>
    </row>
    <row r="349" spans="1:82" ht="13.5" x14ac:dyDescent="0.25">
      <c r="A349" s="32" t="str">
        <f t="shared" si="288"/>
        <v>--20</v>
      </c>
      <c r="B349" s="22">
        <f t="shared" ref="B349:C349" si="312">B348+1</f>
        <v>345</v>
      </c>
      <c r="C349" s="22">
        <f t="shared" si="312"/>
        <v>345</v>
      </c>
      <c r="D349" s="34"/>
      <c r="E349" s="35"/>
      <c r="F349" s="35"/>
      <c r="G349" s="52"/>
      <c r="H349" s="36" t="str">
        <f t="shared" si="285"/>
        <v>RJ--345</v>
      </c>
      <c r="I349" s="36" t="str">
        <f t="shared" si="290"/>
        <v>--20</v>
      </c>
      <c r="J349" s="37" t="e">
        <f>VLOOKUP(D349,Laporan!$C$4:$D$34,2,0)</f>
        <v>#N/A</v>
      </c>
      <c r="K349" s="48"/>
      <c r="L349" s="13"/>
      <c r="M349" s="19">
        <f>SUMIF('DATABASE Room'!$B$3:$B$7,L349,'DATABASE Room'!$D$3:$D$7)</f>
        <v>0</v>
      </c>
      <c r="N349" s="13"/>
      <c r="O349" s="21">
        <f t="shared" si="291"/>
        <v>0</v>
      </c>
      <c r="P349" s="38"/>
      <c r="Q349" s="19">
        <f t="shared" si="292"/>
        <v>0</v>
      </c>
      <c r="R349" s="21">
        <f t="shared" si="293"/>
        <v>0</v>
      </c>
      <c r="S349" s="19">
        <f t="shared" si="294"/>
        <v>2</v>
      </c>
      <c r="T349" s="19">
        <f t="shared" si="295"/>
        <v>0</v>
      </c>
      <c r="U349" s="21">
        <f t="shared" si="296"/>
        <v>0</v>
      </c>
      <c r="V349" s="39"/>
      <c r="W349" s="16"/>
      <c r="X349" s="17">
        <f>VLOOKUP(W349,'DATABASE F&amp;B'!$C$3:$F$216,2,0)</f>
        <v>0</v>
      </c>
      <c r="Y349" s="18"/>
      <c r="Z349" s="19">
        <f>VLOOKUP(W349,'DATABASE F&amp;B'!$C$3:$F$216,4,0)</f>
        <v>0</v>
      </c>
      <c r="AA349" s="19">
        <f t="shared" si="297"/>
        <v>0</v>
      </c>
      <c r="AB349" s="16"/>
      <c r="AC349" s="17">
        <f>VLOOKUP(AB349,'DATABASE F&amp;B'!$C$3:$F$216,2,0)</f>
        <v>0</v>
      </c>
      <c r="AD349" s="18"/>
      <c r="AE349" s="19">
        <f>VLOOKUP(AB349,'DATABASE F&amp;B'!$C$3:$F$216,4,0)</f>
        <v>0</v>
      </c>
      <c r="AF349" s="19">
        <f t="shared" si="298"/>
        <v>0</v>
      </c>
      <c r="AG349" s="16"/>
      <c r="AH349" s="17">
        <f>VLOOKUP(AG349,'DATABASE F&amp;B'!$C$3:$F$216,2,0)</f>
        <v>0</v>
      </c>
      <c r="AI349" s="18"/>
      <c r="AJ349" s="19">
        <f>VLOOKUP(AG349,'DATABASE F&amp;B'!$C$3:$F$216,4,0)</f>
        <v>0</v>
      </c>
      <c r="AK349" s="19">
        <f t="shared" si="299"/>
        <v>0</v>
      </c>
      <c r="AL349" s="16"/>
      <c r="AM349" s="17">
        <f>VLOOKUP(AL349,'DATABASE F&amp;B'!$C$3:$F$216,2,0)</f>
        <v>0</v>
      </c>
      <c r="AN349" s="18">
        <v>1</v>
      </c>
      <c r="AO349" s="19">
        <f>VLOOKUP(AL349,'DATABASE F&amp;B'!$C$3:$F$216,4,0)</f>
        <v>0</v>
      </c>
      <c r="AP349" s="19">
        <f t="shared" si="300"/>
        <v>0</v>
      </c>
      <c r="AQ349" s="16"/>
      <c r="AR349" s="17">
        <f>VLOOKUP(AQ349,'DATABASE F&amp;B'!$C$3:$F$216,2,0)</f>
        <v>0</v>
      </c>
      <c r="AS349" s="18">
        <v>1</v>
      </c>
      <c r="AT349" s="19">
        <f>VLOOKUP(AQ349,'DATABASE F&amp;B'!$C$3:$F$216,4,0)</f>
        <v>0</v>
      </c>
      <c r="AU349" s="19">
        <f t="shared" si="301"/>
        <v>0</v>
      </c>
      <c r="AV349" s="16"/>
      <c r="AW349" s="17">
        <f>VLOOKUP(AV349,'DATABASE F&amp;B'!$C$3:$F$216,2,0)</f>
        <v>0</v>
      </c>
      <c r="AX349" s="18"/>
      <c r="AY349" s="19">
        <f>VLOOKUP(AV349,'DATABASE F&amp;B'!$C$3:$F$216,4,0)</f>
        <v>0</v>
      </c>
      <c r="AZ349" s="19">
        <f t="shared" si="302"/>
        <v>0</v>
      </c>
      <c r="BA349" s="16"/>
      <c r="BB349" s="17">
        <f>VLOOKUP(BA349,'DATABASE F&amp;B'!$C$3:$F$216,2,0)</f>
        <v>0</v>
      </c>
      <c r="BC349" s="18"/>
      <c r="BD349" s="19">
        <f>VLOOKUP(BA349,'DATABASE F&amp;B'!$C$3:$F$216,4,0)</f>
        <v>0</v>
      </c>
      <c r="BE349" s="19">
        <f t="shared" si="303"/>
        <v>0</v>
      </c>
      <c r="BF349" s="16"/>
      <c r="BG349" s="17">
        <f>VLOOKUP(BF349,'DATABASE F&amp;B'!$C$3:$F$216,2,0)</f>
        <v>0</v>
      </c>
      <c r="BH349" s="18"/>
      <c r="BI349" s="19">
        <f>VLOOKUP(BF349,'DATABASE F&amp;B'!$C$3:$F$216,4,0)</f>
        <v>0</v>
      </c>
      <c r="BJ349" s="19">
        <f t="shared" si="304"/>
        <v>0</v>
      </c>
      <c r="BK349" s="16"/>
      <c r="BL349" s="17">
        <f>VLOOKUP(BK349,'DATABASE F&amp;B'!$C$3:$F$210,2,0)</f>
        <v>0</v>
      </c>
      <c r="BM349" s="18"/>
      <c r="BN349" s="19">
        <f>VLOOKUP(BK349,'DATABASE F&amp;B'!$C$3:$F$210,4,0)</f>
        <v>0</v>
      </c>
      <c r="BO349" s="19">
        <f t="shared" si="305"/>
        <v>0</v>
      </c>
      <c r="BP349" s="16"/>
      <c r="BQ349" s="17">
        <f>VLOOKUP(BP349,'DATABASE F&amp;B'!$C$3:$F$210,2,0)</f>
        <v>0</v>
      </c>
      <c r="BR349" s="18"/>
      <c r="BS349" s="19">
        <f>VLOOKUP(BP349,'DATABASE F&amp;B'!$C$3:$F$210,4,0)</f>
        <v>0</v>
      </c>
      <c r="BT349" s="19">
        <f t="shared" si="306"/>
        <v>0</v>
      </c>
      <c r="BU349" s="16"/>
      <c r="BV349" s="17">
        <f>VLOOKUP(BU349,'DATABASE F&amp;B'!$C$3:$F$210,2,0)</f>
        <v>0</v>
      </c>
      <c r="BW349" s="18"/>
      <c r="BX349" s="19">
        <f>VLOOKUP(BU349,'DATABASE F&amp;B'!$C$3:$F$210,4,0)</f>
        <v>0</v>
      </c>
      <c r="BY349" s="19">
        <f t="shared" si="307"/>
        <v>0</v>
      </c>
      <c r="BZ349" s="16"/>
      <c r="CA349" s="17">
        <f>VLOOKUP(BZ349,'DATABASE F&amp;B'!$C$3:$F$210,2,0)</f>
        <v>0</v>
      </c>
      <c r="CB349" s="18"/>
      <c r="CC349" s="19">
        <f>VLOOKUP(BZ349,'DATABASE F&amp;B'!$C$3:$F$210,4,0)</f>
        <v>0</v>
      </c>
      <c r="CD349" s="19">
        <f t="shared" si="308"/>
        <v>0</v>
      </c>
    </row>
    <row r="350" spans="1:82" ht="13.5" x14ac:dyDescent="0.25">
      <c r="A350" s="32" t="str">
        <f t="shared" si="288"/>
        <v>--20</v>
      </c>
      <c r="B350" s="22">
        <f t="shared" ref="B350:C350" si="313">B349+1</f>
        <v>346</v>
      </c>
      <c r="C350" s="22">
        <f t="shared" si="313"/>
        <v>346</v>
      </c>
      <c r="D350" s="34"/>
      <c r="E350" s="35"/>
      <c r="F350" s="35"/>
      <c r="G350" s="52"/>
      <c r="H350" s="36" t="str">
        <f t="shared" si="285"/>
        <v>RJ--346</v>
      </c>
      <c r="I350" s="36" t="str">
        <f t="shared" si="290"/>
        <v>--20</v>
      </c>
      <c r="J350" s="37" t="e">
        <f>VLOOKUP(D350,Laporan!$C$4:$D$34,2,0)</f>
        <v>#N/A</v>
      </c>
      <c r="K350" s="48"/>
      <c r="L350" s="13"/>
      <c r="M350" s="19">
        <f>SUMIF('DATABASE Room'!$B$3:$B$7,L350,'DATABASE Room'!$D$3:$D$7)</f>
        <v>0</v>
      </c>
      <c r="N350" s="13"/>
      <c r="O350" s="21">
        <f t="shared" si="291"/>
        <v>0</v>
      </c>
      <c r="P350" s="38"/>
      <c r="Q350" s="19">
        <f t="shared" si="292"/>
        <v>0</v>
      </c>
      <c r="R350" s="21">
        <f t="shared" si="293"/>
        <v>0</v>
      </c>
      <c r="S350" s="19">
        <f t="shared" si="294"/>
        <v>2</v>
      </c>
      <c r="T350" s="19">
        <f t="shared" si="295"/>
        <v>0</v>
      </c>
      <c r="U350" s="21">
        <f t="shared" si="296"/>
        <v>0</v>
      </c>
      <c r="V350" s="39"/>
      <c r="W350" s="16"/>
      <c r="X350" s="17">
        <f>VLOOKUP(W350,'DATABASE F&amp;B'!$C$3:$F$216,2,0)</f>
        <v>0</v>
      </c>
      <c r="Y350" s="18"/>
      <c r="Z350" s="19">
        <f>VLOOKUP(W350,'DATABASE F&amp;B'!$C$3:$F$216,4,0)</f>
        <v>0</v>
      </c>
      <c r="AA350" s="19">
        <f t="shared" si="297"/>
        <v>0</v>
      </c>
      <c r="AB350" s="16"/>
      <c r="AC350" s="17">
        <f>VLOOKUP(AB350,'DATABASE F&amp;B'!$C$3:$F$216,2,0)</f>
        <v>0</v>
      </c>
      <c r="AD350" s="18"/>
      <c r="AE350" s="19">
        <f>VLOOKUP(AB350,'DATABASE F&amp;B'!$C$3:$F$216,4,0)</f>
        <v>0</v>
      </c>
      <c r="AF350" s="19">
        <f t="shared" si="298"/>
        <v>0</v>
      </c>
      <c r="AG350" s="16"/>
      <c r="AH350" s="17">
        <f>VLOOKUP(AG350,'DATABASE F&amp;B'!$C$3:$F$216,2,0)</f>
        <v>0</v>
      </c>
      <c r="AI350" s="18"/>
      <c r="AJ350" s="19">
        <f>VLOOKUP(AG350,'DATABASE F&amp;B'!$C$3:$F$216,4,0)</f>
        <v>0</v>
      </c>
      <c r="AK350" s="19">
        <f t="shared" si="299"/>
        <v>0</v>
      </c>
      <c r="AL350" s="16"/>
      <c r="AM350" s="17">
        <f>VLOOKUP(AL350,'DATABASE F&amp;B'!$C$3:$F$216,2,0)</f>
        <v>0</v>
      </c>
      <c r="AN350" s="18">
        <v>1</v>
      </c>
      <c r="AO350" s="19">
        <f>VLOOKUP(AL350,'DATABASE F&amp;B'!$C$3:$F$216,4,0)</f>
        <v>0</v>
      </c>
      <c r="AP350" s="19">
        <f t="shared" si="300"/>
        <v>0</v>
      </c>
      <c r="AQ350" s="16"/>
      <c r="AR350" s="17">
        <f>VLOOKUP(AQ350,'DATABASE F&amp;B'!$C$3:$F$216,2,0)</f>
        <v>0</v>
      </c>
      <c r="AS350" s="18">
        <v>1</v>
      </c>
      <c r="AT350" s="19">
        <f>VLOOKUP(AQ350,'DATABASE F&amp;B'!$C$3:$F$216,4,0)</f>
        <v>0</v>
      </c>
      <c r="AU350" s="19">
        <f t="shared" si="301"/>
        <v>0</v>
      </c>
      <c r="AV350" s="16"/>
      <c r="AW350" s="17">
        <f>VLOOKUP(AV350,'DATABASE F&amp;B'!$C$3:$F$216,2,0)</f>
        <v>0</v>
      </c>
      <c r="AX350" s="18"/>
      <c r="AY350" s="19">
        <f>VLOOKUP(AV350,'DATABASE F&amp;B'!$C$3:$F$216,4,0)</f>
        <v>0</v>
      </c>
      <c r="AZ350" s="19">
        <f t="shared" si="302"/>
        <v>0</v>
      </c>
      <c r="BA350" s="16"/>
      <c r="BB350" s="17">
        <f>VLOOKUP(BA350,'DATABASE F&amp;B'!$C$3:$F$216,2,0)</f>
        <v>0</v>
      </c>
      <c r="BC350" s="18"/>
      <c r="BD350" s="19">
        <f>VLOOKUP(BA350,'DATABASE F&amp;B'!$C$3:$F$216,4,0)</f>
        <v>0</v>
      </c>
      <c r="BE350" s="19">
        <f t="shared" si="303"/>
        <v>0</v>
      </c>
      <c r="BF350" s="16"/>
      <c r="BG350" s="17">
        <f>VLOOKUP(BF350,'DATABASE F&amp;B'!$C$3:$F$216,2,0)</f>
        <v>0</v>
      </c>
      <c r="BH350" s="18"/>
      <c r="BI350" s="19">
        <f>VLOOKUP(BF350,'DATABASE F&amp;B'!$C$3:$F$216,4,0)</f>
        <v>0</v>
      </c>
      <c r="BJ350" s="19">
        <f t="shared" si="304"/>
        <v>0</v>
      </c>
      <c r="BK350" s="16"/>
      <c r="BL350" s="17">
        <f>VLOOKUP(BK350,'DATABASE F&amp;B'!$C$3:$F$210,2,0)</f>
        <v>0</v>
      </c>
      <c r="BM350" s="18"/>
      <c r="BN350" s="19">
        <f>VLOOKUP(BK350,'DATABASE F&amp;B'!$C$3:$F$210,4,0)</f>
        <v>0</v>
      </c>
      <c r="BO350" s="19">
        <f t="shared" si="305"/>
        <v>0</v>
      </c>
      <c r="BP350" s="16"/>
      <c r="BQ350" s="17">
        <f>VLOOKUP(BP350,'DATABASE F&amp;B'!$C$3:$F$210,2,0)</f>
        <v>0</v>
      </c>
      <c r="BR350" s="18"/>
      <c r="BS350" s="19">
        <f>VLOOKUP(BP350,'DATABASE F&amp;B'!$C$3:$F$210,4,0)</f>
        <v>0</v>
      </c>
      <c r="BT350" s="19">
        <f t="shared" si="306"/>
        <v>0</v>
      </c>
      <c r="BU350" s="16"/>
      <c r="BV350" s="17">
        <f>VLOOKUP(BU350,'DATABASE F&amp;B'!$C$3:$F$210,2,0)</f>
        <v>0</v>
      </c>
      <c r="BW350" s="18"/>
      <c r="BX350" s="19">
        <f>VLOOKUP(BU350,'DATABASE F&amp;B'!$C$3:$F$210,4,0)</f>
        <v>0</v>
      </c>
      <c r="BY350" s="19">
        <f t="shared" si="307"/>
        <v>0</v>
      </c>
      <c r="BZ350" s="16"/>
      <c r="CA350" s="17">
        <f>VLOOKUP(BZ350,'DATABASE F&amp;B'!$C$3:$F$210,2,0)</f>
        <v>0</v>
      </c>
      <c r="CB350" s="18"/>
      <c r="CC350" s="19">
        <f>VLOOKUP(BZ350,'DATABASE F&amp;B'!$C$3:$F$210,4,0)</f>
        <v>0</v>
      </c>
      <c r="CD350" s="19">
        <f t="shared" si="308"/>
        <v>0</v>
      </c>
    </row>
    <row r="351" spans="1:82" ht="13.5" x14ac:dyDescent="0.25">
      <c r="A351" s="32" t="str">
        <f t="shared" si="288"/>
        <v>--20</v>
      </c>
      <c r="B351" s="22">
        <f t="shared" ref="B351:C351" si="314">B350+1</f>
        <v>347</v>
      </c>
      <c r="C351" s="22">
        <f t="shared" si="314"/>
        <v>347</v>
      </c>
      <c r="D351" s="34"/>
      <c r="E351" s="35"/>
      <c r="F351" s="35"/>
      <c r="G351" s="52"/>
      <c r="H351" s="36" t="str">
        <f t="shared" si="285"/>
        <v>RJ--347</v>
      </c>
      <c r="I351" s="36" t="str">
        <f t="shared" si="290"/>
        <v>--20</v>
      </c>
      <c r="J351" s="37" t="e">
        <f>VLOOKUP(D351,Laporan!$C$4:$D$34,2,0)</f>
        <v>#N/A</v>
      </c>
      <c r="K351" s="48"/>
      <c r="L351" s="13"/>
      <c r="M351" s="19">
        <f>SUMIF('DATABASE Room'!$B$3:$B$7,L351,'DATABASE Room'!$D$3:$D$7)</f>
        <v>0</v>
      </c>
      <c r="N351" s="13"/>
      <c r="O351" s="21">
        <f t="shared" si="291"/>
        <v>0</v>
      </c>
      <c r="P351" s="38"/>
      <c r="Q351" s="19">
        <f t="shared" si="292"/>
        <v>0</v>
      </c>
      <c r="R351" s="21">
        <f t="shared" si="293"/>
        <v>0</v>
      </c>
      <c r="S351" s="19">
        <f t="shared" si="294"/>
        <v>2</v>
      </c>
      <c r="T351" s="19">
        <f t="shared" si="295"/>
        <v>0</v>
      </c>
      <c r="U351" s="21">
        <f t="shared" si="296"/>
        <v>0</v>
      </c>
      <c r="V351" s="39"/>
      <c r="W351" s="16"/>
      <c r="X351" s="17">
        <f>VLOOKUP(W351,'DATABASE F&amp;B'!$C$3:$F$216,2,0)</f>
        <v>0</v>
      </c>
      <c r="Y351" s="18"/>
      <c r="Z351" s="19">
        <f>VLOOKUP(W351,'DATABASE F&amp;B'!$C$3:$F$216,4,0)</f>
        <v>0</v>
      </c>
      <c r="AA351" s="19">
        <f t="shared" si="297"/>
        <v>0</v>
      </c>
      <c r="AB351" s="16"/>
      <c r="AC351" s="17">
        <f>VLOOKUP(AB351,'DATABASE F&amp;B'!$C$3:$F$216,2,0)</f>
        <v>0</v>
      </c>
      <c r="AD351" s="18"/>
      <c r="AE351" s="19">
        <f>VLOOKUP(AB351,'DATABASE F&amp;B'!$C$3:$F$216,4,0)</f>
        <v>0</v>
      </c>
      <c r="AF351" s="19">
        <f t="shared" si="298"/>
        <v>0</v>
      </c>
      <c r="AG351" s="16"/>
      <c r="AH351" s="17">
        <f>VLOOKUP(AG351,'DATABASE F&amp;B'!$C$3:$F$216,2,0)</f>
        <v>0</v>
      </c>
      <c r="AI351" s="18"/>
      <c r="AJ351" s="19">
        <f>VLOOKUP(AG351,'DATABASE F&amp;B'!$C$3:$F$216,4,0)</f>
        <v>0</v>
      </c>
      <c r="AK351" s="19">
        <f t="shared" si="299"/>
        <v>0</v>
      </c>
      <c r="AL351" s="16"/>
      <c r="AM351" s="17">
        <f>VLOOKUP(AL351,'DATABASE F&amp;B'!$C$3:$F$216,2,0)</f>
        <v>0</v>
      </c>
      <c r="AN351" s="18">
        <v>1</v>
      </c>
      <c r="AO351" s="19">
        <f>VLOOKUP(AL351,'DATABASE F&amp;B'!$C$3:$F$216,4,0)</f>
        <v>0</v>
      </c>
      <c r="AP351" s="19">
        <f t="shared" si="300"/>
        <v>0</v>
      </c>
      <c r="AQ351" s="16"/>
      <c r="AR351" s="17">
        <f>VLOOKUP(AQ351,'DATABASE F&amp;B'!$C$3:$F$216,2,0)</f>
        <v>0</v>
      </c>
      <c r="AS351" s="18">
        <v>1</v>
      </c>
      <c r="AT351" s="19">
        <f>VLOOKUP(AQ351,'DATABASE F&amp;B'!$C$3:$F$216,4,0)</f>
        <v>0</v>
      </c>
      <c r="AU351" s="19">
        <f t="shared" si="301"/>
        <v>0</v>
      </c>
      <c r="AV351" s="16"/>
      <c r="AW351" s="17">
        <f>VLOOKUP(AV351,'DATABASE F&amp;B'!$C$3:$F$216,2,0)</f>
        <v>0</v>
      </c>
      <c r="AX351" s="18"/>
      <c r="AY351" s="19">
        <f>VLOOKUP(AV351,'DATABASE F&amp;B'!$C$3:$F$216,4,0)</f>
        <v>0</v>
      </c>
      <c r="AZ351" s="19">
        <f t="shared" si="302"/>
        <v>0</v>
      </c>
      <c r="BA351" s="16"/>
      <c r="BB351" s="17">
        <f>VLOOKUP(BA351,'DATABASE F&amp;B'!$C$3:$F$216,2,0)</f>
        <v>0</v>
      </c>
      <c r="BC351" s="18"/>
      <c r="BD351" s="19">
        <f>VLOOKUP(BA351,'DATABASE F&amp;B'!$C$3:$F$216,4,0)</f>
        <v>0</v>
      </c>
      <c r="BE351" s="19">
        <f t="shared" si="303"/>
        <v>0</v>
      </c>
      <c r="BF351" s="16"/>
      <c r="BG351" s="17">
        <f>VLOOKUP(BF351,'DATABASE F&amp;B'!$C$3:$F$216,2,0)</f>
        <v>0</v>
      </c>
      <c r="BH351" s="18"/>
      <c r="BI351" s="19">
        <f>VLOOKUP(BF351,'DATABASE F&amp;B'!$C$3:$F$216,4,0)</f>
        <v>0</v>
      </c>
      <c r="BJ351" s="19">
        <f t="shared" si="304"/>
        <v>0</v>
      </c>
      <c r="BK351" s="16"/>
      <c r="BL351" s="17">
        <f>VLOOKUP(BK351,'DATABASE F&amp;B'!$C$3:$F$210,2,0)</f>
        <v>0</v>
      </c>
      <c r="BM351" s="18"/>
      <c r="BN351" s="19">
        <f>VLOOKUP(BK351,'DATABASE F&amp;B'!$C$3:$F$210,4,0)</f>
        <v>0</v>
      </c>
      <c r="BO351" s="19">
        <f t="shared" si="305"/>
        <v>0</v>
      </c>
      <c r="BP351" s="16"/>
      <c r="BQ351" s="17">
        <f>VLOOKUP(BP351,'DATABASE F&amp;B'!$C$3:$F$210,2,0)</f>
        <v>0</v>
      </c>
      <c r="BR351" s="18"/>
      <c r="BS351" s="19">
        <f>VLOOKUP(BP351,'DATABASE F&amp;B'!$C$3:$F$210,4,0)</f>
        <v>0</v>
      </c>
      <c r="BT351" s="19">
        <f t="shared" si="306"/>
        <v>0</v>
      </c>
      <c r="BU351" s="16"/>
      <c r="BV351" s="17">
        <f>VLOOKUP(BU351,'DATABASE F&amp;B'!$C$3:$F$210,2,0)</f>
        <v>0</v>
      </c>
      <c r="BW351" s="18"/>
      <c r="BX351" s="19">
        <f>VLOOKUP(BU351,'DATABASE F&amp;B'!$C$3:$F$210,4,0)</f>
        <v>0</v>
      </c>
      <c r="BY351" s="19">
        <f t="shared" si="307"/>
        <v>0</v>
      </c>
      <c r="BZ351" s="16"/>
      <c r="CA351" s="17">
        <f>VLOOKUP(BZ351,'DATABASE F&amp;B'!$C$3:$F$210,2,0)</f>
        <v>0</v>
      </c>
      <c r="CB351" s="18"/>
      <c r="CC351" s="19">
        <f>VLOOKUP(BZ351,'DATABASE F&amp;B'!$C$3:$F$210,4,0)</f>
        <v>0</v>
      </c>
      <c r="CD351" s="19">
        <f t="shared" si="308"/>
        <v>0</v>
      </c>
    </row>
    <row r="352" spans="1:82" ht="13.5" x14ac:dyDescent="0.25">
      <c r="A352" s="32" t="str">
        <f t="shared" si="288"/>
        <v>--20</v>
      </c>
      <c r="B352" s="22">
        <f t="shared" ref="B352:C352" si="315">B351+1</f>
        <v>348</v>
      </c>
      <c r="C352" s="22">
        <f t="shared" si="315"/>
        <v>348</v>
      </c>
      <c r="D352" s="34"/>
      <c r="E352" s="35"/>
      <c r="F352" s="35"/>
      <c r="G352" s="52"/>
      <c r="H352" s="36" t="str">
        <f t="shared" si="285"/>
        <v>RJ--348</v>
      </c>
      <c r="I352" s="36" t="str">
        <f t="shared" si="290"/>
        <v>--20</v>
      </c>
      <c r="J352" s="37" t="e">
        <f>VLOOKUP(D352,Laporan!$C$4:$D$34,2,0)</f>
        <v>#N/A</v>
      </c>
      <c r="K352" s="48"/>
      <c r="L352" s="13"/>
      <c r="M352" s="19">
        <f>SUMIF('DATABASE Room'!$B$3:$B$7,L352,'DATABASE Room'!$D$3:$D$7)</f>
        <v>0</v>
      </c>
      <c r="N352" s="13"/>
      <c r="O352" s="21">
        <f t="shared" si="291"/>
        <v>0</v>
      </c>
      <c r="P352" s="38"/>
      <c r="Q352" s="19">
        <f t="shared" si="292"/>
        <v>0</v>
      </c>
      <c r="R352" s="21">
        <f t="shared" si="293"/>
        <v>0</v>
      </c>
      <c r="S352" s="19">
        <f t="shared" si="294"/>
        <v>2</v>
      </c>
      <c r="T352" s="19">
        <f t="shared" si="295"/>
        <v>0</v>
      </c>
      <c r="U352" s="21">
        <f t="shared" si="296"/>
        <v>0</v>
      </c>
      <c r="V352" s="39"/>
      <c r="W352" s="16"/>
      <c r="X352" s="17">
        <f>VLOOKUP(W352,'DATABASE F&amp;B'!$C$3:$F$216,2,0)</f>
        <v>0</v>
      </c>
      <c r="Y352" s="18"/>
      <c r="Z352" s="19">
        <f>VLOOKUP(W352,'DATABASE F&amp;B'!$C$3:$F$216,4,0)</f>
        <v>0</v>
      </c>
      <c r="AA352" s="19">
        <f t="shared" si="297"/>
        <v>0</v>
      </c>
      <c r="AB352" s="16"/>
      <c r="AC352" s="17">
        <f>VLOOKUP(AB352,'DATABASE F&amp;B'!$C$3:$F$216,2,0)</f>
        <v>0</v>
      </c>
      <c r="AD352" s="18"/>
      <c r="AE352" s="19">
        <f>VLOOKUP(AB352,'DATABASE F&amp;B'!$C$3:$F$216,4,0)</f>
        <v>0</v>
      </c>
      <c r="AF352" s="19">
        <f t="shared" si="298"/>
        <v>0</v>
      </c>
      <c r="AG352" s="16"/>
      <c r="AH352" s="17">
        <f>VLOOKUP(AG352,'DATABASE F&amp;B'!$C$3:$F$216,2,0)</f>
        <v>0</v>
      </c>
      <c r="AI352" s="18"/>
      <c r="AJ352" s="19">
        <f>VLOOKUP(AG352,'DATABASE F&amp;B'!$C$3:$F$216,4,0)</f>
        <v>0</v>
      </c>
      <c r="AK352" s="19">
        <f t="shared" si="299"/>
        <v>0</v>
      </c>
      <c r="AL352" s="16"/>
      <c r="AM352" s="17">
        <f>VLOOKUP(AL352,'DATABASE F&amp;B'!$C$3:$F$216,2,0)</f>
        <v>0</v>
      </c>
      <c r="AN352" s="18">
        <v>1</v>
      </c>
      <c r="AO352" s="19">
        <f>VLOOKUP(AL352,'DATABASE F&amp;B'!$C$3:$F$216,4,0)</f>
        <v>0</v>
      </c>
      <c r="AP352" s="19">
        <f t="shared" si="300"/>
        <v>0</v>
      </c>
      <c r="AQ352" s="16"/>
      <c r="AR352" s="17">
        <f>VLOOKUP(AQ352,'DATABASE F&amp;B'!$C$3:$F$216,2,0)</f>
        <v>0</v>
      </c>
      <c r="AS352" s="18">
        <v>1</v>
      </c>
      <c r="AT352" s="19">
        <f>VLOOKUP(AQ352,'DATABASE F&amp;B'!$C$3:$F$216,4,0)</f>
        <v>0</v>
      </c>
      <c r="AU352" s="19">
        <f t="shared" si="301"/>
        <v>0</v>
      </c>
      <c r="AV352" s="16"/>
      <c r="AW352" s="17">
        <f>VLOOKUP(AV352,'DATABASE F&amp;B'!$C$3:$F$216,2,0)</f>
        <v>0</v>
      </c>
      <c r="AX352" s="18"/>
      <c r="AY352" s="19">
        <f>VLOOKUP(AV352,'DATABASE F&amp;B'!$C$3:$F$216,4,0)</f>
        <v>0</v>
      </c>
      <c r="AZ352" s="19">
        <f t="shared" si="302"/>
        <v>0</v>
      </c>
      <c r="BA352" s="16"/>
      <c r="BB352" s="17">
        <f>VLOOKUP(BA352,'DATABASE F&amp;B'!$C$3:$F$216,2,0)</f>
        <v>0</v>
      </c>
      <c r="BC352" s="18"/>
      <c r="BD352" s="19">
        <f>VLOOKUP(BA352,'DATABASE F&amp;B'!$C$3:$F$216,4,0)</f>
        <v>0</v>
      </c>
      <c r="BE352" s="19">
        <f t="shared" si="303"/>
        <v>0</v>
      </c>
      <c r="BF352" s="16"/>
      <c r="BG352" s="17">
        <f>VLOOKUP(BF352,'DATABASE F&amp;B'!$C$3:$F$216,2,0)</f>
        <v>0</v>
      </c>
      <c r="BH352" s="18"/>
      <c r="BI352" s="19">
        <f>VLOOKUP(BF352,'DATABASE F&amp;B'!$C$3:$F$216,4,0)</f>
        <v>0</v>
      </c>
      <c r="BJ352" s="19">
        <f t="shared" si="304"/>
        <v>0</v>
      </c>
      <c r="BK352" s="16"/>
      <c r="BL352" s="17">
        <f>VLOOKUP(BK352,'DATABASE F&amp;B'!$C$3:$F$210,2,0)</f>
        <v>0</v>
      </c>
      <c r="BM352" s="18"/>
      <c r="BN352" s="19">
        <f>VLOOKUP(BK352,'DATABASE F&amp;B'!$C$3:$F$210,4,0)</f>
        <v>0</v>
      </c>
      <c r="BO352" s="19">
        <f t="shared" si="305"/>
        <v>0</v>
      </c>
      <c r="BP352" s="16"/>
      <c r="BQ352" s="17">
        <f>VLOOKUP(BP352,'DATABASE F&amp;B'!$C$3:$F$210,2,0)</f>
        <v>0</v>
      </c>
      <c r="BR352" s="18"/>
      <c r="BS352" s="19">
        <f>VLOOKUP(BP352,'DATABASE F&amp;B'!$C$3:$F$210,4,0)</f>
        <v>0</v>
      </c>
      <c r="BT352" s="19">
        <f t="shared" si="306"/>
        <v>0</v>
      </c>
      <c r="BU352" s="16"/>
      <c r="BV352" s="17">
        <f>VLOOKUP(BU352,'DATABASE F&amp;B'!$C$3:$F$210,2,0)</f>
        <v>0</v>
      </c>
      <c r="BW352" s="18"/>
      <c r="BX352" s="19">
        <f>VLOOKUP(BU352,'DATABASE F&amp;B'!$C$3:$F$210,4,0)</f>
        <v>0</v>
      </c>
      <c r="BY352" s="19">
        <f t="shared" si="307"/>
        <v>0</v>
      </c>
      <c r="BZ352" s="16"/>
      <c r="CA352" s="17">
        <f>VLOOKUP(BZ352,'DATABASE F&amp;B'!$C$3:$F$210,2,0)</f>
        <v>0</v>
      </c>
      <c r="CB352" s="18"/>
      <c r="CC352" s="19">
        <f>VLOOKUP(BZ352,'DATABASE F&amp;B'!$C$3:$F$210,4,0)</f>
        <v>0</v>
      </c>
      <c r="CD352" s="19">
        <f t="shared" si="308"/>
        <v>0</v>
      </c>
    </row>
    <row r="353" spans="1:82" ht="13.5" x14ac:dyDescent="0.25">
      <c r="A353" s="32" t="str">
        <f t="shared" si="288"/>
        <v>--20</v>
      </c>
      <c r="B353" s="22">
        <f t="shared" ref="B353:C353" si="316">B352+1</f>
        <v>349</v>
      </c>
      <c r="C353" s="22">
        <f t="shared" si="316"/>
        <v>349</v>
      </c>
      <c r="D353" s="34"/>
      <c r="E353" s="35"/>
      <c r="F353" s="35"/>
      <c r="G353" s="52"/>
      <c r="H353" s="36" t="str">
        <f t="shared" si="285"/>
        <v>RJ--349</v>
      </c>
      <c r="I353" s="36" t="str">
        <f t="shared" si="290"/>
        <v>--20</v>
      </c>
      <c r="J353" s="37" t="e">
        <f>VLOOKUP(D353,Laporan!$C$4:$D$34,2,0)</f>
        <v>#N/A</v>
      </c>
      <c r="K353" s="48"/>
      <c r="L353" s="13"/>
      <c r="M353" s="19">
        <f>SUMIF('DATABASE Room'!$B$3:$B$7,L353,'DATABASE Room'!$D$3:$D$7)</f>
        <v>0</v>
      </c>
      <c r="N353" s="13"/>
      <c r="O353" s="21">
        <f t="shared" si="291"/>
        <v>0</v>
      </c>
      <c r="P353" s="38"/>
      <c r="Q353" s="19">
        <f t="shared" si="292"/>
        <v>0</v>
      </c>
      <c r="R353" s="21">
        <f t="shared" si="293"/>
        <v>0</v>
      </c>
      <c r="S353" s="19">
        <f t="shared" si="294"/>
        <v>2</v>
      </c>
      <c r="T353" s="19">
        <f t="shared" si="295"/>
        <v>0</v>
      </c>
      <c r="U353" s="21">
        <f t="shared" si="296"/>
        <v>0</v>
      </c>
      <c r="V353" s="39"/>
      <c r="W353" s="16"/>
      <c r="X353" s="17">
        <f>VLOOKUP(W353,'DATABASE F&amp;B'!$C$3:$F$216,2,0)</f>
        <v>0</v>
      </c>
      <c r="Y353" s="18"/>
      <c r="Z353" s="19">
        <f>VLOOKUP(W353,'DATABASE F&amp;B'!$C$3:$F$216,4,0)</f>
        <v>0</v>
      </c>
      <c r="AA353" s="19">
        <f t="shared" si="297"/>
        <v>0</v>
      </c>
      <c r="AB353" s="16"/>
      <c r="AC353" s="17">
        <f>VLOOKUP(AB353,'DATABASE F&amp;B'!$C$3:$F$216,2,0)</f>
        <v>0</v>
      </c>
      <c r="AD353" s="18"/>
      <c r="AE353" s="19">
        <f>VLOOKUP(AB353,'DATABASE F&amp;B'!$C$3:$F$216,4,0)</f>
        <v>0</v>
      </c>
      <c r="AF353" s="19">
        <f t="shared" si="298"/>
        <v>0</v>
      </c>
      <c r="AG353" s="16"/>
      <c r="AH353" s="17">
        <f>VLOOKUP(AG353,'DATABASE F&amp;B'!$C$3:$F$216,2,0)</f>
        <v>0</v>
      </c>
      <c r="AI353" s="18"/>
      <c r="AJ353" s="19">
        <f>VLOOKUP(AG353,'DATABASE F&amp;B'!$C$3:$F$216,4,0)</f>
        <v>0</v>
      </c>
      <c r="AK353" s="19">
        <f t="shared" si="299"/>
        <v>0</v>
      </c>
      <c r="AL353" s="16"/>
      <c r="AM353" s="17">
        <f>VLOOKUP(AL353,'DATABASE F&amp;B'!$C$3:$F$216,2,0)</f>
        <v>0</v>
      </c>
      <c r="AN353" s="18">
        <v>1</v>
      </c>
      <c r="AO353" s="19">
        <f>VLOOKUP(AL353,'DATABASE F&amp;B'!$C$3:$F$216,4,0)</f>
        <v>0</v>
      </c>
      <c r="AP353" s="19">
        <f t="shared" si="300"/>
        <v>0</v>
      </c>
      <c r="AQ353" s="16"/>
      <c r="AR353" s="17">
        <f>VLOOKUP(AQ353,'DATABASE F&amp;B'!$C$3:$F$216,2,0)</f>
        <v>0</v>
      </c>
      <c r="AS353" s="18">
        <v>1</v>
      </c>
      <c r="AT353" s="19">
        <f>VLOOKUP(AQ353,'DATABASE F&amp;B'!$C$3:$F$216,4,0)</f>
        <v>0</v>
      </c>
      <c r="AU353" s="19">
        <f t="shared" si="301"/>
        <v>0</v>
      </c>
      <c r="AV353" s="16"/>
      <c r="AW353" s="17">
        <f>VLOOKUP(AV353,'DATABASE F&amp;B'!$C$3:$F$216,2,0)</f>
        <v>0</v>
      </c>
      <c r="AX353" s="18"/>
      <c r="AY353" s="19">
        <f>VLOOKUP(AV353,'DATABASE F&amp;B'!$C$3:$F$216,4,0)</f>
        <v>0</v>
      </c>
      <c r="AZ353" s="19">
        <f t="shared" si="302"/>
        <v>0</v>
      </c>
      <c r="BA353" s="16"/>
      <c r="BB353" s="17">
        <f>VLOOKUP(BA353,'DATABASE F&amp;B'!$C$3:$F$216,2,0)</f>
        <v>0</v>
      </c>
      <c r="BC353" s="18"/>
      <c r="BD353" s="19">
        <f>VLOOKUP(BA353,'DATABASE F&amp;B'!$C$3:$F$216,4,0)</f>
        <v>0</v>
      </c>
      <c r="BE353" s="19">
        <f t="shared" si="303"/>
        <v>0</v>
      </c>
      <c r="BF353" s="16"/>
      <c r="BG353" s="17">
        <f>VLOOKUP(BF353,'DATABASE F&amp;B'!$C$3:$F$216,2,0)</f>
        <v>0</v>
      </c>
      <c r="BH353" s="18"/>
      <c r="BI353" s="19">
        <f>VLOOKUP(BF353,'DATABASE F&amp;B'!$C$3:$F$216,4,0)</f>
        <v>0</v>
      </c>
      <c r="BJ353" s="19">
        <f t="shared" si="304"/>
        <v>0</v>
      </c>
      <c r="BK353" s="16"/>
      <c r="BL353" s="17">
        <f>VLOOKUP(BK353,'DATABASE F&amp;B'!$C$3:$F$210,2,0)</f>
        <v>0</v>
      </c>
      <c r="BM353" s="18"/>
      <c r="BN353" s="19">
        <f>VLOOKUP(BK353,'DATABASE F&amp;B'!$C$3:$F$210,4,0)</f>
        <v>0</v>
      </c>
      <c r="BO353" s="19">
        <f t="shared" si="305"/>
        <v>0</v>
      </c>
      <c r="BP353" s="16"/>
      <c r="BQ353" s="17">
        <f>VLOOKUP(BP353,'DATABASE F&amp;B'!$C$3:$F$210,2,0)</f>
        <v>0</v>
      </c>
      <c r="BR353" s="18"/>
      <c r="BS353" s="19">
        <f>VLOOKUP(BP353,'DATABASE F&amp;B'!$C$3:$F$210,4,0)</f>
        <v>0</v>
      </c>
      <c r="BT353" s="19">
        <f t="shared" si="306"/>
        <v>0</v>
      </c>
      <c r="BU353" s="16"/>
      <c r="BV353" s="17">
        <f>VLOOKUP(BU353,'DATABASE F&amp;B'!$C$3:$F$210,2,0)</f>
        <v>0</v>
      </c>
      <c r="BW353" s="18"/>
      <c r="BX353" s="19">
        <f>VLOOKUP(BU353,'DATABASE F&amp;B'!$C$3:$F$210,4,0)</f>
        <v>0</v>
      </c>
      <c r="BY353" s="19">
        <f t="shared" si="307"/>
        <v>0</v>
      </c>
      <c r="BZ353" s="16"/>
      <c r="CA353" s="17">
        <f>VLOOKUP(BZ353,'DATABASE F&amp;B'!$C$3:$F$210,2,0)</f>
        <v>0</v>
      </c>
      <c r="CB353" s="18"/>
      <c r="CC353" s="19">
        <f>VLOOKUP(BZ353,'DATABASE F&amp;B'!$C$3:$F$210,4,0)</f>
        <v>0</v>
      </c>
      <c r="CD353" s="19">
        <f t="shared" si="308"/>
        <v>0</v>
      </c>
    </row>
    <row r="354" spans="1:82" ht="13.5" x14ac:dyDescent="0.25">
      <c r="A354" s="32" t="str">
        <f t="shared" si="288"/>
        <v>--20</v>
      </c>
      <c r="B354" s="22">
        <f t="shared" ref="B354:C354" si="317">B353+1</f>
        <v>350</v>
      </c>
      <c r="C354" s="22">
        <f t="shared" si="317"/>
        <v>350</v>
      </c>
      <c r="D354" s="34"/>
      <c r="E354" s="35"/>
      <c r="F354" s="35"/>
      <c r="G354" s="52"/>
      <c r="H354" s="36" t="str">
        <f t="shared" si="285"/>
        <v>RJ--350</v>
      </c>
      <c r="I354" s="36" t="str">
        <f t="shared" si="290"/>
        <v>--20</v>
      </c>
      <c r="J354" s="37" t="e">
        <f>VLOOKUP(D354,Laporan!$C$4:$D$34,2,0)</f>
        <v>#N/A</v>
      </c>
      <c r="K354" s="48"/>
      <c r="L354" s="13"/>
      <c r="M354" s="19">
        <f>SUMIF('DATABASE Room'!$B$3:$B$7,L354,'DATABASE Room'!$D$3:$D$7)</f>
        <v>0</v>
      </c>
      <c r="N354" s="13"/>
      <c r="O354" s="21">
        <f t="shared" si="291"/>
        <v>0</v>
      </c>
      <c r="P354" s="38"/>
      <c r="Q354" s="19">
        <f t="shared" si="292"/>
        <v>0</v>
      </c>
      <c r="R354" s="21">
        <f t="shared" si="293"/>
        <v>0</v>
      </c>
      <c r="S354" s="19">
        <f t="shared" si="294"/>
        <v>2</v>
      </c>
      <c r="T354" s="19">
        <f t="shared" si="295"/>
        <v>0</v>
      </c>
      <c r="U354" s="21">
        <f t="shared" si="296"/>
        <v>0</v>
      </c>
      <c r="V354" s="39"/>
      <c r="W354" s="16"/>
      <c r="X354" s="17">
        <f>VLOOKUP(W354,'DATABASE F&amp;B'!$C$3:$F$216,2,0)</f>
        <v>0</v>
      </c>
      <c r="Y354" s="18"/>
      <c r="Z354" s="19">
        <f>VLOOKUP(W354,'DATABASE F&amp;B'!$C$3:$F$216,4,0)</f>
        <v>0</v>
      </c>
      <c r="AA354" s="19">
        <f t="shared" si="297"/>
        <v>0</v>
      </c>
      <c r="AB354" s="16"/>
      <c r="AC354" s="17">
        <f>VLOOKUP(AB354,'DATABASE F&amp;B'!$C$3:$F$216,2,0)</f>
        <v>0</v>
      </c>
      <c r="AD354" s="18"/>
      <c r="AE354" s="19">
        <f>VLOOKUP(AB354,'DATABASE F&amp;B'!$C$3:$F$216,4,0)</f>
        <v>0</v>
      </c>
      <c r="AF354" s="19">
        <f t="shared" si="298"/>
        <v>0</v>
      </c>
      <c r="AG354" s="16"/>
      <c r="AH354" s="17">
        <f>VLOOKUP(AG354,'DATABASE F&amp;B'!$C$3:$F$216,2,0)</f>
        <v>0</v>
      </c>
      <c r="AI354" s="18"/>
      <c r="AJ354" s="19">
        <f>VLOOKUP(AG354,'DATABASE F&amp;B'!$C$3:$F$216,4,0)</f>
        <v>0</v>
      </c>
      <c r="AK354" s="19">
        <f t="shared" si="299"/>
        <v>0</v>
      </c>
      <c r="AL354" s="16"/>
      <c r="AM354" s="17">
        <f>VLOOKUP(AL354,'DATABASE F&amp;B'!$C$3:$F$216,2,0)</f>
        <v>0</v>
      </c>
      <c r="AN354" s="18">
        <v>1</v>
      </c>
      <c r="AO354" s="19">
        <f>VLOOKUP(AL354,'DATABASE F&amp;B'!$C$3:$F$216,4,0)</f>
        <v>0</v>
      </c>
      <c r="AP354" s="19">
        <f t="shared" si="300"/>
        <v>0</v>
      </c>
      <c r="AQ354" s="16"/>
      <c r="AR354" s="17">
        <f>VLOOKUP(AQ354,'DATABASE F&amp;B'!$C$3:$F$216,2,0)</f>
        <v>0</v>
      </c>
      <c r="AS354" s="18">
        <v>1</v>
      </c>
      <c r="AT354" s="19">
        <f>VLOOKUP(AQ354,'DATABASE F&amp;B'!$C$3:$F$216,4,0)</f>
        <v>0</v>
      </c>
      <c r="AU354" s="19">
        <f t="shared" si="301"/>
        <v>0</v>
      </c>
      <c r="AV354" s="16"/>
      <c r="AW354" s="17">
        <f>VLOOKUP(AV354,'DATABASE F&amp;B'!$C$3:$F$216,2,0)</f>
        <v>0</v>
      </c>
      <c r="AX354" s="18"/>
      <c r="AY354" s="19">
        <f>VLOOKUP(AV354,'DATABASE F&amp;B'!$C$3:$F$216,4,0)</f>
        <v>0</v>
      </c>
      <c r="AZ354" s="19">
        <f t="shared" si="302"/>
        <v>0</v>
      </c>
      <c r="BA354" s="16"/>
      <c r="BB354" s="17">
        <f>VLOOKUP(BA354,'DATABASE F&amp;B'!$C$3:$F$216,2,0)</f>
        <v>0</v>
      </c>
      <c r="BC354" s="18"/>
      <c r="BD354" s="19">
        <f>VLOOKUP(BA354,'DATABASE F&amp;B'!$C$3:$F$216,4,0)</f>
        <v>0</v>
      </c>
      <c r="BE354" s="19">
        <f t="shared" si="303"/>
        <v>0</v>
      </c>
      <c r="BF354" s="16"/>
      <c r="BG354" s="17">
        <f>VLOOKUP(BF354,'DATABASE F&amp;B'!$C$3:$F$216,2,0)</f>
        <v>0</v>
      </c>
      <c r="BH354" s="18"/>
      <c r="BI354" s="19">
        <f>VLOOKUP(BF354,'DATABASE F&amp;B'!$C$3:$F$216,4,0)</f>
        <v>0</v>
      </c>
      <c r="BJ354" s="19">
        <f t="shared" si="304"/>
        <v>0</v>
      </c>
      <c r="BK354" s="16"/>
      <c r="BL354" s="17">
        <f>VLOOKUP(BK354,'DATABASE F&amp;B'!$C$3:$F$210,2,0)</f>
        <v>0</v>
      </c>
      <c r="BM354" s="18"/>
      <c r="BN354" s="19">
        <f>VLOOKUP(BK354,'DATABASE F&amp;B'!$C$3:$F$210,4,0)</f>
        <v>0</v>
      </c>
      <c r="BO354" s="19">
        <f t="shared" si="305"/>
        <v>0</v>
      </c>
      <c r="BP354" s="16"/>
      <c r="BQ354" s="17">
        <f>VLOOKUP(BP354,'DATABASE F&amp;B'!$C$3:$F$210,2,0)</f>
        <v>0</v>
      </c>
      <c r="BR354" s="18"/>
      <c r="BS354" s="19">
        <f>VLOOKUP(BP354,'DATABASE F&amp;B'!$C$3:$F$210,4,0)</f>
        <v>0</v>
      </c>
      <c r="BT354" s="19">
        <f t="shared" si="306"/>
        <v>0</v>
      </c>
      <c r="BU354" s="16"/>
      <c r="BV354" s="17">
        <f>VLOOKUP(BU354,'DATABASE F&amp;B'!$C$3:$F$210,2,0)</f>
        <v>0</v>
      </c>
      <c r="BW354" s="18"/>
      <c r="BX354" s="19">
        <f>VLOOKUP(BU354,'DATABASE F&amp;B'!$C$3:$F$210,4,0)</f>
        <v>0</v>
      </c>
      <c r="BY354" s="19">
        <f t="shared" si="307"/>
        <v>0</v>
      </c>
      <c r="BZ354" s="16"/>
      <c r="CA354" s="17">
        <f>VLOOKUP(BZ354,'DATABASE F&amp;B'!$C$3:$F$210,2,0)</f>
        <v>0</v>
      </c>
      <c r="CB354" s="18"/>
      <c r="CC354" s="19">
        <f>VLOOKUP(BZ354,'DATABASE F&amp;B'!$C$3:$F$210,4,0)</f>
        <v>0</v>
      </c>
      <c r="CD354" s="19">
        <f t="shared" si="308"/>
        <v>0</v>
      </c>
    </row>
    <row r="355" spans="1:82" ht="13.5" x14ac:dyDescent="0.25">
      <c r="A355" s="32" t="str">
        <f t="shared" si="288"/>
        <v>--20</v>
      </c>
      <c r="B355" s="22">
        <f t="shared" ref="B355:C355" si="318">B354+1</f>
        <v>351</v>
      </c>
      <c r="C355" s="22">
        <f t="shared" si="318"/>
        <v>351</v>
      </c>
      <c r="D355" s="34"/>
      <c r="E355" s="35"/>
      <c r="F355" s="35"/>
      <c r="G355" s="52"/>
      <c r="H355" s="36" t="str">
        <f t="shared" si="285"/>
        <v>RJ--351</v>
      </c>
      <c r="I355" s="36" t="str">
        <f t="shared" si="290"/>
        <v>--20</v>
      </c>
      <c r="J355" s="37" t="e">
        <f>VLOOKUP(D355,Laporan!$C$4:$D$34,2,0)</f>
        <v>#N/A</v>
      </c>
      <c r="K355" s="48"/>
      <c r="L355" s="13"/>
      <c r="M355" s="19">
        <f>SUMIF('DATABASE Room'!$B$3:$B$7,L355,'DATABASE Room'!$D$3:$D$7)</f>
        <v>0</v>
      </c>
      <c r="N355" s="13"/>
      <c r="O355" s="21">
        <f t="shared" si="291"/>
        <v>0</v>
      </c>
      <c r="P355" s="38"/>
      <c r="Q355" s="19">
        <f t="shared" si="292"/>
        <v>0</v>
      </c>
      <c r="R355" s="21">
        <f t="shared" si="293"/>
        <v>0</v>
      </c>
      <c r="S355" s="19">
        <f t="shared" si="294"/>
        <v>2</v>
      </c>
      <c r="T355" s="19">
        <f t="shared" si="295"/>
        <v>0</v>
      </c>
      <c r="U355" s="21">
        <f t="shared" si="296"/>
        <v>0</v>
      </c>
      <c r="V355" s="39"/>
      <c r="W355" s="16"/>
      <c r="X355" s="17">
        <f>VLOOKUP(W355,'DATABASE F&amp;B'!$C$3:$F$216,2,0)</f>
        <v>0</v>
      </c>
      <c r="Y355" s="18"/>
      <c r="Z355" s="19">
        <f>VLOOKUP(W355,'DATABASE F&amp;B'!$C$3:$F$216,4,0)</f>
        <v>0</v>
      </c>
      <c r="AA355" s="19">
        <f t="shared" si="297"/>
        <v>0</v>
      </c>
      <c r="AB355" s="16"/>
      <c r="AC355" s="17">
        <f>VLOOKUP(AB355,'DATABASE F&amp;B'!$C$3:$F$216,2,0)</f>
        <v>0</v>
      </c>
      <c r="AD355" s="18"/>
      <c r="AE355" s="19">
        <f>VLOOKUP(AB355,'DATABASE F&amp;B'!$C$3:$F$216,4,0)</f>
        <v>0</v>
      </c>
      <c r="AF355" s="19">
        <f t="shared" si="298"/>
        <v>0</v>
      </c>
      <c r="AG355" s="16"/>
      <c r="AH355" s="17">
        <f>VLOOKUP(AG355,'DATABASE F&amp;B'!$C$3:$F$216,2,0)</f>
        <v>0</v>
      </c>
      <c r="AI355" s="18"/>
      <c r="AJ355" s="19">
        <f>VLOOKUP(AG355,'DATABASE F&amp;B'!$C$3:$F$216,4,0)</f>
        <v>0</v>
      </c>
      <c r="AK355" s="19">
        <f t="shared" si="299"/>
        <v>0</v>
      </c>
      <c r="AL355" s="16"/>
      <c r="AM355" s="17">
        <f>VLOOKUP(AL355,'DATABASE F&amp;B'!$C$3:$F$216,2,0)</f>
        <v>0</v>
      </c>
      <c r="AN355" s="18">
        <v>1</v>
      </c>
      <c r="AO355" s="19">
        <f>VLOOKUP(AL355,'DATABASE F&amp;B'!$C$3:$F$216,4,0)</f>
        <v>0</v>
      </c>
      <c r="AP355" s="19">
        <f t="shared" si="300"/>
        <v>0</v>
      </c>
      <c r="AQ355" s="16"/>
      <c r="AR355" s="17">
        <f>VLOOKUP(AQ355,'DATABASE F&amp;B'!$C$3:$F$216,2,0)</f>
        <v>0</v>
      </c>
      <c r="AS355" s="18">
        <v>1</v>
      </c>
      <c r="AT355" s="19">
        <f>VLOOKUP(AQ355,'DATABASE F&amp;B'!$C$3:$F$216,4,0)</f>
        <v>0</v>
      </c>
      <c r="AU355" s="19">
        <f t="shared" si="301"/>
        <v>0</v>
      </c>
      <c r="AV355" s="16"/>
      <c r="AW355" s="17">
        <f>VLOOKUP(AV355,'DATABASE F&amp;B'!$C$3:$F$216,2,0)</f>
        <v>0</v>
      </c>
      <c r="AX355" s="18"/>
      <c r="AY355" s="19">
        <f>VLOOKUP(AV355,'DATABASE F&amp;B'!$C$3:$F$216,4,0)</f>
        <v>0</v>
      </c>
      <c r="AZ355" s="19">
        <f t="shared" si="302"/>
        <v>0</v>
      </c>
      <c r="BA355" s="16"/>
      <c r="BB355" s="17">
        <f>VLOOKUP(BA355,'DATABASE F&amp;B'!$C$3:$F$216,2,0)</f>
        <v>0</v>
      </c>
      <c r="BC355" s="18"/>
      <c r="BD355" s="19">
        <f>VLOOKUP(BA355,'DATABASE F&amp;B'!$C$3:$F$216,4,0)</f>
        <v>0</v>
      </c>
      <c r="BE355" s="19">
        <f t="shared" si="303"/>
        <v>0</v>
      </c>
      <c r="BF355" s="16"/>
      <c r="BG355" s="17">
        <f>VLOOKUP(BF355,'DATABASE F&amp;B'!$C$3:$F$216,2,0)</f>
        <v>0</v>
      </c>
      <c r="BH355" s="18"/>
      <c r="BI355" s="19">
        <f>VLOOKUP(BF355,'DATABASE F&amp;B'!$C$3:$F$216,4,0)</f>
        <v>0</v>
      </c>
      <c r="BJ355" s="19">
        <f t="shared" si="304"/>
        <v>0</v>
      </c>
      <c r="BK355" s="16"/>
      <c r="BL355" s="17">
        <f>VLOOKUP(BK355,'DATABASE F&amp;B'!$C$3:$F$210,2,0)</f>
        <v>0</v>
      </c>
      <c r="BM355" s="18"/>
      <c r="BN355" s="19">
        <f>VLOOKUP(BK355,'DATABASE F&amp;B'!$C$3:$F$210,4,0)</f>
        <v>0</v>
      </c>
      <c r="BO355" s="19">
        <f t="shared" si="305"/>
        <v>0</v>
      </c>
      <c r="BP355" s="16"/>
      <c r="BQ355" s="17">
        <f>VLOOKUP(BP355,'DATABASE F&amp;B'!$C$3:$F$210,2,0)</f>
        <v>0</v>
      </c>
      <c r="BR355" s="18"/>
      <c r="BS355" s="19">
        <f>VLOOKUP(BP355,'DATABASE F&amp;B'!$C$3:$F$210,4,0)</f>
        <v>0</v>
      </c>
      <c r="BT355" s="19">
        <f t="shared" si="306"/>
        <v>0</v>
      </c>
      <c r="BU355" s="16"/>
      <c r="BV355" s="17">
        <f>VLOOKUP(BU355,'DATABASE F&amp;B'!$C$3:$F$210,2,0)</f>
        <v>0</v>
      </c>
      <c r="BW355" s="18"/>
      <c r="BX355" s="19">
        <f>VLOOKUP(BU355,'DATABASE F&amp;B'!$C$3:$F$210,4,0)</f>
        <v>0</v>
      </c>
      <c r="BY355" s="19">
        <f t="shared" si="307"/>
        <v>0</v>
      </c>
      <c r="BZ355" s="16"/>
      <c r="CA355" s="17">
        <f>VLOOKUP(BZ355,'DATABASE F&amp;B'!$C$3:$F$210,2,0)</f>
        <v>0</v>
      </c>
      <c r="CB355" s="18"/>
      <c r="CC355" s="19">
        <f>VLOOKUP(BZ355,'DATABASE F&amp;B'!$C$3:$F$210,4,0)</f>
        <v>0</v>
      </c>
      <c r="CD355" s="19">
        <f t="shared" si="308"/>
        <v>0</v>
      </c>
    </row>
    <row r="356" spans="1:82" ht="13.5" x14ac:dyDescent="0.25">
      <c r="A356" s="32" t="str">
        <f t="shared" si="288"/>
        <v>--20</v>
      </c>
      <c r="B356" s="22">
        <f t="shared" ref="B356:C356" si="319">B355+1</f>
        <v>352</v>
      </c>
      <c r="C356" s="22">
        <f t="shared" si="319"/>
        <v>352</v>
      </c>
      <c r="D356" s="34"/>
      <c r="E356" s="35"/>
      <c r="F356" s="35"/>
      <c r="G356" s="52"/>
      <c r="H356" s="36" t="str">
        <f t="shared" si="285"/>
        <v>RJ--352</v>
      </c>
      <c r="I356" s="36" t="str">
        <f t="shared" si="290"/>
        <v>--20</v>
      </c>
      <c r="J356" s="37" t="e">
        <f>VLOOKUP(D356,Laporan!$C$4:$D$34,2,0)</f>
        <v>#N/A</v>
      </c>
      <c r="K356" s="48"/>
      <c r="L356" s="13"/>
      <c r="M356" s="19">
        <f>SUMIF('DATABASE Room'!$B$3:$B$7,L356,'DATABASE Room'!$D$3:$D$7)</f>
        <v>0</v>
      </c>
      <c r="N356" s="13"/>
      <c r="O356" s="21">
        <f t="shared" si="291"/>
        <v>0</v>
      </c>
      <c r="P356" s="38"/>
      <c r="Q356" s="19">
        <f t="shared" si="292"/>
        <v>0</v>
      </c>
      <c r="R356" s="21">
        <f t="shared" si="293"/>
        <v>0</v>
      </c>
      <c r="S356" s="19">
        <f t="shared" si="294"/>
        <v>2</v>
      </c>
      <c r="T356" s="19">
        <f t="shared" si="295"/>
        <v>0</v>
      </c>
      <c r="U356" s="21">
        <f t="shared" si="296"/>
        <v>0</v>
      </c>
      <c r="V356" s="39"/>
      <c r="W356" s="16"/>
      <c r="X356" s="17">
        <f>VLOOKUP(W356,'DATABASE F&amp;B'!$C$3:$F$216,2,0)</f>
        <v>0</v>
      </c>
      <c r="Y356" s="18"/>
      <c r="Z356" s="19">
        <f>VLOOKUP(W356,'DATABASE F&amp;B'!$C$3:$F$216,4,0)</f>
        <v>0</v>
      </c>
      <c r="AA356" s="19">
        <f t="shared" si="297"/>
        <v>0</v>
      </c>
      <c r="AB356" s="16"/>
      <c r="AC356" s="17">
        <f>VLOOKUP(AB356,'DATABASE F&amp;B'!$C$3:$F$216,2,0)</f>
        <v>0</v>
      </c>
      <c r="AD356" s="18"/>
      <c r="AE356" s="19">
        <f>VLOOKUP(AB356,'DATABASE F&amp;B'!$C$3:$F$216,4,0)</f>
        <v>0</v>
      </c>
      <c r="AF356" s="19">
        <f t="shared" si="298"/>
        <v>0</v>
      </c>
      <c r="AG356" s="16"/>
      <c r="AH356" s="17">
        <f>VLOOKUP(AG356,'DATABASE F&amp;B'!$C$3:$F$216,2,0)</f>
        <v>0</v>
      </c>
      <c r="AI356" s="18"/>
      <c r="AJ356" s="19">
        <f>VLOOKUP(AG356,'DATABASE F&amp;B'!$C$3:$F$216,4,0)</f>
        <v>0</v>
      </c>
      <c r="AK356" s="19">
        <f t="shared" si="299"/>
        <v>0</v>
      </c>
      <c r="AL356" s="16"/>
      <c r="AM356" s="17">
        <f>VLOOKUP(AL356,'DATABASE F&amp;B'!$C$3:$F$216,2,0)</f>
        <v>0</v>
      </c>
      <c r="AN356" s="18">
        <v>1</v>
      </c>
      <c r="AO356" s="19">
        <f>VLOOKUP(AL356,'DATABASE F&amp;B'!$C$3:$F$216,4,0)</f>
        <v>0</v>
      </c>
      <c r="AP356" s="19">
        <f t="shared" si="300"/>
        <v>0</v>
      </c>
      <c r="AQ356" s="16"/>
      <c r="AR356" s="17">
        <f>VLOOKUP(AQ356,'DATABASE F&amp;B'!$C$3:$F$216,2,0)</f>
        <v>0</v>
      </c>
      <c r="AS356" s="18">
        <v>1</v>
      </c>
      <c r="AT356" s="19">
        <f>VLOOKUP(AQ356,'DATABASE F&amp;B'!$C$3:$F$216,4,0)</f>
        <v>0</v>
      </c>
      <c r="AU356" s="19">
        <f t="shared" si="301"/>
        <v>0</v>
      </c>
      <c r="AV356" s="16"/>
      <c r="AW356" s="17">
        <f>VLOOKUP(AV356,'DATABASE F&amp;B'!$C$3:$F$216,2,0)</f>
        <v>0</v>
      </c>
      <c r="AX356" s="18"/>
      <c r="AY356" s="19">
        <f>VLOOKUP(AV356,'DATABASE F&amp;B'!$C$3:$F$216,4,0)</f>
        <v>0</v>
      </c>
      <c r="AZ356" s="19">
        <f t="shared" si="302"/>
        <v>0</v>
      </c>
      <c r="BA356" s="16"/>
      <c r="BB356" s="17">
        <f>VLOOKUP(BA356,'DATABASE F&amp;B'!$C$3:$F$216,2,0)</f>
        <v>0</v>
      </c>
      <c r="BC356" s="18"/>
      <c r="BD356" s="19">
        <f>VLOOKUP(BA356,'DATABASE F&amp;B'!$C$3:$F$216,4,0)</f>
        <v>0</v>
      </c>
      <c r="BE356" s="19">
        <f t="shared" si="303"/>
        <v>0</v>
      </c>
      <c r="BF356" s="16"/>
      <c r="BG356" s="17">
        <f>VLOOKUP(BF356,'DATABASE F&amp;B'!$C$3:$F$216,2,0)</f>
        <v>0</v>
      </c>
      <c r="BH356" s="18"/>
      <c r="BI356" s="19">
        <f>VLOOKUP(BF356,'DATABASE F&amp;B'!$C$3:$F$216,4,0)</f>
        <v>0</v>
      </c>
      <c r="BJ356" s="19">
        <f t="shared" si="304"/>
        <v>0</v>
      </c>
      <c r="BK356" s="16"/>
      <c r="BL356" s="17">
        <f>VLOOKUP(BK356,'DATABASE F&amp;B'!$C$3:$F$210,2,0)</f>
        <v>0</v>
      </c>
      <c r="BM356" s="18"/>
      <c r="BN356" s="19">
        <f>VLOOKUP(BK356,'DATABASE F&amp;B'!$C$3:$F$210,4,0)</f>
        <v>0</v>
      </c>
      <c r="BO356" s="19">
        <f t="shared" si="305"/>
        <v>0</v>
      </c>
      <c r="BP356" s="16"/>
      <c r="BQ356" s="17">
        <f>VLOOKUP(BP356,'DATABASE F&amp;B'!$C$3:$F$210,2,0)</f>
        <v>0</v>
      </c>
      <c r="BR356" s="18"/>
      <c r="BS356" s="19">
        <f>VLOOKUP(BP356,'DATABASE F&amp;B'!$C$3:$F$210,4,0)</f>
        <v>0</v>
      </c>
      <c r="BT356" s="19">
        <f t="shared" si="306"/>
        <v>0</v>
      </c>
      <c r="BU356" s="16"/>
      <c r="BV356" s="17">
        <f>VLOOKUP(BU356,'DATABASE F&amp;B'!$C$3:$F$210,2,0)</f>
        <v>0</v>
      </c>
      <c r="BW356" s="18"/>
      <c r="BX356" s="19">
        <f>VLOOKUP(BU356,'DATABASE F&amp;B'!$C$3:$F$210,4,0)</f>
        <v>0</v>
      </c>
      <c r="BY356" s="19">
        <f t="shared" si="307"/>
        <v>0</v>
      </c>
      <c r="BZ356" s="16"/>
      <c r="CA356" s="17">
        <f>VLOOKUP(BZ356,'DATABASE F&amp;B'!$C$3:$F$210,2,0)</f>
        <v>0</v>
      </c>
      <c r="CB356" s="18"/>
      <c r="CC356" s="19">
        <f>VLOOKUP(BZ356,'DATABASE F&amp;B'!$C$3:$F$210,4,0)</f>
        <v>0</v>
      </c>
      <c r="CD356" s="19">
        <f t="shared" si="308"/>
        <v>0</v>
      </c>
    </row>
    <row r="357" spans="1:82" ht="13.5" x14ac:dyDescent="0.25">
      <c r="A357" s="32" t="str">
        <f t="shared" si="288"/>
        <v>--20</v>
      </c>
      <c r="B357" s="22">
        <f t="shared" ref="B357:C357" si="320">B356+1</f>
        <v>353</v>
      </c>
      <c r="C357" s="22">
        <f t="shared" si="320"/>
        <v>353</v>
      </c>
      <c r="D357" s="34"/>
      <c r="E357" s="35"/>
      <c r="F357" s="35"/>
      <c r="G357" s="52"/>
      <c r="H357" s="36" t="str">
        <f t="shared" si="285"/>
        <v>RJ--353</v>
      </c>
      <c r="I357" s="36" t="str">
        <f t="shared" si="290"/>
        <v>--20</v>
      </c>
      <c r="J357" s="37" t="e">
        <f>VLOOKUP(D357,Laporan!$C$4:$D$34,2,0)</f>
        <v>#N/A</v>
      </c>
      <c r="K357" s="48"/>
      <c r="L357" s="13"/>
      <c r="M357" s="19">
        <f>SUMIF('DATABASE Room'!$B$3:$B$7,L357,'DATABASE Room'!$D$3:$D$7)</f>
        <v>0</v>
      </c>
      <c r="N357" s="13"/>
      <c r="O357" s="21">
        <f t="shared" si="291"/>
        <v>0</v>
      </c>
      <c r="P357" s="38"/>
      <c r="Q357" s="19">
        <f t="shared" si="292"/>
        <v>0</v>
      </c>
      <c r="R357" s="21">
        <f t="shared" si="293"/>
        <v>0</v>
      </c>
      <c r="S357" s="19">
        <f t="shared" si="294"/>
        <v>2</v>
      </c>
      <c r="T357" s="19">
        <f t="shared" si="295"/>
        <v>0</v>
      </c>
      <c r="U357" s="21">
        <f t="shared" si="296"/>
        <v>0</v>
      </c>
      <c r="V357" s="39"/>
      <c r="W357" s="16"/>
      <c r="X357" s="17">
        <f>VLOOKUP(W357,'DATABASE F&amp;B'!$C$3:$F$216,2,0)</f>
        <v>0</v>
      </c>
      <c r="Y357" s="18"/>
      <c r="Z357" s="19">
        <f>VLOOKUP(W357,'DATABASE F&amp;B'!$C$3:$F$216,4,0)</f>
        <v>0</v>
      </c>
      <c r="AA357" s="19">
        <f t="shared" si="297"/>
        <v>0</v>
      </c>
      <c r="AB357" s="16"/>
      <c r="AC357" s="17">
        <f>VLOOKUP(AB357,'DATABASE F&amp;B'!$C$3:$F$216,2,0)</f>
        <v>0</v>
      </c>
      <c r="AD357" s="18"/>
      <c r="AE357" s="19">
        <f>VLOOKUP(AB357,'DATABASE F&amp;B'!$C$3:$F$216,4,0)</f>
        <v>0</v>
      </c>
      <c r="AF357" s="19">
        <f t="shared" si="298"/>
        <v>0</v>
      </c>
      <c r="AG357" s="16"/>
      <c r="AH357" s="17">
        <f>VLOOKUP(AG357,'DATABASE F&amp;B'!$C$3:$F$216,2,0)</f>
        <v>0</v>
      </c>
      <c r="AI357" s="18"/>
      <c r="AJ357" s="19">
        <f>VLOOKUP(AG357,'DATABASE F&amp;B'!$C$3:$F$216,4,0)</f>
        <v>0</v>
      </c>
      <c r="AK357" s="19">
        <f t="shared" si="299"/>
        <v>0</v>
      </c>
      <c r="AL357" s="16"/>
      <c r="AM357" s="17">
        <f>VLOOKUP(AL357,'DATABASE F&amp;B'!$C$3:$F$216,2,0)</f>
        <v>0</v>
      </c>
      <c r="AN357" s="18">
        <v>1</v>
      </c>
      <c r="AO357" s="19">
        <f>VLOOKUP(AL357,'DATABASE F&amp;B'!$C$3:$F$216,4,0)</f>
        <v>0</v>
      </c>
      <c r="AP357" s="19">
        <f t="shared" si="300"/>
        <v>0</v>
      </c>
      <c r="AQ357" s="16"/>
      <c r="AR357" s="17">
        <f>VLOOKUP(AQ357,'DATABASE F&amp;B'!$C$3:$F$216,2,0)</f>
        <v>0</v>
      </c>
      <c r="AS357" s="18">
        <v>1</v>
      </c>
      <c r="AT357" s="19">
        <f>VLOOKUP(AQ357,'DATABASE F&amp;B'!$C$3:$F$216,4,0)</f>
        <v>0</v>
      </c>
      <c r="AU357" s="19">
        <f t="shared" si="301"/>
        <v>0</v>
      </c>
      <c r="AV357" s="16"/>
      <c r="AW357" s="17">
        <f>VLOOKUP(AV357,'DATABASE F&amp;B'!$C$3:$F$216,2,0)</f>
        <v>0</v>
      </c>
      <c r="AX357" s="18"/>
      <c r="AY357" s="19">
        <f>VLOOKUP(AV357,'DATABASE F&amp;B'!$C$3:$F$216,4,0)</f>
        <v>0</v>
      </c>
      <c r="AZ357" s="19">
        <f t="shared" si="302"/>
        <v>0</v>
      </c>
      <c r="BA357" s="16"/>
      <c r="BB357" s="17">
        <f>VLOOKUP(BA357,'DATABASE F&amp;B'!$C$3:$F$216,2,0)</f>
        <v>0</v>
      </c>
      <c r="BC357" s="18"/>
      <c r="BD357" s="19">
        <f>VLOOKUP(BA357,'DATABASE F&amp;B'!$C$3:$F$216,4,0)</f>
        <v>0</v>
      </c>
      <c r="BE357" s="19">
        <f t="shared" si="303"/>
        <v>0</v>
      </c>
      <c r="BF357" s="16"/>
      <c r="BG357" s="17">
        <f>VLOOKUP(BF357,'DATABASE F&amp;B'!$C$3:$F$216,2,0)</f>
        <v>0</v>
      </c>
      <c r="BH357" s="18"/>
      <c r="BI357" s="19">
        <f>VLOOKUP(BF357,'DATABASE F&amp;B'!$C$3:$F$216,4,0)</f>
        <v>0</v>
      </c>
      <c r="BJ357" s="19">
        <f t="shared" si="304"/>
        <v>0</v>
      </c>
      <c r="BK357" s="16"/>
      <c r="BL357" s="17">
        <f>VLOOKUP(BK357,'DATABASE F&amp;B'!$C$3:$F$210,2,0)</f>
        <v>0</v>
      </c>
      <c r="BM357" s="18"/>
      <c r="BN357" s="19">
        <f>VLOOKUP(BK357,'DATABASE F&amp;B'!$C$3:$F$210,4,0)</f>
        <v>0</v>
      </c>
      <c r="BO357" s="19">
        <f t="shared" si="305"/>
        <v>0</v>
      </c>
      <c r="BP357" s="16"/>
      <c r="BQ357" s="17">
        <f>VLOOKUP(BP357,'DATABASE F&amp;B'!$C$3:$F$210,2,0)</f>
        <v>0</v>
      </c>
      <c r="BR357" s="18"/>
      <c r="BS357" s="19">
        <f>VLOOKUP(BP357,'DATABASE F&amp;B'!$C$3:$F$210,4,0)</f>
        <v>0</v>
      </c>
      <c r="BT357" s="19">
        <f t="shared" si="306"/>
        <v>0</v>
      </c>
      <c r="BU357" s="16"/>
      <c r="BV357" s="17">
        <f>VLOOKUP(BU357,'DATABASE F&amp;B'!$C$3:$F$210,2,0)</f>
        <v>0</v>
      </c>
      <c r="BW357" s="18"/>
      <c r="BX357" s="19">
        <f>VLOOKUP(BU357,'DATABASE F&amp;B'!$C$3:$F$210,4,0)</f>
        <v>0</v>
      </c>
      <c r="BY357" s="19">
        <f t="shared" si="307"/>
        <v>0</v>
      </c>
      <c r="BZ357" s="16"/>
      <c r="CA357" s="17">
        <f>VLOOKUP(BZ357,'DATABASE F&amp;B'!$C$3:$F$210,2,0)</f>
        <v>0</v>
      </c>
      <c r="CB357" s="18"/>
      <c r="CC357" s="19">
        <f>VLOOKUP(BZ357,'DATABASE F&amp;B'!$C$3:$F$210,4,0)</f>
        <v>0</v>
      </c>
      <c r="CD357" s="19">
        <f t="shared" si="308"/>
        <v>0</v>
      </c>
    </row>
    <row r="358" spans="1:82" ht="13.5" x14ac:dyDescent="0.25">
      <c r="A358" s="32" t="str">
        <f t="shared" si="288"/>
        <v>--20</v>
      </c>
      <c r="B358" s="22">
        <f t="shared" ref="B358:C358" si="321">B357+1</f>
        <v>354</v>
      </c>
      <c r="C358" s="22">
        <f t="shared" si="321"/>
        <v>354</v>
      </c>
      <c r="D358" s="34"/>
      <c r="E358" s="35"/>
      <c r="F358" s="35"/>
      <c r="G358" s="52"/>
      <c r="H358" s="36" t="str">
        <f t="shared" si="285"/>
        <v>RJ--354</v>
      </c>
      <c r="I358" s="36" t="str">
        <f t="shared" si="290"/>
        <v>--20</v>
      </c>
      <c r="J358" s="37" t="e">
        <f>VLOOKUP(D358,Laporan!$C$4:$D$34,2,0)</f>
        <v>#N/A</v>
      </c>
      <c r="K358" s="48"/>
      <c r="L358" s="13"/>
      <c r="M358" s="19">
        <f>SUMIF('DATABASE Room'!$B$3:$B$7,L358,'DATABASE Room'!$D$3:$D$7)</f>
        <v>0</v>
      </c>
      <c r="N358" s="13"/>
      <c r="O358" s="21">
        <f t="shared" si="291"/>
        <v>0</v>
      </c>
      <c r="P358" s="38"/>
      <c r="Q358" s="19">
        <f t="shared" si="292"/>
        <v>0</v>
      </c>
      <c r="R358" s="21">
        <f t="shared" si="293"/>
        <v>0</v>
      </c>
      <c r="S358" s="19">
        <f t="shared" si="294"/>
        <v>2</v>
      </c>
      <c r="T358" s="19">
        <f t="shared" si="295"/>
        <v>0</v>
      </c>
      <c r="U358" s="21">
        <f t="shared" si="296"/>
        <v>0</v>
      </c>
      <c r="V358" s="39"/>
      <c r="W358" s="16"/>
      <c r="X358" s="17">
        <f>VLOOKUP(W358,'DATABASE F&amp;B'!$C$3:$F$216,2,0)</f>
        <v>0</v>
      </c>
      <c r="Y358" s="18"/>
      <c r="Z358" s="19">
        <f>VLOOKUP(W358,'DATABASE F&amp;B'!$C$3:$F$216,4,0)</f>
        <v>0</v>
      </c>
      <c r="AA358" s="19">
        <f t="shared" si="297"/>
        <v>0</v>
      </c>
      <c r="AB358" s="16"/>
      <c r="AC358" s="17">
        <f>VLOOKUP(AB358,'DATABASE F&amp;B'!$C$3:$F$216,2,0)</f>
        <v>0</v>
      </c>
      <c r="AD358" s="18"/>
      <c r="AE358" s="19">
        <f>VLOOKUP(AB358,'DATABASE F&amp;B'!$C$3:$F$216,4,0)</f>
        <v>0</v>
      </c>
      <c r="AF358" s="19">
        <f t="shared" si="298"/>
        <v>0</v>
      </c>
      <c r="AG358" s="16"/>
      <c r="AH358" s="17">
        <f>VLOOKUP(AG358,'DATABASE F&amp;B'!$C$3:$F$216,2,0)</f>
        <v>0</v>
      </c>
      <c r="AI358" s="18"/>
      <c r="AJ358" s="19">
        <f>VLOOKUP(AG358,'DATABASE F&amp;B'!$C$3:$F$216,4,0)</f>
        <v>0</v>
      </c>
      <c r="AK358" s="19">
        <f t="shared" si="299"/>
        <v>0</v>
      </c>
      <c r="AL358" s="16"/>
      <c r="AM358" s="17">
        <f>VLOOKUP(AL358,'DATABASE F&amp;B'!$C$3:$F$216,2,0)</f>
        <v>0</v>
      </c>
      <c r="AN358" s="18">
        <v>1</v>
      </c>
      <c r="AO358" s="19">
        <f>VLOOKUP(AL358,'DATABASE F&amp;B'!$C$3:$F$216,4,0)</f>
        <v>0</v>
      </c>
      <c r="AP358" s="19">
        <f t="shared" si="300"/>
        <v>0</v>
      </c>
      <c r="AQ358" s="16"/>
      <c r="AR358" s="17">
        <f>VLOOKUP(AQ358,'DATABASE F&amp;B'!$C$3:$F$216,2,0)</f>
        <v>0</v>
      </c>
      <c r="AS358" s="18">
        <v>1</v>
      </c>
      <c r="AT358" s="19">
        <f>VLOOKUP(AQ358,'DATABASE F&amp;B'!$C$3:$F$216,4,0)</f>
        <v>0</v>
      </c>
      <c r="AU358" s="19">
        <f t="shared" si="301"/>
        <v>0</v>
      </c>
      <c r="AV358" s="16"/>
      <c r="AW358" s="17">
        <f>VLOOKUP(AV358,'DATABASE F&amp;B'!$C$3:$F$216,2,0)</f>
        <v>0</v>
      </c>
      <c r="AX358" s="18"/>
      <c r="AY358" s="19">
        <f>VLOOKUP(AV358,'DATABASE F&amp;B'!$C$3:$F$216,4,0)</f>
        <v>0</v>
      </c>
      <c r="AZ358" s="19">
        <f t="shared" si="302"/>
        <v>0</v>
      </c>
      <c r="BA358" s="16"/>
      <c r="BB358" s="17">
        <f>VLOOKUP(BA358,'DATABASE F&amp;B'!$C$3:$F$216,2,0)</f>
        <v>0</v>
      </c>
      <c r="BC358" s="18"/>
      <c r="BD358" s="19">
        <f>VLOOKUP(BA358,'DATABASE F&amp;B'!$C$3:$F$216,4,0)</f>
        <v>0</v>
      </c>
      <c r="BE358" s="19">
        <f t="shared" si="303"/>
        <v>0</v>
      </c>
      <c r="BF358" s="16"/>
      <c r="BG358" s="17">
        <f>VLOOKUP(BF358,'DATABASE F&amp;B'!$C$3:$F$216,2,0)</f>
        <v>0</v>
      </c>
      <c r="BH358" s="18"/>
      <c r="BI358" s="19">
        <f>VLOOKUP(BF358,'DATABASE F&amp;B'!$C$3:$F$216,4,0)</f>
        <v>0</v>
      </c>
      <c r="BJ358" s="19">
        <f t="shared" si="304"/>
        <v>0</v>
      </c>
      <c r="BK358" s="16"/>
      <c r="BL358" s="17">
        <f>VLOOKUP(BK358,'DATABASE F&amp;B'!$C$3:$F$210,2,0)</f>
        <v>0</v>
      </c>
      <c r="BM358" s="18"/>
      <c r="BN358" s="19">
        <f>VLOOKUP(BK358,'DATABASE F&amp;B'!$C$3:$F$210,4,0)</f>
        <v>0</v>
      </c>
      <c r="BO358" s="19">
        <f t="shared" si="305"/>
        <v>0</v>
      </c>
      <c r="BP358" s="16"/>
      <c r="BQ358" s="17">
        <f>VLOOKUP(BP358,'DATABASE F&amp;B'!$C$3:$F$210,2,0)</f>
        <v>0</v>
      </c>
      <c r="BR358" s="18"/>
      <c r="BS358" s="19">
        <f>VLOOKUP(BP358,'DATABASE F&amp;B'!$C$3:$F$210,4,0)</f>
        <v>0</v>
      </c>
      <c r="BT358" s="19">
        <f t="shared" si="306"/>
        <v>0</v>
      </c>
      <c r="BU358" s="16"/>
      <c r="BV358" s="17">
        <f>VLOOKUP(BU358,'DATABASE F&amp;B'!$C$3:$F$210,2,0)</f>
        <v>0</v>
      </c>
      <c r="BW358" s="18"/>
      <c r="BX358" s="19">
        <f>VLOOKUP(BU358,'DATABASE F&amp;B'!$C$3:$F$210,4,0)</f>
        <v>0</v>
      </c>
      <c r="BY358" s="19">
        <f t="shared" si="307"/>
        <v>0</v>
      </c>
      <c r="BZ358" s="16"/>
      <c r="CA358" s="17">
        <f>VLOOKUP(BZ358,'DATABASE F&amp;B'!$C$3:$F$210,2,0)</f>
        <v>0</v>
      </c>
      <c r="CB358" s="18"/>
      <c r="CC358" s="19">
        <f>VLOOKUP(BZ358,'DATABASE F&amp;B'!$C$3:$F$210,4,0)</f>
        <v>0</v>
      </c>
      <c r="CD358" s="19">
        <f t="shared" si="308"/>
        <v>0</v>
      </c>
    </row>
    <row r="359" spans="1:82" ht="13.5" x14ac:dyDescent="0.25">
      <c r="A359" s="32" t="str">
        <f t="shared" si="288"/>
        <v>--20</v>
      </c>
      <c r="B359" s="22">
        <f t="shared" ref="B359:C359" si="322">B358+1</f>
        <v>355</v>
      </c>
      <c r="C359" s="22">
        <f t="shared" si="322"/>
        <v>355</v>
      </c>
      <c r="D359" s="34"/>
      <c r="E359" s="35"/>
      <c r="F359" s="35"/>
      <c r="G359" s="52"/>
      <c r="H359" s="36" t="str">
        <f t="shared" si="285"/>
        <v>RJ--355</v>
      </c>
      <c r="I359" s="36" t="str">
        <f t="shared" si="290"/>
        <v>--20</v>
      </c>
      <c r="J359" s="37" t="e">
        <f>VLOOKUP(D359,Laporan!$C$4:$D$34,2,0)</f>
        <v>#N/A</v>
      </c>
      <c r="K359" s="48"/>
      <c r="L359" s="13"/>
      <c r="M359" s="19">
        <f>SUMIF('DATABASE Room'!$B$3:$B$7,L359,'DATABASE Room'!$D$3:$D$7)</f>
        <v>0</v>
      </c>
      <c r="N359" s="13"/>
      <c r="O359" s="21">
        <f t="shared" si="291"/>
        <v>0</v>
      </c>
      <c r="P359" s="38"/>
      <c r="Q359" s="19">
        <f t="shared" si="292"/>
        <v>0</v>
      </c>
      <c r="R359" s="21">
        <f t="shared" si="293"/>
        <v>0</v>
      </c>
      <c r="S359" s="19">
        <f t="shared" si="294"/>
        <v>2</v>
      </c>
      <c r="T359" s="19">
        <f t="shared" si="295"/>
        <v>0</v>
      </c>
      <c r="U359" s="21">
        <f t="shared" si="296"/>
        <v>0</v>
      </c>
      <c r="V359" s="39"/>
      <c r="W359" s="16"/>
      <c r="X359" s="17">
        <f>VLOOKUP(W359,'DATABASE F&amp;B'!$C$3:$F$216,2,0)</f>
        <v>0</v>
      </c>
      <c r="Y359" s="18"/>
      <c r="Z359" s="19">
        <f>VLOOKUP(W359,'DATABASE F&amp;B'!$C$3:$F$216,4,0)</f>
        <v>0</v>
      </c>
      <c r="AA359" s="19">
        <f t="shared" si="297"/>
        <v>0</v>
      </c>
      <c r="AB359" s="16"/>
      <c r="AC359" s="17">
        <f>VLOOKUP(AB359,'DATABASE F&amp;B'!$C$3:$F$216,2,0)</f>
        <v>0</v>
      </c>
      <c r="AD359" s="18"/>
      <c r="AE359" s="19">
        <f>VLOOKUP(AB359,'DATABASE F&amp;B'!$C$3:$F$216,4,0)</f>
        <v>0</v>
      </c>
      <c r="AF359" s="19">
        <f t="shared" si="298"/>
        <v>0</v>
      </c>
      <c r="AG359" s="16"/>
      <c r="AH359" s="17">
        <f>VLOOKUP(AG359,'DATABASE F&amp;B'!$C$3:$F$216,2,0)</f>
        <v>0</v>
      </c>
      <c r="AI359" s="18"/>
      <c r="AJ359" s="19">
        <f>VLOOKUP(AG359,'DATABASE F&amp;B'!$C$3:$F$216,4,0)</f>
        <v>0</v>
      </c>
      <c r="AK359" s="19">
        <f t="shared" si="299"/>
        <v>0</v>
      </c>
      <c r="AL359" s="16"/>
      <c r="AM359" s="17">
        <f>VLOOKUP(AL359,'DATABASE F&amp;B'!$C$3:$F$216,2,0)</f>
        <v>0</v>
      </c>
      <c r="AN359" s="18">
        <v>1</v>
      </c>
      <c r="AO359" s="19">
        <f>VLOOKUP(AL359,'DATABASE F&amp;B'!$C$3:$F$216,4,0)</f>
        <v>0</v>
      </c>
      <c r="AP359" s="19">
        <f t="shared" si="300"/>
        <v>0</v>
      </c>
      <c r="AQ359" s="16"/>
      <c r="AR359" s="17">
        <f>VLOOKUP(AQ359,'DATABASE F&amp;B'!$C$3:$F$216,2,0)</f>
        <v>0</v>
      </c>
      <c r="AS359" s="18">
        <v>1</v>
      </c>
      <c r="AT359" s="19">
        <f>VLOOKUP(AQ359,'DATABASE F&amp;B'!$C$3:$F$216,4,0)</f>
        <v>0</v>
      </c>
      <c r="AU359" s="19">
        <f t="shared" si="301"/>
        <v>0</v>
      </c>
      <c r="AV359" s="16"/>
      <c r="AW359" s="17">
        <f>VLOOKUP(AV359,'DATABASE F&amp;B'!$C$3:$F$216,2,0)</f>
        <v>0</v>
      </c>
      <c r="AX359" s="18"/>
      <c r="AY359" s="19">
        <f>VLOOKUP(AV359,'DATABASE F&amp;B'!$C$3:$F$216,4,0)</f>
        <v>0</v>
      </c>
      <c r="AZ359" s="19">
        <f t="shared" si="302"/>
        <v>0</v>
      </c>
      <c r="BA359" s="16"/>
      <c r="BB359" s="17">
        <f>VLOOKUP(BA359,'DATABASE F&amp;B'!$C$3:$F$216,2,0)</f>
        <v>0</v>
      </c>
      <c r="BC359" s="18"/>
      <c r="BD359" s="19">
        <f>VLOOKUP(BA359,'DATABASE F&amp;B'!$C$3:$F$216,4,0)</f>
        <v>0</v>
      </c>
      <c r="BE359" s="19">
        <f t="shared" si="303"/>
        <v>0</v>
      </c>
      <c r="BF359" s="16"/>
      <c r="BG359" s="17">
        <f>VLOOKUP(BF359,'DATABASE F&amp;B'!$C$3:$F$216,2,0)</f>
        <v>0</v>
      </c>
      <c r="BH359" s="18"/>
      <c r="BI359" s="19">
        <f>VLOOKUP(BF359,'DATABASE F&amp;B'!$C$3:$F$216,4,0)</f>
        <v>0</v>
      </c>
      <c r="BJ359" s="19">
        <f t="shared" si="304"/>
        <v>0</v>
      </c>
      <c r="BK359" s="16"/>
      <c r="BL359" s="17">
        <f>VLOOKUP(BK359,'DATABASE F&amp;B'!$C$3:$F$210,2,0)</f>
        <v>0</v>
      </c>
      <c r="BM359" s="18"/>
      <c r="BN359" s="19">
        <f>VLOOKUP(BK359,'DATABASE F&amp;B'!$C$3:$F$210,4,0)</f>
        <v>0</v>
      </c>
      <c r="BO359" s="19">
        <f t="shared" si="305"/>
        <v>0</v>
      </c>
      <c r="BP359" s="16"/>
      <c r="BQ359" s="17">
        <f>VLOOKUP(BP359,'DATABASE F&amp;B'!$C$3:$F$210,2,0)</f>
        <v>0</v>
      </c>
      <c r="BR359" s="18"/>
      <c r="BS359" s="19">
        <f>VLOOKUP(BP359,'DATABASE F&amp;B'!$C$3:$F$210,4,0)</f>
        <v>0</v>
      </c>
      <c r="BT359" s="19">
        <f t="shared" si="306"/>
        <v>0</v>
      </c>
      <c r="BU359" s="16"/>
      <c r="BV359" s="17">
        <f>VLOOKUP(BU359,'DATABASE F&amp;B'!$C$3:$F$210,2,0)</f>
        <v>0</v>
      </c>
      <c r="BW359" s="18"/>
      <c r="BX359" s="19">
        <f>VLOOKUP(BU359,'DATABASE F&amp;B'!$C$3:$F$210,4,0)</f>
        <v>0</v>
      </c>
      <c r="BY359" s="19">
        <f t="shared" si="307"/>
        <v>0</v>
      </c>
      <c r="BZ359" s="16"/>
      <c r="CA359" s="17">
        <f>VLOOKUP(BZ359,'DATABASE F&amp;B'!$C$3:$F$210,2,0)</f>
        <v>0</v>
      </c>
      <c r="CB359" s="18"/>
      <c r="CC359" s="19">
        <f>VLOOKUP(BZ359,'DATABASE F&amp;B'!$C$3:$F$210,4,0)</f>
        <v>0</v>
      </c>
      <c r="CD359" s="19">
        <f t="shared" si="308"/>
        <v>0</v>
      </c>
    </row>
    <row r="360" spans="1:82" ht="13.5" x14ac:dyDescent="0.25">
      <c r="A360" s="32" t="str">
        <f t="shared" si="288"/>
        <v>--20</v>
      </c>
      <c r="B360" s="22">
        <f t="shared" ref="B360:C360" si="323">B359+1</f>
        <v>356</v>
      </c>
      <c r="C360" s="22">
        <f t="shared" si="323"/>
        <v>356</v>
      </c>
      <c r="D360" s="34"/>
      <c r="E360" s="35"/>
      <c r="F360" s="35"/>
      <c r="G360" s="52"/>
      <c r="H360" s="36" t="str">
        <f t="shared" si="285"/>
        <v>RJ--356</v>
      </c>
      <c r="I360" s="36" t="str">
        <f t="shared" si="290"/>
        <v>--20</v>
      </c>
      <c r="J360" s="37" t="e">
        <f>VLOOKUP(D360,Laporan!$C$4:$D$34,2,0)</f>
        <v>#N/A</v>
      </c>
      <c r="K360" s="48"/>
      <c r="L360" s="13"/>
      <c r="M360" s="19">
        <f>SUMIF('DATABASE Room'!$B$3:$B$7,L360,'DATABASE Room'!$D$3:$D$7)</f>
        <v>0</v>
      </c>
      <c r="N360" s="13"/>
      <c r="O360" s="21">
        <f t="shared" si="291"/>
        <v>0</v>
      </c>
      <c r="P360" s="38"/>
      <c r="Q360" s="19">
        <f t="shared" si="292"/>
        <v>0</v>
      </c>
      <c r="R360" s="21">
        <f t="shared" si="293"/>
        <v>0</v>
      </c>
      <c r="S360" s="19">
        <f t="shared" si="294"/>
        <v>2</v>
      </c>
      <c r="T360" s="19">
        <f t="shared" si="295"/>
        <v>0</v>
      </c>
      <c r="U360" s="21">
        <f t="shared" si="296"/>
        <v>0</v>
      </c>
      <c r="V360" s="39"/>
      <c r="W360" s="16"/>
      <c r="X360" s="17">
        <f>VLOOKUP(W360,'DATABASE F&amp;B'!$C$3:$F$216,2,0)</f>
        <v>0</v>
      </c>
      <c r="Y360" s="18"/>
      <c r="Z360" s="19">
        <f>VLOOKUP(W360,'DATABASE F&amp;B'!$C$3:$F$216,4,0)</f>
        <v>0</v>
      </c>
      <c r="AA360" s="19">
        <f t="shared" si="297"/>
        <v>0</v>
      </c>
      <c r="AB360" s="16"/>
      <c r="AC360" s="17">
        <f>VLOOKUP(AB360,'DATABASE F&amp;B'!$C$3:$F$216,2,0)</f>
        <v>0</v>
      </c>
      <c r="AD360" s="18"/>
      <c r="AE360" s="19">
        <f>VLOOKUP(AB360,'DATABASE F&amp;B'!$C$3:$F$216,4,0)</f>
        <v>0</v>
      </c>
      <c r="AF360" s="19">
        <f t="shared" si="298"/>
        <v>0</v>
      </c>
      <c r="AG360" s="16"/>
      <c r="AH360" s="17">
        <f>VLOOKUP(AG360,'DATABASE F&amp;B'!$C$3:$F$216,2,0)</f>
        <v>0</v>
      </c>
      <c r="AI360" s="18"/>
      <c r="AJ360" s="19">
        <f>VLOOKUP(AG360,'DATABASE F&amp;B'!$C$3:$F$216,4,0)</f>
        <v>0</v>
      </c>
      <c r="AK360" s="19">
        <f t="shared" si="299"/>
        <v>0</v>
      </c>
      <c r="AL360" s="16"/>
      <c r="AM360" s="17">
        <f>VLOOKUP(AL360,'DATABASE F&amp;B'!$C$3:$F$216,2,0)</f>
        <v>0</v>
      </c>
      <c r="AN360" s="18">
        <v>1</v>
      </c>
      <c r="AO360" s="19">
        <f>VLOOKUP(AL360,'DATABASE F&amp;B'!$C$3:$F$216,4,0)</f>
        <v>0</v>
      </c>
      <c r="AP360" s="19">
        <f t="shared" si="300"/>
        <v>0</v>
      </c>
      <c r="AQ360" s="16"/>
      <c r="AR360" s="17">
        <f>VLOOKUP(AQ360,'DATABASE F&amp;B'!$C$3:$F$216,2,0)</f>
        <v>0</v>
      </c>
      <c r="AS360" s="18">
        <v>1</v>
      </c>
      <c r="AT360" s="19">
        <f>VLOOKUP(AQ360,'DATABASE F&amp;B'!$C$3:$F$216,4,0)</f>
        <v>0</v>
      </c>
      <c r="AU360" s="19">
        <f t="shared" si="301"/>
        <v>0</v>
      </c>
      <c r="AV360" s="16"/>
      <c r="AW360" s="17">
        <f>VLOOKUP(AV360,'DATABASE F&amp;B'!$C$3:$F$216,2,0)</f>
        <v>0</v>
      </c>
      <c r="AX360" s="18"/>
      <c r="AY360" s="19">
        <f>VLOOKUP(AV360,'DATABASE F&amp;B'!$C$3:$F$216,4,0)</f>
        <v>0</v>
      </c>
      <c r="AZ360" s="19">
        <f t="shared" si="302"/>
        <v>0</v>
      </c>
      <c r="BA360" s="16"/>
      <c r="BB360" s="17">
        <f>VLOOKUP(BA360,'DATABASE F&amp;B'!$C$3:$F$216,2,0)</f>
        <v>0</v>
      </c>
      <c r="BC360" s="18"/>
      <c r="BD360" s="19">
        <f>VLOOKUP(BA360,'DATABASE F&amp;B'!$C$3:$F$216,4,0)</f>
        <v>0</v>
      </c>
      <c r="BE360" s="19">
        <f t="shared" si="303"/>
        <v>0</v>
      </c>
      <c r="BF360" s="16"/>
      <c r="BG360" s="17">
        <f>VLOOKUP(BF360,'DATABASE F&amp;B'!$C$3:$F$216,2,0)</f>
        <v>0</v>
      </c>
      <c r="BH360" s="18"/>
      <c r="BI360" s="19">
        <f>VLOOKUP(BF360,'DATABASE F&amp;B'!$C$3:$F$216,4,0)</f>
        <v>0</v>
      </c>
      <c r="BJ360" s="19">
        <f t="shared" si="304"/>
        <v>0</v>
      </c>
      <c r="BK360" s="16"/>
      <c r="BL360" s="17">
        <f>VLOOKUP(BK360,'DATABASE F&amp;B'!$C$3:$F$210,2,0)</f>
        <v>0</v>
      </c>
      <c r="BM360" s="18"/>
      <c r="BN360" s="19">
        <f>VLOOKUP(BK360,'DATABASE F&amp;B'!$C$3:$F$210,4,0)</f>
        <v>0</v>
      </c>
      <c r="BO360" s="19">
        <f t="shared" si="305"/>
        <v>0</v>
      </c>
      <c r="BP360" s="16"/>
      <c r="BQ360" s="17">
        <f>VLOOKUP(BP360,'DATABASE F&amp;B'!$C$3:$F$210,2,0)</f>
        <v>0</v>
      </c>
      <c r="BR360" s="18"/>
      <c r="BS360" s="19">
        <f>VLOOKUP(BP360,'DATABASE F&amp;B'!$C$3:$F$210,4,0)</f>
        <v>0</v>
      </c>
      <c r="BT360" s="19">
        <f t="shared" si="306"/>
        <v>0</v>
      </c>
      <c r="BU360" s="16"/>
      <c r="BV360" s="17">
        <f>VLOOKUP(BU360,'DATABASE F&amp;B'!$C$3:$F$210,2,0)</f>
        <v>0</v>
      </c>
      <c r="BW360" s="18"/>
      <c r="BX360" s="19">
        <f>VLOOKUP(BU360,'DATABASE F&amp;B'!$C$3:$F$210,4,0)</f>
        <v>0</v>
      </c>
      <c r="BY360" s="19">
        <f t="shared" si="307"/>
        <v>0</v>
      </c>
      <c r="BZ360" s="16"/>
      <c r="CA360" s="17">
        <f>VLOOKUP(BZ360,'DATABASE F&amp;B'!$C$3:$F$210,2,0)</f>
        <v>0</v>
      </c>
      <c r="CB360" s="18"/>
      <c r="CC360" s="19">
        <f>VLOOKUP(BZ360,'DATABASE F&amp;B'!$C$3:$F$210,4,0)</f>
        <v>0</v>
      </c>
      <c r="CD360" s="19">
        <f t="shared" si="308"/>
        <v>0</v>
      </c>
    </row>
    <row r="361" spans="1:82" ht="13.5" x14ac:dyDescent="0.25">
      <c r="A361" s="32" t="str">
        <f t="shared" si="288"/>
        <v>--20</v>
      </c>
      <c r="B361" s="22">
        <f t="shared" ref="B361:C361" si="324">B360+1</f>
        <v>357</v>
      </c>
      <c r="C361" s="22">
        <f t="shared" si="324"/>
        <v>357</v>
      </c>
      <c r="D361" s="34"/>
      <c r="E361" s="35"/>
      <c r="F361" s="35"/>
      <c r="G361" s="52"/>
      <c r="H361" s="36" t="str">
        <f t="shared" si="285"/>
        <v>RJ--357</v>
      </c>
      <c r="I361" s="36" t="str">
        <f t="shared" si="290"/>
        <v>--20</v>
      </c>
      <c r="J361" s="37" t="e">
        <f>VLOOKUP(D361,Laporan!$C$4:$D$34,2,0)</f>
        <v>#N/A</v>
      </c>
      <c r="K361" s="48"/>
      <c r="L361" s="13"/>
      <c r="M361" s="19">
        <f>SUMIF('DATABASE Room'!$B$3:$B$7,L361,'DATABASE Room'!$D$3:$D$7)</f>
        <v>0</v>
      </c>
      <c r="N361" s="13"/>
      <c r="O361" s="21">
        <f t="shared" si="291"/>
        <v>0</v>
      </c>
      <c r="P361" s="38"/>
      <c r="Q361" s="19">
        <f t="shared" si="292"/>
        <v>0</v>
      </c>
      <c r="R361" s="21">
        <f t="shared" si="293"/>
        <v>0</v>
      </c>
      <c r="S361" s="19">
        <f t="shared" si="294"/>
        <v>2</v>
      </c>
      <c r="T361" s="19">
        <f t="shared" si="295"/>
        <v>0</v>
      </c>
      <c r="U361" s="21">
        <f t="shared" si="296"/>
        <v>0</v>
      </c>
      <c r="V361" s="39"/>
      <c r="W361" s="16"/>
      <c r="X361" s="17">
        <f>VLOOKUP(W361,'DATABASE F&amp;B'!$C$3:$F$216,2,0)</f>
        <v>0</v>
      </c>
      <c r="Y361" s="18"/>
      <c r="Z361" s="19">
        <f>VLOOKUP(W361,'DATABASE F&amp;B'!$C$3:$F$216,4,0)</f>
        <v>0</v>
      </c>
      <c r="AA361" s="19">
        <f t="shared" si="297"/>
        <v>0</v>
      </c>
      <c r="AB361" s="16"/>
      <c r="AC361" s="17">
        <f>VLOOKUP(AB361,'DATABASE F&amp;B'!$C$3:$F$216,2,0)</f>
        <v>0</v>
      </c>
      <c r="AD361" s="18"/>
      <c r="AE361" s="19">
        <f>VLOOKUP(AB361,'DATABASE F&amp;B'!$C$3:$F$216,4,0)</f>
        <v>0</v>
      </c>
      <c r="AF361" s="19">
        <f t="shared" si="298"/>
        <v>0</v>
      </c>
      <c r="AG361" s="16"/>
      <c r="AH361" s="17">
        <f>VLOOKUP(AG361,'DATABASE F&amp;B'!$C$3:$F$216,2,0)</f>
        <v>0</v>
      </c>
      <c r="AI361" s="18"/>
      <c r="AJ361" s="19">
        <f>VLOOKUP(AG361,'DATABASE F&amp;B'!$C$3:$F$216,4,0)</f>
        <v>0</v>
      </c>
      <c r="AK361" s="19">
        <f t="shared" si="299"/>
        <v>0</v>
      </c>
      <c r="AL361" s="16"/>
      <c r="AM361" s="17">
        <f>VLOOKUP(AL361,'DATABASE F&amp;B'!$C$3:$F$216,2,0)</f>
        <v>0</v>
      </c>
      <c r="AN361" s="18">
        <v>1</v>
      </c>
      <c r="AO361" s="19">
        <f>VLOOKUP(AL361,'DATABASE F&amp;B'!$C$3:$F$216,4,0)</f>
        <v>0</v>
      </c>
      <c r="AP361" s="19">
        <f t="shared" si="300"/>
        <v>0</v>
      </c>
      <c r="AQ361" s="16"/>
      <c r="AR361" s="17">
        <f>VLOOKUP(AQ361,'DATABASE F&amp;B'!$C$3:$F$216,2,0)</f>
        <v>0</v>
      </c>
      <c r="AS361" s="18">
        <v>1</v>
      </c>
      <c r="AT361" s="19">
        <f>VLOOKUP(AQ361,'DATABASE F&amp;B'!$C$3:$F$216,4,0)</f>
        <v>0</v>
      </c>
      <c r="AU361" s="19">
        <f t="shared" si="301"/>
        <v>0</v>
      </c>
      <c r="AV361" s="16"/>
      <c r="AW361" s="17">
        <f>VLOOKUP(AV361,'DATABASE F&amp;B'!$C$3:$F$216,2,0)</f>
        <v>0</v>
      </c>
      <c r="AX361" s="18"/>
      <c r="AY361" s="19">
        <f>VLOOKUP(AV361,'DATABASE F&amp;B'!$C$3:$F$216,4,0)</f>
        <v>0</v>
      </c>
      <c r="AZ361" s="19">
        <f t="shared" si="302"/>
        <v>0</v>
      </c>
      <c r="BA361" s="16"/>
      <c r="BB361" s="17">
        <f>VLOOKUP(BA361,'DATABASE F&amp;B'!$C$3:$F$216,2,0)</f>
        <v>0</v>
      </c>
      <c r="BC361" s="18"/>
      <c r="BD361" s="19">
        <f>VLOOKUP(BA361,'DATABASE F&amp;B'!$C$3:$F$216,4,0)</f>
        <v>0</v>
      </c>
      <c r="BE361" s="19">
        <f t="shared" si="303"/>
        <v>0</v>
      </c>
      <c r="BF361" s="16"/>
      <c r="BG361" s="17">
        <f>VLOOKUP(BF361,'DATABASE F&amp;B'!$C$3:$F$216,2,0)</f>
        <v>0</v>
      </c>
      <c r="BH361" s="18"/>
      <c r="BI361" s="19">
        <f>VLOOKUP(BF361,'DATABASE F&amp;B'!$C$3:$F$216,4,0)</f>
        <v>0</v>
      </c>
      <c r="BJ361" s="19">
        <f t="shared" si="304"/>
        <v>0</v>
      </c>
      <c r="BK361" s="16"/>
      <c r="BL361" s="17">
        <f>VLOOKUP(BK361,'DATABASE F&amp;B'!$C$3:$F$210,2,0)</f>
        <v>0</v>
      </c>
      <c r="BM361" s="18"/>
      <c r="BN361" s="19">
        <f>VLOOKUP(BK361,'DATABASE F&amp;B'!$C$3:$F$210,4,0)</f>
        <v>0</v>
      </c>
      <c r="BO361" s="19">
        <f t="shared" si="305"/>
        <v>0</v>
      </c>
      <c r="BP361" s="16"/>
      <c r="BQ361" s="17">
        <f>VLOOKUP(BP361,'DATABASE F&amp;B'!$C$3:$F$210,2,0)</f>
        <v>0</v>
      </c>
      <c r="BR361" s="18"/>
      <c r="BS361" s="19">
        <f>VLOOKUP(BP361,'DATABASE F&amp;B'!$C$3:$F$210,4,0)</f>
        <v>0</v>
      </c>
      <c r="BT361" s="19">
        <f t="shared" si="306"/>
        <v>0</v>
      </c>
      <c r="BU361" s="16"/>
      <c r="BV361" s="17">
        <f>VLOOKUP(BU361,'DATABASE F&amp;B'!$C$3:$F$210,2,0)</f>
        <v>0</v>
      </c>
      <c r="BW361" s="18"/>
      <c r="BX361" s="19">
        <f>VLOOKUP(BU361,'DATABASE F&amp;B'!$C$3:$F$210,4,0)</f>
        <v>0</v>
      </c>
      <c r="BY361" s="19">
        <f t="shared" si="307"/>
        <v>0</v>
      </c>
      <c r="BZ361" s="16"/>
      <c r="CA361" s="17">
        <f>VLOOKUP(BZ361,'DATABASE F&amp;B'!$C$3:$F$210,2,0)</f>
        <v>0</v>
      </c>
      <c r="CB361" s="18"/>
      <c r="CC361" s="19">
        <f>VLOOKUP(BZ361,'DATABASE F&amp;B'!$C$3:$F$210,4,0)</f>
        <v>0</v>
      </c>
      <c r="CD361" s="19">
        <f t="shared" si="308"/>
        <v>0</v>
      </c>
    </row>
    <row r="362" spans="1:82" ht="13.5" x14ac:dyDescent="0.25">
      <c r="A362" s="32" t="str">
        <f t="shared" si="288"/>
        <v>--20</v>
      </c>
      <c r="B362" s="22">
        <f t="shared" ref="B362:C362" si="325">B361+1</f>
        <v>358</v>
      </c>
      <c r="C362" s="22">
        <f t="shared" si="325"/>
        <v>358</v>
      </c>
      <c r="D362" s="34"/>
      <c r="E362" s="35"/>
      <c r="F362" s="35"/>
      <c r="G362" s="52"/>
      <c r="H362" s="36" t="str">
        <f t="shared" si="285"/>
        <v>RJ--358</v>
      </c>
      <c r="I362" s="36" t="str">
        <f t="shared" si="290"/>
        <v>--20</v>
      </c>
      <c r="J362" s="37" t="e">
        <f>VLOOKUP(D362,Laporan!$C$4:$D$34,2,0)</f>
        <v>#N/A</v>
      </c>
      <c r="K362" s="48"/>
      <c r="L362" s="13"/>
      <c r="M362" s="19">
        <f>SUMIF('DATABASE Room'!$B$3:$B$7,L362,'DATABASE Room'!$D$3:$D$7)</f>
        <v>0</v>
      </c>
      <c r="N362" s="13"/>
      <c r="O362" s="21">
        <f t="shared" si="291"/>
        <v>0</v>
      </c>
      <c r="P362" s="38"/>
      <c r="Q362" s="19">
        <f t="shared" si="292"/>
        <v>0</v>
      </c>
      <c r="R362" s="21">
        <f t="shared" si="293"/>
        <v>0</v>
      </c>
      <c r="S362" s="19">
        <f t="shared" si="294"/>
        <v>2</v>
      </c>
      <c r="T362" s="19">
        <f t="shared" si="295"/>
        <v>0</v>
      </c>
      <c r="U362" s="21">
        <f t="shared" si="296"/>
        <v>0</v>
      </c>
      <c r="V362" s="39"/>
      <c r="W362" s="16"/>
      <c r="X362" s="17">
        <f>VLOOKUP(W362,'DATABASE F&amp;B'!$C$3:$F$216,2,0)</f>
        <v>0</v>
      </c>
      <c r="Y362" s="18"/>
      <c r="Z362" s="19">
        <f>VLOOKUP(W362,'DATABASE F&amp;B'!$C$3:$F$216,4,0)</f>
        <v>0</v>
      </c>
      <c r="AA362" s="19">
        <f t="shared" si="297"/>
        <v>0</v>
      </c>
      <c r="AB362" s="16"/>
      <c r="AC362" s="17">
        <f>VLOOKUP(AB362,'DATABASE F&amp;B'!$C$3:$F$216,2,0)</f>
        <v>0</v>
      </c>
      <c r="AD362" s="18"/>
      <c r="AE362" s="19">
        <f>VLOOKUP(AB362,'DATABASE F&amp;B'!$C$3:$F$216,4,0)</f>
        <v>0</v>
      </c>
      <c r="AF362" s="19">
        <f t="shared" si="298"/>
        <v>0</v>
      </c>
      <c r="AG362" s="16"/>
      <c r="AH362" s="17">
        <f>VLOOKUP(AG362,'DATABASE F&amp;B'!$C$3:$F$216,2,0)</f>
        <v>0</v>
      </c>
      <c r="AI362" s="18"/>
      <c r="AJ362" s="19">
        <f>VLOOKUP(AG362,'DATABASE F&amp;B'!$C$3:$F$216,4,0)</f>
        <v>0</v>
      </c>
      <c r="AK362" s="19">
        <f t="shared" si="299"/>
        <v>0</v>
      </c>
      <c r="AL362" s="16"/>
      <c r="AM362" s="17">
        <f>VLOOKUP(AL362,'DATABASE F&amp;B'!$C$3:$F$216,2,0)</f>
        <v>0</v>
      </c>
      <c r="AN362" s="18">
        <v>1</v>
      </c>
      <c r="AO362" s="19">
        <f>VLOOKUP(AL362,'DATABASE F&amp;B'!$C$3:$F$216,4,0)</f>
        <v>0</v>
      </c>
      <c r="AP362" s="19">
        <f t="shared" si="300"/>
        <v>0</v>
      </c>
      <c r="AQ362" s="16"/>
      <c r="AR362" s="17">
        <f>VLOOKUP(AQ362,'DATABASE F&amp;B'!$C$3:$F$216,2,0)</f>
        <v>0</v>
      </c>
      <c r="AS362" s="18">
        <v>1</v>
      </c>
      <c r="AT362" s="19">
        <f>VLOOKUP(AQ362,'DATABASE F&amp;B'!$C$3:$F$216,4,0)</f>
        <v>0</v>
      </c>
      <c r="AU362" s="19">
        <f t="shared" si="301"/>
        <v>0</v>
      </c>
      <c r="AV362" s="16"/>
      <c r="AW362" s="17">
        <f>VLOOKUP(AV362,'DATABASE F&amp;B'!$C$3:$F$216,2,0)</f>
        <v>0</v>
      </c>
      <c r="AX362" s="18"/>
      <c r="AY362" s="19">
        <f>VLOOKUP(AV362,'DATABASE F&amp;B'!$C$3:$F$216,4,0)</f>
        <v>0</v>
      </c>
      <c r="AZ362" s="19">
        <f t="shared" si="302"/>
        <v>0</v>
      </c>
      <c r="BA362" s="16"/>
      <c r="BB362" s="17">
        <f>VLOOKUP(BA362,'DATABASE F&amp;B'!$C$3:$F$216,2,0)</f>
        <v>0</v>
      </c>
      <c r="BC362" s="18"/>
      <c r="BD362" s="19">
        <f>VLOOKUP(BA362,'DATABASE F&amp;B'!$C$3:$F$216,4,0)</f>
        <v>0</v>
      </c>
      <c r="BE362" s="19">
        <f t="shared" si="303"/>
        <v>0</v>
      </c>
      <c r="BF362" s="16"/>
      <c r="BG362" s="17">
        <f>VLOOKUP(BF362,'DATABASE F&amp;B'!$C$3:$F$216,2,0)</f>
        <v>0</v>
      </c>
      <c r="BH362" s="18"/>
      <c r="BI362" s="19">
        <f>VLOOKUP(BF362,'DATABASE F&amp;B'!$C$3:$F$216,4,0)</f>
        <v>0</v>
      </c>
      <c r="BJ362" s="19">
        <f t="shared" si="304"/>
        <v>0</v>
      </c>
      <c r="BK362" s="16"/>
      <c r="BL362" s="17">
        <f>VLOOKUP(BK362,'DATABASE F&amp;B'!$C$3:$F$210,2,0)</f>
        <v>0</v>
      </c>
      <c r="BM362" s="18"/>
      <c r="BN362" s="19">
        <f>VLOOKUP(BK362,'DATABASE F&amp;B'!$C$3:$F$210,4,0)</f>
        <v>0</v>
      </c>
      <c r="BO362" s="19">
        <f t="shared" si="305"/>
        <v>0</v>
      </c>
      <c r="BP362" s="16"/>
      <c r="BQ362" s="17">
        <f>VLOOKUP(BP362,'DATABASE F&amp;B'!$C$3:$F$210,2,0)</f>
        <v>0</v>
      </c>
      <c r="BR362" s="18"/>
      <c r="BS362" s="19">
        <f>VLOOKUP(BP362,'DATABASE F&amp;B'!$C$3:$F$210,4,0)</f>
        <v>0</v>
      </c>
      <c r="BT362" s="19">
        <f t="shared" si="306"/>
        <v>0</v>
      </c>
      <c r="BU362" s="16"/>
      <c r="BV362" s="17">
        <f>VLOOKUP(BU362,'DATABASE F&amp;B'!$C$3:$F$210,2,0)</f>
        <v>0</v>
      </c>
      <c r="BW362" s="18"/>
      <c r="BX362" s="19">
        <f>VLOOKUP(BU362,'DATABASE F&amp;B'!$C$3:$F$210,4,0)</f>
        <v>0</v>
      </c>
      <c r="BY362" s="19">
        <f t="shared" si="307"/>
        <v>0</v>
      </c>
      <c r="BZ362" s="16"/>
      <c r="CA362" s="17">
        <f>VLOOKUP(BZ362,'DATABASE F&amp;B'!$C$3:$F$210,2,0)</f>
        <v>0</v>
      </c>
      <c r="CB362" s="18"/>
      <c r="CC362" s="19">
        <f>VLOOKUP(BZ362,'DATABASE F&amp;B'!$C$3:$F$210,4,0)</f>
        <v>0</v>
      </c>
      <c r="CD362" s="19">
        <f t="shared" si="308"/>
        <v>0</v>
      </c>
    </row>
    <row r="363" spans="1:82" ht="13.5" x14ac:dyDescent="0.25">
      <c r="A363" s="32" t="str">
        <f t="shared" si="288"/>
        <v>--20</v>
      </c>
      <c r="B363" s="22">
        <f t="shared" ref="B363:C363" si="326">B362+1</f>
        <v>359</v>
      </c>
      <c r="C363" s="22">
        <f t="shared" si="326"/>
        <v>359</v>
      </c>
      <c r="D363" s="34"/>
      <c r="E363" s="35"/>
      <c r="F363" s="35"/>
      <c r="G363" s="52"/>
      <c r="H363" s="36" t="str">
        <f t="shared" si="285"/>
        <v>RJ--359</v>
      </c>
      <c r="I363" s="36" t="str">
        <f t="shared" si="290"/>
        <v>--20</v>
      </c>
      <c r="J363" s="37" t="e">
        <f>VLOOKUP(D363,Laporan!$C$4:$D$34,2,0)</f>
        <v>#N/A</v>
      </c>
      <c r="K363" s="48"/>
      <c r="L363" s="13"/>
      <c r="M363" s="19">
        <f>SUMIF('DATABASE Room'!$B$3:$B$7,L363,'DATABASE Room'!$D$3:$D$7)</f>
        <v>0</v>
      </c>
      <c r="N363" s="13"/>
      <c r="O363" s="21">
        <f t="shared" si="291"/>
        <v>0</v>
      </c>
      <c r="P363" s="38"/>
      <c r="Q363" s="19">
        <f t="shared" si="292"/>
        <v>0</v>
      </c>
      <c r="R363" s="21">
        <f t="shared" si="293"/>
        <v>0</v>
      </c>
      <c r="S363" s="19">
        <f t="shared" si="294"/>
        <v>2</v>
      </c>
      <c r="T363" s="19">
        <f t="shared" si="295"/>
        <v>0</v>
      </c>
      <c r="U363" s="21">
        <f t="shared" si="296"/>
        <v>0</v>
      </c>
      <c r="V363" s="39"/>
      <c r="W363" s="16"/>
      <c r="X363" s="17">
        <f>VLOOKUP(W363,'DATABASE F&amp;B'!$C$3:$F$216,2,0)</f>
        <v>0</v>
      </c>
      <c r="Y363" s="18"/>
      <c r="Z363" s="19">
        <f>VLOOKUP(W363,'DATABASE F&amp;B'!$C$3:$F$216,4,0)</f>
        <v>0</v>
      </c>
      <c r="AA363" s="19">
        <f t="shared" si="297"/>
        <v>0</v>
      </c>
      <c r="AB363" s="16"/>
      <c r="AC363" s="17">
        <f>VLOOKUP(AB363,'DATABASE F&amp;B'!$C$3:$F$216,2,0)</f>
        <v>0</v>
      </c>
      <c r="AD363" s="18"/>
      <c r="AE363" s="19">
        <f>VLOOKUP(AB363,'DATABASE F&amp;B'!$C$3:$F$216,4,0)</f>
        <v>0</v>
      </c>
      <c r="AF363" s="19">
        <f t="shared" si="298"/>
        <v>0</v>
      </c>
      <c r="AG363" s="16"/>
      <c r="AH363" s="17">
        <f>VLOOKUP(AG363,'DATABASE F&amp;B'!$C$3:$F$216,2,0)</f>
        <v>0</v>
      </c>
      <c r="AI363" s="18"/>
      <c r="AJ363" s="19">
        <f>VLOOKUP(AG363,'DATABASE F&amp;B'!$C$3:$F$216,4,0)</f>
        <v>0</v>
      </c>
      <c r="AK363" s="19">
        <f t="shared" si="299"/>
        <v>0</v>
      </c>
      <c r="AL363" s="16"/>
      <c r="AM363" s="17">
        <f>VLOOKUP(AL363,'DATABASE F&amp;B'!$C$3:$F$216,2,0)</f>
        <v>0</v>
      </c>
      <c r="AN363" s="18">
        <v>1</v>
      </c>
      <c r="AO363" s="19">
        <f>VLOOKUP(AL363,'DATABASE F&amp;B'!$C$3:$F$216,4,0)</f>
        <v>0</v>
      </c>
      <c r="AP363" s="19">
        <f t="shared" si="300"/>
        <v>0</v>
      </c>
      <c r="AQ363" s="16"/>
      <c r="AR363" s="17">
        <f>VLOOKUP(AQ363,'DATABASE F&amp;B'!$C$3:$F$216,2,0)</f>
        <v>0</v>
      </c>
      <c r="AS363" s="18">
        <v>1</v>
      </c>
      <c r="AT363" s="19">
        <f>VLOOKUP(AQ363,'DATABASE F&amp;B'!$C$3:$F$216,4,0)</f>
        <v>0</v>
      </c>
      <c r="AU363" s="19">
        <f t="shared" si="301"/>
        <v>0</v>
      </c>
      <c r="AV363" s="16"/>
      <c r="AW363" s="17">
        <f>VLOOKUP(AV363,'DATABASE F&amp;B'!$C$3:$F$216,2,0)</f>
        <v>0</v>
      </c>
      <c r="AX363" s="18"/>
      <c r="AY363" s="19">
        <f>VLOOKUP(AV363,'DATABASE F&amp;B'!$C$3:$F$216,4,0)</f>
        <v>0</v>
      </c>
      <c r="AZ363" s="19">
        <f t="shared" si="302"/>
        <v>0</v>
      </c>
      <c r="BA363" s="16"/>
      <c r="BB363" s="17">
        <f>VLOOKUP(BA363,'DATABASE F&amp;B'!$C$3:$F$216,2,0)</f>
        <v>0</v>
      </c>
      <c r="BC363" s="18"/>
      <c r="BD363" s="19">
        <f>VLOOKUP(BA363,'DATABASE F&amp;B'!$C$3:$F$216,4,0)</f>
        <v>0</v>
      </c>
      <c r="BE363" s="19">
        <f t="shared" si="303"/>
        <v>0</v>
      </c>
      <c r="BF363" s="16"/>
      <c r="BG363" s="17">
        <f>VLOOKUP(BF363,'DATABASE F&amp;B'!$C$3:$F$216,2,0)</f>
        <v>0</v>
      </c>
      <c r="BH363" s="18"/>
      <c r="BI363" s="19">
        <f>VLOOKUP(BF363,'DATABASE F&amp;B'!$C$3:$F$216,4,0)</f>
        <v>0</v>
      </c>
      <c r="BJ363" s="19">
        <f t="shared" si="304"/>
        <v>0</v>
      </c>
      <c r="BK363" s="16"/>
      <c r="BL363" s="17">
        <f>VLOOKUP(BK363,'DATABASE F&amp;B'!$C$3:$F$210,2,0)</f>
        <v>0</v>
      </c>
      <c r="BM363" s="18"/>
      <c r="BN363" s="19">
        <f>VLOOKUP(BK363,'DATABASE F&amp;B'!$C$3:$F$210,4,0)</f>
        <v>0</v>
      </c>
      <c r="BO363" s="19">
        <f t="shared" si="305"/>
        <v>0</v>
      </c>
      <c r="BP363" s="16"/>
      <c r="BQ363" s="17">
        <f>VLOOKUP(BP363,'DATABASE F&amp;B'!$C$3:$F$210,2,0)</f>
        <v>0</v>
      </c>
      <c r="BR363" s="18"/>
      <c r="BS363" s="19">
        <f>VLOOKUP(BP363,'DATABASE F&amp;B'!$C$3:$F$210,4,0)</f>
        <v>0</v>
      </c>
      <c r="BT363" s="19">
        <f t="shared" si="306"/>
        <v>0</v>
      </c>
      <c r="BU363" s="16"/>
      <c r="BV363" s="17">
        <f>VLOOKUP(BU363,'DATABASE F&amp;B'!$C$3:$F$210,2,0)</f>
        <v>0</v>
      </c>
      <c r="BW363" s="18"/>
      <c r="BX363" s="19">
        <f>VLOOKUP(BU363,'DATABASE F&amp;B'!$C$3:$F$210,4,0)</f>
        <v>0</v>
      </c>
      <c r="BY363" s="19">
        <f t="shared" si="307"/>
        <v>0</v>
      </c>
      <c r="BZ363" s="16"/>
      <c r="CA363" s="17">
        <f>VLOOKUP(BZ363,'DATABASE F&amp;B'!$C$3:$F$210,2,0)</f>
        <v>0</v>
      </c>
      <c r="CB363" s="18"/>
      <c r="CC363" s="19">
        <f>VLOOKUP(BZ363,'DATABASE F&amp;B'!$C$3:$F$210,4,0)</f>
        <v>0</v>
      </c>
      <c r="CD363" s="19">
        <f t="shared" si="308"/>
        <v>0</v>
      </c>
    </row>
    <row r="364" spans="1:82" ht="13.5" x14ac:dyDescent="0.25">
      <c r="A364" s="32" t="str">
        <f t="shared" si="288"/>
        <v>--20</v>
      </c>
      <c r="B364" s="22">
        <f t="shared" ref="B364:C364" si="327">B363+1</f>
        <v>360</v>
      </c>
      <c r="C364" s="22">
        <f t="shared" si="327"/>
        <v>360</v>
      </c>
      <c r="D364" s="34"/>
      <c r="E364" s="35"/>
      <c r="F364" s="35"/>
      <c r="G364" s="52"/>
      <c r="H364" s="36" t="str">
        <f t="shared" si="285"/>
        <v>RJ--360</v>
      </c>
      <c r="I364" s="36" t="str">
        <f t="shared" si="290"/>
        <v>--20</v>
      </c>
      <c r="J364" s="37" t="e">
        <f>VLOOKUP(D364,Laporan!$C$4:$D$34,2,0)</f>
        <v>#N/A</v>
      </c>
      <c r="K364" s="48"/>
      <c r="L364" s="13"/>
      <c r="M364" s="19">
        <f>SUMIF('DATABASE Room'!$B$3:$B$7,L364,'DATABASE Room'!$D$3:$D$7)</f>
        <v>0</v>
      </c>
      <c r="N364" s="13"/>
      <c r="O364" s="21">
        <f t="shared" si="291"/>
        <v>0</v>
      </c>
      <c r="P364" s="38"/>
      <c r="Q364" s="19">
        <f t="shared" si="292"/>
        <v>0</v>
      </c>
      <c r="R364" s="21">
        <f t="shared" si="293"/>
        <v>0</v>
      </c>
      <c r="S364" s="19">
        <f t="shared" si="294"/>
        <v>2</v>
      </c>
      <c r="T364" s="19">
        <f t="shared" si="295"/>
        <v>0</v>
      </c>
      <c r="U364" s="21">
        <f t="shared" si="296"/>
        <v>0</v>
      </c>
      <c r="V364" s="39"/>
      <c r="W364" s="16"/>
      <c r="X364" s="17">
        <f>VLOOKUP(W364,'DATABASE F&amp;B'!$C$3:$F$216,2,0)</f>
        <v>0</v>
      </c>
      <c r="Y364" s="18"/>
      <c r="Z364" s="19">
        <f>VLOOKUP(W364,'DATABASE F&amp;B'!$C$3:$F$216,4,0)</f>
        <v>0</v>
      </c>
      <c r="AA364" s="19">
        <f t="shared" si="297"/>
        <v>0</v>
      </c>
      <c r="AB364" s="16"/>
      <c r="AC364" s="17">
        <f>VLOOKUP(AB364,'DATABASE F&amp;B'!$C$3:$F$216,2,0)</f>
        <v>0</v>
      </c>
      <c r="AD364" s="18"/>
      <c r="AE364" s="19">
        <f>VLOOKUP(AB364,'DATABASE F&amp;B'!$C$3:$F$216,4,0)</f>
        <v>0</v>
      </c>
      <c r="AF364" s="19">
        <f t="shared" si="298"/>
        <v>0</v>
      </c>
      <c r="AG364" s="16"/>
      <c r="AH364" s="17">
        <f>VLOOKUP(AG364,'DATABASE F&amp;B'!$C$3:$F$216,2,0)</f>
        <v>0</v>
      </c>
      <c r="AI364" s="18"/>
      <c r="AJ364" s="19">
        <f>VLOOKUP(AG364,'DATABASE F&amp;B'!$C$3:$F$216,4,0)</f>
        <v>0</v>
      </c>
      <c r="AK364" s="19">
        <f t="shared" si="299"/>
        <v>0</v>
      </c>
      <c r="AL364" s="16"/>
      <c r="AM364" s="17">
        <f>VLOOKUP(AL364,'DATABASE F&amp;B'!$C$3:$F$216,2,0)</f>
        <v>0</v>
      </c>
      <c r="AN364" s="18">
        <v>1</v>
      </c>
      <c r="AO364" s="19">
        <f>VLOOKUP(AL364,'DATABASE F&amp;B'!$C$3:$F$216,4,0)</f>
        <v>0</v>
      </c>
      <c r="AP364" s="19">
        <f t="shared" si="300"/>
        <v>0</v>
      </c>
      <c r="AQ364" s="16"/>
      <c r="AR364" s="17">
        <f>VLOOKUP(AQ364,'DATABASE F&amp;B'!$C$3:$F$216,2,0)</f>
        <v>0</v>
      </c>
      <c r="AS364" s="18">
        <v>1</v>
      </c>
      <c r="AT364" s="19">
        <f>VLOOKUP(AQ364,'DATABASE F&amp;B'!$C$3:$F$216,4,0)</f>
        <v>0</v>
      </c>
      <c r="AU364" s="19">
        <f t="shared" si="301"/>
        <v>0</v>
      </c>
      <c r="AV364" s="16"/>
      <c r="AW364" s="17">
        <f>VLOOKUP(AV364,'DATABASE F&amp;B'!$C$3:$F$216,2,0)</f>
        <v>0</v>
      </c>
      <c r="AX364" s="18"/>
      <c r="AY364" s="19">
        <f>VLOOKUP(AV364,'DATABASE F&amp;B'!$C$3:$F$216,4,0)</f>
        <v>0</v>
      </c>
      <c r="AZ364" s="19">
        <f t="shared" si="302"/>
        <v>0</v>
      </c>
      <c r="BA364" s="16"/>
      <c r="BB364" s="17">
        <f>VLOOKUP(BA364,'DATABASE F&amp;B'!$C$3:$F$216,2,0)</f>
        <v>0</v>
      </c>
      <c r="BC364" s="18"/>
      <c r="BD364" s="19">
        <f>VLOOKUP(BA364,'DATABASE F&amp;B'!$C$3:$F$216,4,0)</f>
        <v>0</v>
      </c>
      <c r="BE364" s="19">
        <f t="shared" si="303"/>
        <v>0</v>
      </c>
      <c r="BF364" s="16"/>
      <c r="BG364" s="17">
        <f>VLOOKUP(BF364,'DATABASE F&amp;B'!$C$3:$F$216,2,0)</f>
        <v>0</v>
      </c>
      <c r="BH364" s="18"/>
      <c r="BI364" s="19">
        <f>VLOOKUP(BF364,'DATABASE F&amp;B'!$C$3:$F$216,4,0)</f>
        <v>0</v>
      </c>
      <c r="BJ364" s="19">
        <f t="shared" si="304"/>
        <v>0</v>
      </c>
      <c r="BK364" s="16"/>
      <c r="BL364" s="17">
        <f>VLOOKUP(BK364,'DATABASE F&amp;B'!$C$3:$F$210,2,0)</f>
        <v>0</v>
      </c>
      <c r="BM364" s="18"/>
      <c r="BN364" s="19">
        <f>VLOOKUP(BK364,'DATABASE F&amp;B'!$C$3:$F$210,4,0)</f>
        <v>0</v>
      </c>
      <c r="BO364" s="19">
        <f t="shared" si="305"/>
        <v>0</v>
      </c>
      <c r="BP364" s="16"/>
      <c r="BQ364" s="17">
        <f>VLOOKUP(BP364,'DATABASE F&amp;B'!$C$3:$F$210,2,0)</f>
        <v>0</v>
      </c>
      <c r="BR364" s="18"/>
      <c r="BS364" s="19">
        <f>VLOOKUP(BP364,'DATABASE F&amp;B'!$C$3:$F$210,4,0)</f>
        <v>0</v>
      </c>
      <c r="BT364" s="19">
        <f t="shared" si="306"/>
        <v>0</v>
      </c>
      <c r="BU364" s="16"/>
      <c r="BV364" s="17">
        <f>VLOOKUP(BU364,'DATABASE F&amp;B'!$C$3:$F$210,2,0)</f>
        <v>0</v>
      </c>
      <c r="BW364" s="18"/>
      <c r="BX364" s="19">
        <f>VLOOKUP(BU364,'DATABASE F&amp;B'!$C$3:$F$210,4,0)</f>
        <v>0</v>
      </c>
      <c r="BY364" s="19">
        <f t="shared" si="307"/>
        <v>0</v>
      </c>
      <c r="BZ364" s="16"/>
      <c r="CA364" s="17">
        <f>VLOOKUP(BZ364,'DATABASE F&amp;B'!$C$3:$F$210,2,0)</f>
        <v>0</v>
      </c>
      <c r="CB364" s="18"/>
      <c r="CC364" s="19">
        <f>VLOOKUP(BZ364,'DATABASE F&amp;B'!$C$3:$F$210,4,0)</f>
        <v>0</v>
      </c>
      <c r="CD364" s="19">
        <f t="shared" si="308"/>
        <v>0</v>
      </c>
    </row>
    <row r="365" spans="1:82" ht="13.5" x14ac:dyDescent="0.25">
      <c r="A365" s="32" t="str">
        <f t="shared" si="288"/>
        <v>--20</v>
      </c>
      <c r="B365" s="22">
        <f t="shared" ref="B365:C365" si="328">B364+1</f>
        <v>361</v>
      </c>
      <c r="C365" s="22">
        <f t="shared" si="328"/>
        <v>361</v>
      </c>
      <c r="D365" s="34"/>
      <c r="E365" s="35"/>
      <c r="F365" s="35"/>
      <c r="G365" s="52"/>
      <c r="H365" s="36" t="str">
        <f t="shared" si="285"/>
        <v>RJ--361</v>
      </c>
      <c r="I365" s="36" t="str">
        <f t="shared" si="290"/>
        <v>--20</v>
      </c>
      <c r="J365" s="37" t="e">
        <f>VLOOKUP(D365,Laporan!$C$4:$D$34,2,0)</f>
        <v>#N/A</v>
      </c>
      <c r="K365" s="48"/>
      <c r="L365" s="13"/>
      <c r="M365" s="19">
        <f>SUMIF('DATABASE Room'!$B$3:$B$7,L365,'DATABASE Room'!$D$3:$D$7)</f>
        <v>0</v>
      </c>
      <c r="N365" s="13"/>
      <c r="O365" s="21">
        <f t="shared" si="291"/>
        <v>0</v>
      </c>
      <c r="P365" s="38"/>
      <c r="Q365" s="19">
        <f t="shared" si="292"/>
        <v>0</v>
      </c>
      <c r="R365" s="21">
        <f t="shared" si="293"/>
        <v>0</v>
      </c>
      <c r="S365" s="19">
        <f t="shared" si="294"/>
        <v>2</v>
      </c>
      <c r="T365" s="19">
        <f t="shared" si="295"/>
        <v>0</v>
      </c>
      <c r="U365" s="21">
        <f t="shared" si="296"/>
        <v>0</v>
      </c>
      <c r="V365" s="39"/>
      <c r="W365" s="16"/>
      <c r="X365" s="17">
        <f>VLOOKUP(W365,'DATABASE F&amp;B'!$C$3:$F$216,2,0)</f>
        <v>0</v>
      </c>
      <c r="Y365" s="18"/>
      <c r="Z365" s="19">
        <f>VLOOKUP(W365,'DATABASE F&amp;B'!$C$3:$F$216,4,0)</f>
        <v>0</v>
      </c>
      <c r="AA365" s="19">
        <f t="shared" si="297"/>
        <v>0</v>
      </c>
      <c r="AB365" s="16"/>
      <c r="AC365" s="17">
        <f>VLOOKUP(AB365,'DATABASE F&amp;B'!$C$3:$F$216,2,0)</f>
        <v>0</v>
      </c>
      <c r="AD365" s="18"/>
      <c r="AE365" s="19">
        <f>VLOOKUP(AB365,'DATABASE F&amp;B'!$C$3:$F$216,4,0)</f>
        <v>0</v>
      </c>
      <c r="AF365" s="19">
        <f t="shared" si="298"/>
        <v>0</v>
      </c>
      <c r="AG365" s="16"/>
      <c r="AH365" s="17">
        <f>VLOOKUP(AG365,'DATABASE F&amp;B'!$C$3:$F$216,2,0)</f>
        <v>0</v>
      </c>
      <c r="AI365" s="18"/>
      <c r="AJ365" s="19">
        <f>VLOOKUP(AG365,'DATABASE F&amp;B'!$C$3:$F$216,4,0)</f>
        <v>0</v>
      </c>
      <c r="AK365" s="19">
        <f t="shared" si="299"/>
        <v>0</v>
      </c>
      <c r="AL365" s="16"/>
      <c r="AM365" s="17">
        <f>VLOOKUP(AL365,'DATABASE F&amp;B'!$C$3:$F$216,2,0)</f>
        <v>0</v>
      </c>
      <c r="AN365" s="18">
        <v>1</v>
      </c>
      <c r="AO365" s="19">
        <f>VLOOKUP(AL365,'DATABASE F&amp;B'!$C$3:$F$216,4,0)</f>
        <v>0</v>
      </c>
      <c r="AP365" s="19">
        <f t="shared" si="300"/>
        <v>0</v>
      </c>
      <c r="AQ365" s="16"/>
      <c r="AR365" s="17">
        <f>VLOOKUP(AQ365,'DATABASE F&amp;B'!$C$3:$F$216,2,0)</f>
        <v>0</v>
      </c>
      <c r="AS365" s="18">
        <v>1</v>
      </c>
      <c r="AT365" s="19">
        <f>VLOOKUP(AQ365,'DATABASE F&amp;B'!$C$3:$F$216,4,0)</f>
        <v>0</v>
      </c>
      <c r="AU365" s="19">
        <f t="shared" si="301"/>
        <v>0</v>
      </c>
      <c r="AV365" s="16"/>
      <c r="AW365" s="17">
        <f>VLOOKUP(AV365,'DATABASE F&amp;B'!$C$3:$F$216,2,0)</f>
        <v>0</v>
      </c>
      <c r="AX365" s="18"/>
      <c r="AY365" s="19">
        <f>VLOOKUP(AV365,'DATABASE F&amp;B'!$C$3:$F$216,4,0)</f>
        <v>0</v>
      </c>
      <c r="AZ365" s="19">
        <f t="shared" si="302"/>
        <v>0</v>
      </c>
      <c r="BA365" s="16"/>
      <c r="BB365" s="17">
        <f>VLOOKUP(BA365,'DATABASE F&amp;B'!$C$3:$F$216,2,0)</f>
        <v>0</v>
      </c>
      <c r="BC365" s="18"/>
      <c r="BD365" s="19">
        <f>VLOOKUP(BA365,'DATABASE F&amp;B'!$C$3:$F$216,4,0)</f>
        <v>0</v>
      </c>
      <c r="BE365" s="19">
        <f t="shared" si="303"/>
        <v>0</v>
      </c>
      <c r="BF365" s="16"/>
      <c r="BG365" s="17">
        <f>VLOOKUP(BF365,'DATABASE F&amp;B'!$C$3:$F$216,2,0)</f>
        <v>0</v>
      </c>
      <c r="BH365" s="18"/>
      <c r="BI365" s="19">
        <f>VLOOKUP(BF365,'DATABASE F&amp;B'!$C$3:$F$216,4,0)</f>
        <v>0</v>
      </c>
      <c r="BJ365" s="19">
        <f t="shared" si="304"/>
        <v>0</v>
      </c>
      <c r="BK365" s="16"/>
      <c r="BL365" s="17">
        <f>VLOOKUP(BK365,'DATABASE F&amp;B'!$C$3:$F$210,2,0)</f>
        <v>0</v>
      </c>
      <c r="BM365" s="18"/>
      <c r="BN365" s="19">
        <f>VLOOKUP(BK365,'DATABASE F&amp;B'!$C$3:$F$210,4,0)</f>
        <v>0</v>
      </c>
      <c r="BO365" s="19">
        <f t="shared" si="305"/>
        <v>0</v>
      </c>
      <c r="BP365" s="16"/>
      <c r="BQ365" s="17">
        <f>VLOOKUP(BP365,'DATABASE F&amp;B'!$C$3:$F$210,2,0)</f>
        <v>0</v>
      </c>
      <c r="BR365" s="18"/>
      <c r="BS365" s="19">
        <f>VLOOKUP(BP365,'DATABASE F&amp;B'!$C$3:$F$210,4,0)</f>
        <v>0</v>
      </c>
      <c r="BT365" s="19">
        <f t="shared" si="306"/>
        <v>0</v>
      </c>
      <c r="BU365" s="16"/>
      <c r="BV365" s="17">
        <f>VLOOKUP(BU365,'DATABASE F&amp;B'!$C$3:$F$210,2,0)</f>
        <v>0</v>
      </c>
      <c r="BW365" s="18"/>
      <c r="BX365" s="19">
        <f>VLOOKUP(BU365,'DATABASE F&amp;B'!$C$3:$F$210,4,0)</f>
        <v>0</v>
      </c>
      <c r="BY365" s="19">
        <f t="shared" si="307"/>
        <v>0</v>
      </c>
      <c r="BZ365" s="16"/>
      <c r="CA365" s="17">
        <f>VLOOKUP(BZ365,'DATABASE F&amp;B'!$C$3:$F$210,2,0)</f>
        <v>0</v>
      </c>
      <c r="CB365" s="18"/>
      <c r="CC365" s="19">
        <f>VLOOKUP(BZ365,'DATABASE F&amp;B'!$C$3:$F$210,4,0)</f>
        <v>0</v>
      </c>
      <c r="CD365" s="19">
        <f t="shared" si="308"/>
        <v>0</v>
      </c>
    </row>
    <row r="366" spans="1:82" ht="13.5" x14ac:dyDescent="0.25">
      <c r="A366" s="32" t="str">
        <f t="shared" si="288"/>
        <v>--20</v>
      </c>
      <c r="B366" s="22">
        <f t="shared" ref="B366:C366" si="329">B365+1</f>
        <v>362</v>
      </c>
      <c r="C366" s="22">
        <f t="shared" si="329"/>
        <v>362</v>
      </c>
      <c r="D366" s="34"/>
      <c r="E366" s="35"/>
      <c r="F366" s="35"/>
      <c r="G366" s="52"/>
      <c r="H366" s="36" t="str">
        <f t="shared" si="285"/>
        <v>RJ--362</v>
      </c>
      <c r="I366" s="36" t="str">
        <f t="shared" si="290"/>
        <v>--20</v>
      </c>
      <c r="J366" s="37" t="e">
        <f>VLOOKUP(D366,Laporan!$C$4:$D$34,2,0)</f>
        <v>#N/A</v>
      </c>
      <c r="K366" s="48"/>
      <c r="L366" s="13"/>
      <c r="M366" s="19">
        <f>SUMIF('DATABASE Room'!$B$3:$B$7,L366,'DATABASE Room'!$D$3:$D$7)</f>
        <v>0</v>
      </c>
      <c r="N366" s="13"/>
      <c r="O366" s="21">
        <f t="shared" si="291"/>
        <v>0</v>
      </c>
      <c r="P366" s="38"/>
      <c r="Q366" s="19">
        <f t="shared" si="292"/>
        <v>0</v>
      </c>
      <c r="R366" s="21">
        <f t="shared" si="293"/>
        <v>0</v>
      </c>
      <c r="S366" s="19">
        <f t="shared" si="294"/>
        <v>2</v>
      </c>
      <c r="T366" s="19">
        <f t="shared" si="295"/>
        <v>0</v>
      </c>
      <c r="U366" s="21">
        <f t="shared" si="296"/>
        <v>0</v>
      </c>
      <c r="V366" s="39"/>
      <c r="W366" s="16"/>
      <c r="X366" s="17">
        <f>VLOOKUP(W366,'DATABASE F&amp;B'!$C$3:$F$216,2,0)</f>
        <v>0</v>
      </c>
      <c r="Y366" s="18"/>
      <c r="Z366" s="19">
        <f>VLOOKUP(W366,'DATABASE F&amp;B'!$C$3:$F$216,4,0)</f>
        <v>0</v>
      </c>
      <c r="AA366" s="19">
        <f t="shared" si="297"/>
        <v>0</v>
      </c>
      <c r="AB366" s="16"/>
      <c r="AC366" s="17">
        <f>VLOOKUP(AB366,'DATABASE F&amp;B'!$C$3:$F$216,2,0)</f>
        <v>0</v>
      </c>
      <c r="AD366" s="18"/>
      <c r="AE366" s="19">
        <f>VLOOKUP(AB366,'DATABASE F&amp;B'!$C$3:$F$216,4,0)</f>
        <v>0</v>
      </c>
      <c r="AF366" s="19">
        <f t="shared" si="298"/>
        <v>0</v>
      </c>
      <c r="AG366" s="16"/>
      <c r="AH366" s="17">
        <f>VLOOKUP(AG366,'DATABASE F&amp;B'!$C$3:$F$216,2,0)</f>
        <v>0</v>
      </c>
      <c r="AI366" s="18"/>
      <c r="AJ366" s="19">
        <f>VLOOKUP(AG366,'DATABASE F&amp;B'!$C$3:$F$216,4,0)</f>
        <v>0</v>
      </c>
      <c r="AK366" s="19">
        <f t="shared" si="299"/>
        <v>0</v>
      </c>
      <c r="AL366" s="16"/>
      <c r="AM366" s="17">
        <f>VLOOKUP(AL366,'DATABASE F&amp;B'!$C$3:$F$216,2,0)</f>
        <v>0</v>
      </c>
      <c r="AN366" s="18">
        <v>1</v>
      </c>
      <c r="AO366" s="19">
        <f>VLOOKUP(AL366,'DATABASE F&amp;B'!$C$3:$F$216,4,0)</f>
        <v>0</v>
      </c>
      <c r="AP366" s="19">
        <f t="shared" si="300"/>
        <v>0</v>
      </c>
      <c r="AQ366" s="16"/>
      <c r="AR366" s="17">
        <f>VLOOKUP(AQ366,'DATABASE F&amp;B'!$C$3:$F$216,2,0)</f>
        <v>0</v>
      </c>
      <c r="AS366" s="18">
        <v>1</v>
      </c>
      <c r="AT366" s="19">
        <f>VLOOKUP(AQ366,'DATABASE F&amp;B'!$C$3:$F$216,4,0)</f>
        <v>0</v>
      </c>
      <c r="AU366" s="19">
        <f t="shared" si="301"/>
        <v>0</v>
      </c>
      <c r="AV366" s="16"/>
      <c r="AW366" s="17">
        <f>VLOOKUP(AV366,'DATABASE F&amp;B'!$C$3:$F$216,2,0)</f>
        <v>0</v>
      </c>
      <c r="AX366" s="18"/>
      <c r="AY366" s="19">
        <f>VLOOKUP(AV366,'DATABASE F&amp;B'!$C$3:$F$216,4,0)</f>
        <v>0</v>
      </c>
      <c r="AZ366" s="19">
        <f t="shared" si="302"/>
        <v>0</v>
      </c>
      <c r="BA366" s="16"/>
      <c r="BB366" s="17">
        <f>VLOOKUP(BA366,'DATABASE F&amp;B'!$C$3:$F$216,2,0)</f>
        <v>0</v>
      </c>
      <c r="BC366" s="18"/>
      <c r="BD366" s="19">
        <f>VLOOKUP(BA366,'DATABASE F&amp;B'!$C$3:$F$216,4,0)</f>
        <v>0</v>
      </c>
      <c r="BE366" s="19">
        <f t="shared" si="303"/>
        <v>0</v>
      </c>
      <c r="BF366" s="16"/>
      <c r="BG366" s="17">
        <f>VLOOKUP(BF366,'DATABASE F&amp;B'!$C$3:$F$216,2,0)</f>
        <v>0</v>
      </c>
      <c r="BH366" s="18"/>
      <c r="BI366" s="19">
        <f>VLOOKUP(BF366,'DATABASE F&amp;B'!$C$3:$F$216,4,0)</f>
        <v>0</v>
      </c>
      <c r="BJ366" s="19">
        <f t="shared" si="304"/>
        <v>0</v>
      </c>
      <c r="BK366" s="16"/>
      <c r="BL366" s="17">
        <f>VLOOKUP(BK366,'DATABASE F&amp;B'!$C$3:$F$210,2,0)</f>
        <v>0</v>
      </c>
      <c r="BM366" s="18"/>
      <c r="BN366" s="19">
        <f>VLOOKUP(BK366,'DATABASE F&amp;B'!$C$3:$F$210,4,0)</f>
        <v>0</v>
      </c>
      <c r="BO366" s="19">
        <f t="shared" si="305"/>
        <v>0</v>
      </c>
      <c r="BP366" s="16"/>
      <c r="BQ366" s="17">
        <f>VLOOKUP(BP366,'DATABASE F&amp;B'!$C$3:$F$210,2,0)</f>
        <v>0</v>
      </c>
      <c r="BR366" s="18"/>
      <c r="BS366" s="19">
        <f>VLOOKUP(BP366,'DATABASE F&amp;B'!$C$3:$F$210,4,0)</f>
        <v>0</v>
      </c>
      <c r="BT366" s="19">
        <f t="shared" si="306"/>
        <v>0</v>
      </c>
      <c r="BU366" s="16"/>
      <c r="BV366" s="17">
        <f>VLOOKUP(BU366,'DATABASE F&amp;B'!$C$3:$F$210,2,0)</f>
        <v>0</v>
      </c>
      <c r="BW366" s="18"/>
      <c r="BX366" s="19">
        <f>VLOOKUP(BU366,'DATABASE F&amp;B'!$C$3:$F$210,4,0)</f>
        <v>0</v>
      </c>
      <c r="BY366" s="19">
        <f t="shared" si="307"/>
        <v>0</v>
      </c>
      <c r="BZ366" s="16"/>
      <c r="CA366" s="17">
        <f>VLOOKUP(BZ366,'DATABASE F&amp;B'!$C$3:$F$210,2,0)</f>
        <v>0</v>
      </c>
      <c r="CB366" s="18"/>
      <c r="CC366" s="19">
        <f>VLOOKUP(BZ366,'DATABASE F&amp;B'!$C$3:$F$210,4,0)</f>
        <v>0</v>
      </c>
      <c r="CD366" s="19">
        <f t="shared" si="308"/>
        <v>0</v>
      </c>
    </row>
    <row r="367" spans="1:82" ht="13.5" x14ac:dyDescent="0.25">
      <c r="A367" s="32" t="str">
        <f t="shared" si="288"/>
        <v>--20</v>
      </c>
      <c r="B367" s="22">
        <f t="shared" ref="B367:C367" si="330">B366+1</f>
        <v>363</v>
      </c>
      <c r="C367" s="22">
        <f t="shared" si="330"/>
        <v>363</v>
      </c>
      <c r="D367" s="34"/>
      <c r="E367" s="35"/>
      <c r="F367" s="35"/>
      <c r="G367" s="52"/>
      <c r="H367" s="36" t="str">
        <f t="shared" si="285"/>
        <v>RJ--363</v>
      </c>
      <c r="I367" s="36" t="str">
        <f t="shared" si="290"/>
        <v>--20</v>
      </c>
      <c r="J367" s="37" t="e">
        <f>VLOOKUP(D367,Laporan!$C$4:$D$34,2,0)</f>
        <v>#N/A</v>
      </c>
      <c r="K367" s="48"/>
      <c r="L367" s="13"/>
      <c r="M367" s="19">
        <f>SUMIF('DATABASE Room'!$B$3:$B$7,L367,'DATABASE Room'!$D$3:$D$7)</f>
        <v>0</v>
      </c>
      <c r="N367" s="13"/>
      <c r="O367" s="21">
        <f t="shared" si="291"/>
        <v>0</v>
      </c>
      <c r="P367" s="38"/>
      <c r="Q367" s="19">
        <f t="shared" si="292"/>
        <v>0</v>
      </c>
      <c r="R367" s="21">
        <f t="shared" si="293"/>
        <v>0</v>
      </c>
      <c r="S367" s="19">
        <f t="shared" si="294"/>
        <v>2</v>
      </c>
      <c r="T367" s="19">
        <f t="shared" si="295"/>
        <v>0</v>
      </c>
      <c r="U367" s="21">
        <f t="shared" si="296"/>
        <v>0</v>
      </c>
      <c r="V367" s="39"/>
      <c r="W367" s="16"/>
      <c r="X367" s="17">
        <f>VLOOKUP(W367,'DATABASE F&amp;B'!$C$3:$F$216,2,0)</f>
        <v>0</v>
      </c>
      <c r="Y367" s="18"/>
      <c r="Z367" s="19">
        <f>VLOOKUP(W367,'DATABASE F&amp;B'!$C$3:$F$216,4,0)</f>
        <v>0</v>
      </c>
      <c r="AA367" s="19">
        <f t="shared" si="297"/>
        <v>0</v>
      </c>
      <c r="AB367" s="16"/>
      <c r="AC367" s="17">
        <f>VLOOKUP(AB367,'DATABASE F&amp;B'!$C$3:$F$216,2,0)</f>
        <v>0</v>
      </c>
      <c r="AD367" s="18"/>
      <c r="AE367" s="19">
        <f>VLOOKUP(AB367,'DATABASE F&amp;B'!$C$3:$F$216,4,0)</f>
        <v>0</v>
      </c>
      <c r="AF367" s="19">
        <f t="shared" si="298"/>
        <v>0</v>
      </c>
      <c r="AG367" s="16"/>
      <c r="AH367" s="17">
        <f>VLOOKUP(AG367,'DATABASE F&amp;B'!$C$3:$F$216,2,0)</f>
        <v>0</v>
      </c>
      <c r="AI367" s="18"/>
      <c r="AJ367" s="19">
        <f>VLOOKUP(AG367,'DATABASE F&amp;B'!$C$3:$F$216,4,0)</f>
        <v>0</v>
      </c>
      <c r="AK367" s="19">
        <f t="shared" si="299"/>
        <v>0</v>
      </c>
      <c r="AL367" s="16"/>
      <c r="AM367" s="17">
        <f>VLOOKUP(AL367,'DATABASE F&amp;B'!$C$3:$F$216,2,0)</f>
        <v>0</v>
      </c>
      <c r="AN367" s="18">
        <v>1</v>
      </c>
      <c r="AO367" s="19">
        <f>VLOOKUP(AL367,'DATABASE F&amp;B'!$C$3:$F$216,4,0)</f>
        <v>0</v>
      </c>
      <c r="AP367" s="19">
        <f t="shared" si="300"/>
        <v>0</v>
      </c>
      <c r="AQ367" s="16"/>
      <c r="AR367" s="17">
        <f>VLOOKUP(AQ367,'DATABASE F&amp;B'!$C$3:$F$216,2,0)</f>
        <v>0</v>
      </c>
      <c r="AS367" s="18">
        <v>1</v>
      </c>
      <c r="AT367" s="19">
        <f>VLOOKUP(AQ367,'DATABASE F&amp;B'!$C$3:$F$216,4,0)</f>
        <v>0</v>
      </c>
      <c r="AU367" s="19">
        <f t="shared" si="301"/>
        <v>0</v>
      </c>
      <c r="AV367" s="16"/>
      <c r="AW367" s="17">
        <f>VLOOKUP(AV367,'DATABASE F&amp;B'!$C$3:$F$216,2,0)</f>
        <v>0</v>
      </c>
      <c r="AX367" s="18"/>
      <c r="AY367" s="19">
        <f>VLOOKUP(AV367,'DATABASE F&amp;B'!$C$3:$F$216,4,0)</f>
        <v>0</v>
      </c>
      <c r="AZ367" s="19">
        <f t="shared" si="302"/>
        <v>0</v>
      </c>
      <c r="BA367" s="16"/>
      <c r="BB367" s="17">
        <f>VLOOKUP(BA367,'DATABASE F&amp;B'!$C$3:$F$216,2,0)</f>
        <v>0</v>
      </c>
      <c r="BC367" s="18"/>
      <c r="BD367" s="19">
        <f>VLOOKUP(BA367,'DATABASE F&amp;B'!$C$3:$F$216,4,0)</f>
        <v>0</v>
      </c>
      <c r="BE367" s="19">
        <f t="shared" si="303"/>
        <v>0</v>
      </c>
      <c r="BF367" s="16"/>
      <c r="BG367" s="17">
        <f>VLOOKUP(BF367,'DATABASE F&amp;B'!$C$3:$F$216,2,0)</f>
        <v>0</v>
      </c>
      <c r="BH367" s="18"/>
      <c r="BI367" s="19">
        <f>VLOOKUP(BF367,'DATABASE F&amp;B'!$C$3:$F$216,4,0)</f>
        <v>0</v>
      </c>
      <c r="BJ367" s="19">
        <f t="shared" si="304"/>
        <v>0</v>
      </c>
      <c r="BK367" s="16"/>
      <c r="BL367" s="17">
        <f>VLOOKUP(BK367,'DATABASE F&amp;B'!$C$3:$F$210,2,0)</f>
        <v>0</v>
      </c>
      <c r="BM367" s="18"/>
      <c r="BN367" s="19">
        <f>VLOOKUP(BK367,'DATABASE F&amp;B'!$C$3:$F$210,4,0)</f>
        <v>0</v>
      </c>
      <c r="BO367" s="19">
        <f t="shared" si="305"/>
        <v>0</v>
      </c>
      <c r="BP367" s="16"/>
      <c r="BQ367" s="17">
        <f>VLOOKUP(BP367,'DATABASE F&amp;B'!$C$3:$F$210,2,0)</f>
        <v>0</v>
      </c>
      <c r="BR367" s="18"/>
      <c r="BS367" s="19">
        <f>VLOOKUP(BP367,'DATABASE F&amp;B'!$C$3:$F$210,4,0)</f>
        <v>0</v>
      </c>
      <c r="BT367" s="19">
        <f t="shared" si="306"/>
        <v>0</v>
      </c>
      <c r="BU367" s="16"/>
      <c r="BV367" s="17">
        <f>VLOOKUP(BU367,'DATABASE F&amp;B'!$C$3:$F$210,2,0)</f>
        <v>0</v>
      </c>
      <c r="BW367" s="18"/>
      <c r="BX367" s="19">
        <f>VLOOKUP(BU367,'DATABASE F&amp;B'!$C$3:$F$210,4,0)</f>
        <v>0</v>
      </c>
      <c r="BY367" s="19">
        <f t="shared" si="307"/>
        <v>0</v>
      </c>
      <c r="BZ367" s="16"/>
      <c r="CA367" s="17">
        <f>VLOOKUP(BZ367,'DATABASE F&amp;B'!$C$3:$F$210,2,0)</f>
        <v>0</v>
      </c>
      <c r="CB367" s="18"/>
      <c r="CC367" s="19">
        <f>VLOOKUP(BZ367,'DATABASE F&amp;B'!$C$3:$F$210,4,0)</f>
        <v>0</v>
      </c>
      <c r="CD367" s="19">
        <f t="shared" si="308"/>
        <v>0</v>
      </c>
    </row>
    <row r="368" spans="1:82" ht="13.5" x14ac:dyDescent="0.25">
      <c r="A368" s="32" t="str">
        <f t="shared" si="288"/>
        <v>--20</v>
      </c>
      <c r="B368" s="22">
        <f t="shared" ref="B368:C368" si="331">B367+1</f>
        <v>364</v>
      </c>
      <c r="C368" s="22">
        <f t="shared" si="331"/>
        <v>364</v>
      </c>
      <c r="D368" s="34"/>
      <c r="E368" s="35"/>
      <c r="F368" s="35"/>
      <c r="G368" s="52"/>
      <c r="H368" s="36" t="str">
        <f t="shared" si="285"/>
        <v>RJ--364</v>
      </c>
      <c r="I368" s="36" t="str">
        <f t="shared" si="290"/>
        <v>--20</v>
      </c>
      <c r="J368" s="37" t="e">
        <f>VLOOKUP(D368,Laporan!$C$4:$D$34,2,0)</f>
        <v>#N/A</v>
      </c>
      <c r="K368" s="48"/>
      <c r="L368" s="13"/>
      <c r="M368" s="19">
        <f>SUMIF('DATABASE Room'!$B$3:$B$7,L368,'DATABASE Room'!$D$3:$D$7)</f>
        <v>0</v>
      </c>
      <c r="N368" s="13"/>
      <c r="O368" s="21">
        <f t="shared" si="291"/>
        <v>0</v>
      </c>
      <c r="P368" s="38"/>
      <c r="Q368" s="19">
        <f t="shared" si="292"/>
        <v>0</v>
      </c>
      <c r="R368" s="21">
        <f t="shared" si="293"/>
        <v>0</v>
      </c>
      <c r="S368" s="19">
        <f t="shared" si="294"/>
        <v>2</v>
      </c>
      <c r="T368" s="19">
        <f t="shared" si="295"/>
        <v>0</v>
      </c>
      <c r="U368" s="21">
        <f t="shared" si="296"/>
        <v>0</v>
      </c>
      <c r="V368" s="39"/>
      <c r="W368" s="16"/>
      <c r="X368" s="17">
        <f>VLOOKUP(W368,'DATABASE F&amp;B'!$C$3:$F$216,2,0)</f>
        <v>0</v>
      </c>
      <c r="Y368" s="18"/>
      <c r="Z368" s="19">
        <f>VLOOKUP(W368,'DATABASE F&amp;B'!$C$3:$F$216,4,0)</f>
        <v>0</v>
      </c>
      <c r="AA368" s="19">
        <f t="shared" si="297"/>
        <v>0</v>
      </c>
      <c r="AB368" s="16"/>
      <c r="AC368" s="17">
        <f>VLOOKUP(AB368,'DATABASE F&amp;B'!$C$3:$F$216,2,0)</f>
        <v>0</v>
      </c>
      <c r="AD368" s="18"/>
      <c r="AE368" s="19">
        <f>VLOOKUP(AB368,'DATABASE F&amp;B'!$C$3:$F$216,4,0)</f>
        <v>0</v>
      </c>
      <c r="AF368" s="19">
        <f t="shared" si="298"/>
        <v>0</v>
      </c>
      <c r="AG368" s="16"/>
      <c r="AH368" s="17">
        <f>VLOOKUP(AG368,'DATABASE F&amp;B'!$C$3:$F$216,2,0)</f>
        <v>0</v>
      </c>
      <c r="AI368" s="18"/>
      <c r="AJ368" s="19">
        <f>VLOOKUP(AG368,'DATABASE F&amp;B'!$C$3:$F$216,4,0)</f>
        <v>0</v>
      </c>
      <c r="AK368" s="19">
        <f t="shared" si="299"/>
        <v>0</v>
      </c>
      <c r="AL368" s="16"/>
      <c r="AM368" s="17">
        <f>VLOOKUP(AL368,'DATABASE F&amp;B'!$C$3:$F$216,2,0)</f>
        <v>0</v>
      </c>
      <c r="AN368" s="18">
        <v>1</v>
      </c>
      <c r="AO368" s="19">
        <f>VLOOKUP(AL368,'DATABASE F&amp;B'!$C$3:$F$216,4,0)</f>
        <v>0</v>
      </c>
      <c r="AP368" s="19">
        <f t="shared" si="300"/>
        <v>0</v>
      </c>
      <c r="AQ368" s="16"/>
      <c r="AR368" s="17">
        <f>VLOOKUP(AQ368,'DATABASE F&amp;B'!$C$3:$F$216,2,0)</f>
        <v>0</v>
      </c>
      <c r="AS368" s="18">
        <v>1</v>
      </c>
      <c r="AT368" s="19">
        <f>VLOOKUP(AQ368,'DATABASE F&amp;B'!$C$3:$F$216,4,0)</f>
        <v>0</v>
      </c>
      <c r="AU368" s="19">
        <f t="shared" si="301"/>
        <v>0</v>
      </c>
      <c r="AV368" s="16"/>
      <c r="AW368" s="17">
        <f>VLOOKUP(AV368,'DATABASE F&amp;B'!$C$3:$F$216,2,0)</f>
        <v>0</v>
      </c>
      <c r="AX368" s="18"/>
      <c r="AY368" s="19">
        <f>VLOOKUP(AV368,'DATABASE F&amp;B'!$C$3:$F$216,4,0)</f>
        <v>0</v>
      </c>
      <c r="AZ368" s="19">
        <f t="shared" si="302"/>
        <v>0</v>
      </c>
      <c r="BA368" s="16"/>
      <c r="BB368" s="17">
        <f>VLOOKUP(BA368,'DATABASE F&amp;B'!$C$3:$F$216,2,0)</f>
        <v>0</v>
      </c>
      <c r="BC368" s="18"/>
      <c r="BD368" s="19">
        <f>VLOOKUP(BA368,'DATABASE F&amp;B'!$C$3:$F$216,4,0)</f>
        <v>0</v>
      </c>
      <c r="BE368" s="19">
        <f t="shared" si="303"/>
        <v>0</v>
      </c>
      <c r="BF368" s="16"/>
      <c r="BG368" s="17">
        <f>VLOOKUP(BF368,'DATABASE F&amp;B'!$C$3:$F$216,2,0)</f>
        <v>0</v>
      </c>
      <c r="BH368" s="18"/>
      <c r="BI368" s="19">
        <f>VLOOKUP(BF368,'DATABASE F&amp;B'!$C$3:$F$216,4,0)</f>
        <v>0</v>
      </c>
      <c r="BJ368" s="19">
        <f t="shared" si="304"/>
        <v>0</v>
      </c>
      <c r="BK368" s="16"/>
      <c r="BL368" s="17">
        <f>VLOOKUP(BK368,'DATABASE F&amp;B'!$C$3:$F$210,2,0)</f>
        <v>0</v>
      </c>
      <c r="BM368" s="18"/>
      <c r="BN368" s="19">
        <f>VLOOKUP(BK368,'DATABASE F&amp;B'!$C$3:$F$210,4,0)</f>
        <v>0</v>
      </c>
      <c r="BO368" s="19">
        <f t="shared" si="305"/>
        <v>0</v>
      </c>
      <c r="BP368" s="16"/>
      <c r="BQ368" s="17">
        <f>VLOOKUP(BP368,'DATABASE F&amp;B'!$C$3:$F$210,2,0)</f>
        <v>0</v>
      </c>
      <c r="BR368" s="18"/>
      <c r="BS368" s="19">
        <f>VLOOKUP(BP368,'DATABASE F&amp;B'!$C$3:$F$210,4,0)</f>
        <v>0</v>
      </c>
      <c r="BT368" s="19">
        <f t="shared" si="306"/>
        <v>0</v>
      </c>
      <c r="BU368" s="16"/>
      <c r="BV368" s="17">
        <f>VLOOKUP(BU368,'DATABASE F&amp;B'!$C$3:$F$210,2,0)</f>
        <v>0</v>
      </c>
      <c r="BW368" s="18"/>
      <c r="BX368" s="19">
        <f>VLOOKUP(BU368,'DATABASE F&amp;B'!$C$3:$F$210,4,0)</f>
        <v>0</v>
      </c>
      <c r="BY368" s="19">
        <f t="shared" si="307"/>
        <v>0</v>
      </c>
      <c r="BZ368" s="16"/>
      <c r="CA368" s="17">
        <f>VLOOKUP(BZ368,'DATABASE F&amp;B'!$C$3:$F$210,2,0)</f>
        <v>0</v>
      </c>
      <c r="CB368" s="18"/>
      <c r="CC368" s="19">
        <f>VLOOKUP(BZ368,'DATABASE F&amp;B'!$C$3:$F$210,4,0)</f>
        <v>0</v>
      </c>
      <c r="CD368" s="19">
        <f t="shared" si="308"/>
        <v>0</v>
      </c>
    </row>
    <row r="369" spans="1:82" ht="13.5" x14ac:dyDescent="0.25">
      <c r="A369" s="32" t="str">
        <f t="shared" si="288"/>
        <v>--20</v>
      </c>
      <c r="B369" s="22">
        <f t="shared" ref="B369:C369" si="332">B368+1</f>
        <v>365</v>
      </c>
      <c r="C369" s="22">
        <f t="shared" si="332"/>
        <v>365</v>
      </c>
      <c r="D369" s="34"/>
      <c r="E369" s="35"/>
      <c r="F369" s="35"/>
      <c r="G369" s="52"/>
      <c r="H369" s="36" t="str">
        <f t="shared" si="285"/>
        <v>RJ--365</v>
      </c>
      <c r="I369" s="36" t="str">
        <f t="shared" si="290"/>
        <v>--20</v>
      </c>
      <c r="J369" s="37" t="e">
        <f>VLOOKUP(D369,Laporan!$C$4:$D$34,2,0)</f>
        <v>#N/A</v>
      </c>
      <c r="K369" s="48"/>
      <c r="L369" s="13"/>
      <c r="M369" s="19">
        <f>SUMIF('DATABASE Room'!$B$3:$B$7,L369,'DATABASE Room'!$D$3:$D$7)</f>
        <v>0</v>
      </c>
      <c r="N369" s="13"/>
      <c r="O369" s="21">
        <f t="shared" si="291"/>
        <v>0</v>
      </c>
      <c r="P369" s="38"/>
      <c r="Q369" s="19">
        <f t="shared" si="292"/>
        <v>0</v>
      </c>
      <c r="R369" s="21">
        <f t="shared" si="293"/>
        <v>0</v>
      </c>
      <c r="S369" s="19">
        <f t="shared" si="294"/>
        <v>2</v>
      </c>
      <c r="T369" s="19">
        <f t="shared" si="295"/>
        <v>0</v>
      </c>
      <c r="U369" s="21">
        <f t="shared" si="296"/>
        <v>0</v>
      </c>
      <c r="V369" s="39"/>
      <c r="W369" s="16"/>
      <c r="X369" s="17">
        <f>VLOOKUP(W369,'DATABASE F&amp;B'!$C$3:$F$216,2,0)</f>
        <v>0</v>
      </c>
      <c r="Y369" s="18"/>
      <c r="Z369" s="19">
        <f>VLOOKUP(W369,'DATABASE F&amp;B'!$C$3:$F$216,4,0)</f>
        <v>0</v>
      </c>
      <c r="AA369" s="19">
        <f t="shared" si="297"/>
        <v>0</v>
      </c>
      <c r="AB369" s="16"/>
      <c r="AC369" s="17">
        <f>VLOOKUP(AB369,'DATABASE F&amp;B'!$C$3:$F$216,2,0)</f>
        <v>0</v>
      </c>
      <c r="AD369" s="18"/>
      <c r="AE369" s="19">
        <f>VLOOKUP(AB369,'DATABASE F&amp;B'!$C$3:$F$216,4,0)</f>
        <v>0</v>
      </c>
      <c r="AF369" s="19">
        <f t="shared" si="298"/>
        <v>0</v>
      </c>
      <c r="AG369" s="16"/>
      <c r="AH369" s="17">
        <f>VLOOKUP(AG369,'DATABASE F&amp;B'!$C$3:$F$216,2,0)</f>
        <v>0</v>
      </c>
      <c r="AI369" s="18"/>
      <c r="AJ369" s="19">
        <f>VLOOKUP(AG369,'DATABASE F&amp;B'!$C$3:$F$216,4,0)</f>
        <v>0</v>
      </c>
      <c r="AK369" s="19">
        <f t="shared" si="299"/>
        <v>0</v>
      </c>
      <c r="AL369" s="16"/>
      <c r="AM369" s="17">
        <f>VLOOKUP(AL369,'DATABASE F&amp;B'!$C$3:$F$216,2,0)</f>
        <v>0</v>
      </c>
      <c r="AN369" s="18">
        <v>1</v>
      </c>
      <c r="AO369" s="19">
        <f>VLOOKUP(AL369,'DATABASE F&amp;B'!$C$3:$F$216,4,0)</f>
        <v>0</v>
      </c>
      <c r="AP369" s="19">
        <f t="shared" si="300"/>
        <v>0</v>
      </c>
      <c r="AQ369" s="16"/>
      <c r="AR369" s="17">
        <f>VLOOKUP(AQ369,'DATABASE F&amp;B'!$C$3:$F$216,2,0)</f>
        <v>0</v>
      </c>
      <c r="AS369" s="18">
        <v>1</v>
      </c>
      <c r="AT369" s="19">
        <f>VLOOKUP(AQ369,'DATABASE F&amp;B'!$C$3:$F$216,4,0)</f>
        <v>0</v>
      </c>
      <c r="AU369" s="19">
        <f t="shared" si="301"/>
        <v>0</v>
      </c>
      <c r="AV369" s="16"/>
      <c r="AW369" s="17">
        <f>VLOOKUP(AV369,'DATABASE F&amp;B'!$C$3:$F$216,2,0)</f>
        <v>0</v>
      </c>
      <c r="AX369" s="18"/>
      <c r="AY369" s="19">
        <f>VLOOKUP(AV369,'DATABASE F&amp;B'!$C$3:$F$216,4,0)</f>
        <v>0</v>
      </c>
      <c r="AZ369" s="19">
        <f t="shared" si="302"/>
        <v>0</v>
      </c>
      <c r="BA369" s="16"/>
      <c r="BB369" s="17">
        <f>VLOOKUP(BA369,'DATABASE F&amp;B'!$C$3:$F$216,2,0)</f>
        <v>0</v>
      </c>
      <c r="BC369" s="18"/>
      <c r="BD369" s="19">
        <f>VLOOKUP(BA369,'DATABASE F&amp;B'!$C$3:$F$216,4,0)</f>
        <v>0</v>
      </c>
      <c r="BE369" s="19">
        <f t="shared" si="303"/>
        <v>0</v>
      </c>
      <c r="BF369" s="16"/>
      <c r="BG369" s="17">
        <f>VLOOKUP(BF369,'DATABASE F&amp;B'!$C$3:$F$216,2,0)</f>
        <v>0</v>
      </c>
      <c r="BH369" s="18"/>
      <c r="BI369" s="19">
        <f>VLOOKUP(BF369,'DATABASE F&amp;B'!$C$3:$F$216,4,0)</f>
        <v>0</v>
      </c>
      <c r="BJ369" s="19">
        <f t="shared" si="304"/>
        <v>0</v>
      </c>
      <c r="BK369" s="16"/>
      <c r="BL369" s="17">
        <f>VLOOKUP(BK369,'DATABASE F&amp;B'!$C$3:$F$210,2,0)</f>
        <v>0</v>
      </c>
      <c r="BM369" s="18"/>
      <c r="BN369" s="19">
        <f>VLOOKUP(BK369,'DATABASE F&amp;B'!$C$3:$F$210,4,0)</f>
        <v>0</v>
      </c>
      <c r="BO369" s="19">
        <f t="shared" si="305"/>
        <v>0</v>
      </c>
      <c r="BP369" s="16"/>
      <c r="BQ369" s="17">
        <f>VLOOKUP(BP369,'DATABASE F&amp;B'!$C$3:$F$210,2,0)</f>
        <v>0</v>
      </c>
      <c r="BR369" s="18"/>
      <c r="BS369" s="19">
        <f>VLOOKUP(BP369,'DATABASE F&amp;B'!$C$3:$F$210,4,0)</f>
        <v>0</v>
      </c>
      <c r="BT369" s="19">
        <f t="shared" si="306"/>
        <v>0</v>
      </c>
      <c r="BU369" s="16"/>
      <c r="BV369" s="17">
        <f>VLOOKUP(BU369,'DATABASE F&amp;B'!$C$3:$F$210,2,0)</f>
        <v>0</v>
      </c>
      <c r="BW369" s="18"/>
      <c r="BX369" s="19">
        <f>VLOOKUP(BU369,'DATABASE F&amp;B'!$C$3:$F$210,4,0)</f>
        <v>0</v>
      </c>
      <c r="BY369" s="19">
        <f t="shared" si="307"/>
        <v>0</v>
      </c>
      <c r="BZ369" s="16"/>
      <c r="CA369" s="17">
        <f>VLOOKUP(BZ369,'DATABASE F&amp;B'!$C$3:$F$210,2,0)</f>
        <v>0</v>
      </c>
      <c r="CB369" s="18"/>
      <c r="CC369" s="19">
        <f>VLOOKUP(BZ369,'DATABASE F&amp;B'!$C$3:$F$210,4,0)</f>
        <v>0</v>
      </c>
      <c r="CD369" s="19">
        <f t="shared" si="308"/>
        <v>0</v>
      </c>
    </row>
    <row r="370" spans="1:82" ht="13.5" x14ac:dyDescent="0.25">
      <c r="A370" s="32" t="str">
        <f t="shared" si="288"/>
        <v>--20</v>
      </c>
      <c r="B370" s="22">
        <f t="shared" ref="B370:C370" si="333">B369+1</f>
        <v>366</v>
      </c>
      <c r="C370" s="22">
        <f t="shared" si="333"/>
        <v>366</v>
      </c>
      <c r="D370" s="34"/>
      <c r="E370" s="35"/>
      <c r="F370" s="35"/>
      <c r="G370" s="52"/>
      <c r="H370" s="36" t="str">
        <f t="shared" si="285"/>
        <v>RJ--366</v>
      </c>
      <c r="I370" s="36" t="str">
        <f t="shared" si="290"/>
        <v>--20</v>
      </c>
      <c r="J370" s="37" t="e">
        <f>VLOOKUP(D370,Laporan!$C$4:$D$34,2,0)</f>
        <v>#N/A</v>
      </c>
      <c r="K370" s="48"/>
      <c r="L370" s="13"/>
      <c r="M370" s="19">
        <f>SUMIF('DATABASE Room'!$B$3:$B$7,L370,'DATABASE Room'!$D$3:$D$7)</f>
        <v>0</v>
      </c>
      <c r="N370" s="13"/>
      <c r="O370" s="21">
        <f t="shared" si="291"/>
        <v>0</v>
      </c>
      <c r="P370" s="38"/>
      <c r="Q370" s="19">
        <f t="shared" si="292"/>
        <v>0</v>
      </c>
      <c r="R370" s="21">
        <f t="shared" si="293"/>
        <v>0</v>
      </c>
      <c r="S370" s="19">
        <f t="shared" si="294"/>
        <v>2</v>
      </c>
      <c r="T370" s="19">
        <f t="shared" si="295"/>
        <v>0</v>
      </c>
      <c r="U370" s="21">
        <f t="shared" si="296"/>
        <v>0</v>
      </c>
      <c r="V370" s="39"/>
      <c r="W370" s="16"/>
      <c r="X370" s="17">
        <f>VLOOKUP(W370,'DATABASE F&amp;B'!$C$3:$F$216,2,0)</f>
        <v>0</v>
      </c>
      <c r="Y370" s="18"/>
      <c r="Z370" s="19">
        <f>VLOOKUP(W370,'DATABASE F&amp;B'!$C$3:$F$216,4,0)</f>
        <v>0</v>
      </c>
      <c r="AA370" s="19">
        <f t="shared" si="297"/>
        <v>0</v>
      </c>
      <c r="AB370" s="16"/>
      <c r="AC370" s="17">
        <f>VLOOKUP(AB370,'DATABASE F&amp;B'!$C$3:$F$216,2,0)</f>
        <v>0</v>
      </c>
      <c r="AD370" s="18"/>
      <c r="AE370" s="19">
        <f>VLOOKUP(AB370,'DATABASE F&amp;B'!$C$3:$F$216,4,0)</f>
        <v>0</v>
      </c>
      <c r="AF370" s="19">
        <f t="shared" si="298"/>
        <v>0</v>
      </c>
      <c r="AG370" s="16"/>
      <c r="AH370" s="17">
        <f>VLOOKUP(AG370,'DATABASE F&amp;B'!$C$3:$F$216,2,0)</f>
        <v>0</v>
      </c>
      <c r="AI370" s="18"/>
      <c r="AJ370" s="19">
        <f>VLOOKUP(AG370,'DATABASE F&amp;B'!$C$3:$F$216,4,0)</f>
        <v>0</v>
      </c>
      <c r="AK370" s="19">
        <f t="shared" si="299"/>
        <v>0</v>
      </c>
      <c r="AL370" s="16"/>
      <c r="AM370" s="17">
        <f>VLOOKUP(AL370,'DATABASE F&amp;B'!$C$3:$F$216,2,0)</f>
        <v>0</v>
      </c>
      <c r="AN370" s="18">
        <v>1</v>
      </c>
      <c r="AO370" s="19">
        <f>VLOOKUP(AL370,'DATABASE F&amp;B'!$C$3:$F$216,4,0)</f>
        <v>0</v>
      </c>
      <c r="AP370" s="19">
        <f t="shared" si="300"/>
        <v>0</v>
      </c>
      <c r="AQ370" s="16"/>
      <c r="AR370" s="17">
        <f>VLOOKUP(AQ370,'DATABASE F&amp;B'!$C$3:$F$216,2,0)</f>
        <v>0</v>
      </c>
      <c r="AS370" s="18">
        <v>1</v>
      </c>
      <c r="AT370" s="19">
        <f>VLOOKUP(AQ370,'DATABASE F&amp;B'!$C$3:$F$216,4,0)</f>
        <v>0</v>
      </c>
      <c r="AU370" s="19">
        <f t="shared" si="301"/>
        <v>0</v>
      </c>
      <c r="AV370" s="16"/>
      <c r="AW370" s="17">
        <f>VLOOKUP(AV370,'DATABASE F&amp;B'!$C$3:$F$216,2,0)</f>
        <v>0</v>
      </c>
      <c r="AX370" s="18"/>
      <c r="AY370" s="19">
        <f>VLOOKUP(AV370,'DATABASE F&amp;B'!$C$3:$F$216,4,0)</f>
        <v>0</v>
      </c>
      <c r="AZ370" s="19">
        <f t="shared" si="302"/>
        <v>0</v>
      </c>
      <c r="BA370" s="16"/>
      <c r="BB370" s="17">
        <f>VLOOKUP(BA370,'DATABASE F&amp;B'!$C$3:$F$216,2,0)</f>
        <v>0</v>
      </c>
      <c r="BC370" s="18"/>
      <c r="BD370" s="19">
        <f>VLOOKUP(BA370,'DATABASE F&amp;B'!$C$3:$F$216,4,0)</f>
        <v>0</v>
      </c>
      <c r="BE370" s="19">
        <f t="shared" si="303"/>
        <v>0</v>
      </c>
      <c r="BF370" s="16"/>
      <c r="BG370" s="17">
        <f>VLOOKUP(BF370,'DATABASE F&amp;B'!$C$3:$F$216,2,0)</f>
        <v>0</v>
      </c>
      <c r="BH370" s="18"/>
      <c r="BI370" s="19">
        <f>VLOOKUP(BF370,'DATABASE F&amp;B'!$C$3:$F$216,4,0)</f>
        <v>0</v>
      </c>
      <c r="BJ370" s="19">
        <f t="shared" si="304"/>
        <v>0</v>
      </c>
      <c r="BK370" s="16"/>
      <c r="BL370" s="17">
        <f>VLOOKUP(BK370,'DATABASE F&amp;B'!$C$3:$F$210,2,0)</f>
        <v>0</v>
      </c>
      <c r="BM370" s="18"/>
      <c r="BN370" s="19">
        <f>VLOOKUP(BK370,'DATABASE F&amp;B'!$C$3:$F$210,4,0)</f>
        <v>0</v>
      </c>
      <c r="BO370" s="19">
        <f t="shared" si="305"/>
        <v>0</v>
      </c>
      <c r="BP370" s="16"/>
      <c r="BQ370" s="17">
        <f>VLOOKUP(BP370,'DATABASE F&amp;B'!$C$3:$F$210,2,0)</f>
        <v>0</v>
      </c>
      <c r="BR370" s="18"/>
      <c r="BS370" s="19">
        <f>VLOOKUP(BP370,'DATABASE F&amp;B'!$C$3:$F$210,4,0)</f>
        <v>0</v>
      </c>
      <c r="BT370" s="19">
        <f t="shared" si="306"/>
        <v>0</v>
      </c>
      <c r="BU370" s="16"/>
      <c r="BV370" s="17">
        <f>VLOOKUP(BU370,'DATABASE F&amp;B'!$C$3:$F$210,2,0)</f>
        <v>0</v>
      </c>
      <c r="BW370" s="18"/>
      <c r="BX370" s="19">
        <f>VLOOKUP(BU370,'DATABASE F&amp;B'!$C$3:$F$210,4,0)</f>
        <v>0</v>
      </c>
      <c r="BY370" s="19">
        <f t="shared" si="307"/>
        <v>0</v>
      </c>
      <c r="BZ370" s="16"/>
      <c r="CA370" s="17">
        <f>VLOOKUP(BZ370,'DATABASE F&amp;B'!$C$3:$F$210,2,0)</f>
        <v>0</v>
      </c>
      <c r="CB370" s="18"/>
      <c r="CC370" s="19">
        <f>VLOOKUP(BZ370,'DATABASE F&amp;B'!$C$3:$F$210,4,0)</f>
        <v>0</v>
      </c>
      <c r="CD370" s="19">
        <f t="shared" si="308"/>
        <v>0</v>
      </c>
    </row>
    <row r="371" spans="1:82" ht="13.5" x14ac:dyDescent="0.25">
      <c r="A371" s="32" t="str">
        <f t="shared" si="288"/>
        <v>--20</v>
      </c>
      <c r="B371" s="22">
        <f t="shared" ref="B371:C371" si="334">B370+1</f>
        <v>367</v>
      </c>
      <c r="C371" s="22">
        <f t="shared" si="334"/>
        <v>367</v>
      </c>
      <c r="D371" s="34"/>
      <c r="E371" s="35"/>
      <c r="F371" s="35"/>
      <c r="G371" s="52"/>
      <c r="H371" s="36" t="str">
        <f t="shared" si="285"/>
        <v>RJ--367</v>
      </c>
      <c r="I371" s="36" t="str">
        <f t="shared" si="290"/>
        <v>--20</v>
      </c>
      <c r="J371" s="37" t="e">
        <f>VLOOKUP(D371,Laporan!$C$4:$D$34,2,0)</f>
        <v>#N/A</v>
      </c>
      <c r="K371" s="48"/>
      <c r="L371" s="13"/>
      <c r="M371" s="19">
        <f>SUMIF('DATABASE Room'!$B$3:$B$7,L371,'DATABASE Room'!$D$3:$D$7)</f>
        <v>0</v>
      </c>
      <c r="N371" s="13"/>
      <c r="O371" s="21">
        <f t="shared" si="291"/>
        <v>0</v>
      </c>
      <c r="P371" s="38"/>
      <c r="Q371" s="19">
        <f t="shared" si="292"/>
        <v>0</v>
      </c>
      <c r="R371" s="21">
        <f t="shared" si="293"/>
        <v>0</v>
      </c>
      <c r="S371" s="19">
        <f t="shared" si="294"/>
        <v>2</v>
      </c>
      <c r="T371" s="19">
        <f t="shared" si="295"/>
        <v>0</v>
      </c>
      <c r="U371" s="21">
        <f t="shared" si="296"/>
        <v>0</v>
      </c>
      <c r="V371" s="39"/>
      <c r="W371" s="16"/>
      <c r="X371" s="17">
        <f>VLOOKUP(W371,'DATABASE F&amp;B'!$C$3:$F$216,2,0)</f>
        <v>0</v>
      </c>
      <c r="Y371" s="18"/>
      <c r="Z371" s="19">
        <f>VLOOKUP(W371,'DATABASE F&amp;B'!$C$3:$F$216,4,0)</f>
        <v>0</v>
      </c>
      <c r="AA371" s="19">
        <f t="shared" si="297"/>
        <v>0</v>
      </c>
      <c r="AB371" s="16"/>
      <c r="AC371" s="17">
        <f>VLOOKUP(AB371,'DATABASE F&amp;B'!$C$3:$F$216,2,0)</f>
        <v>0</v>
      </c>
      <c r="AD371" s="18"/>
      <c r="AE371" s="19">
        <f>VLOOKUP(AB371,'DATABASE F&amp;B'!$C$3:$F$216,4,0)</f>
        <v>0</v>
      </c>
      <c r="AF371" s="19">
        <f t="shared" si="298"/>
        <v>0</v>
      </c>
      <c r="AG371" s="16"/>
      <c r="AH371" s="17">
        <f>VLOOKUP(AG371,'DATABASE F&amp;B'!$C$3:$F$216,2,0)</f>
        <v>0</v>
      </c>
      <c r="AI371" s="18"/>
      <c r="AJ371" s="19">
        <f>VLOOKUP(AG371,'DATABASE F&amp;B'!$C$3:$F$216,4,0)</f>
        <v>0</v>
      </c>
      <c r="AK371" s="19">
        <f t="shared" si="299"/>
        <v>0</v>
      </c>
      <c r="AL371" s="16"/>
      <c r="AM371" s="17">
        <f>VLOOKUP(AL371,'DATABASE F&amp;B'!$C$3:$F$216,2,0)</f>
        <v>0</v>
      </c>
      <c r="AN371" s="18">
        <v>1</v>
      </c>
      <c r="AO371" s="19">
        <f>VLOOKUP(AL371,'DATABASE F&amp;B'!$C$3:$F$216,4,0)</f>
        <v>0</v>
      </c>
      <c r="AP371" s="19">
        <f t="shared" si="300"/>
        <v>0</v>
      </c>
      <c r="AQ371" s="16"/>
      <c r="AR371" s="17">
        <f>VLOOKUP(AQ371,'DATABASE F&amp;B'!$C$3:$F$216,2,0)</f>
        <v>0</v>
      </c>
      <c r="AS371" s="18">
        <v>1</v>
      </c>
      <c r="AT371" s="19">
        <f>VLOOKUP(AQ371,'DATABASE F&amp;B'!$C$3:$F$216,4,0)</f>
        <v>0</v>
      </c>
      <c r="AU371" s="19">
        <f t="shared" si="301"/>
        <v>0</v>
      </c>
      <c r="AV371" s="16"/>
      <c r="AW371" s="17">
        <f>VLOOKUP(AV371,'DATABASE F&amp;B'!$C$3:$F$216,2,0)</f>
        <v>0</v>
      </c>
      <c r="AX371" s="18"/>
      <c r="AY371" s="19">
        <f>VLOOKUP(AV371,'DATABASE F&amp;B'!$C$3:$F$216,4,0)</f>
        <v>0</v>
      </c>
      <c r="AZ371" s="19">
        <f t="shared" si="302"/>
        <v>0</v>
      </c>
      <c r="BA371" s="16"/>
      <c r="BB371" s="17">
        <f>VLOOKUP(BA371,'DATABASE F&amp;B'!$C$3:$F$216,2,0)</f>
        <v>0</v>
      </c>
      <c r="BC371" s="18"/>
      <c r="BD371" s="19">
        <f>VLOOKUP(BA371,'DATABASE F&amp;B'!$C$3:$F$216,4,0)</f>
        <v>0</v>
      </c>
      <c r="BE371" s="19">
        <f t="shared" si="303"/>
        <v>0</v>
      </c>
      <c r="BF371" s="16"/>
      <c r="BG371" s="17">
        <f>VLOOKUP(BF371,'DATABASE F&amp;B'!$C$3:$F$216,2,0)</f>
        <v>0</v>
      </c>
      <c r="BH371" s="18"/>
      <c r="BI371" s="19">
        <f>VLOOKUP(BF371,'DATABASE F&amp;B'!$C$3:$F$216,4,0)</f>
        <v>0</v>
      </c>
      <c r="BJ371" s="19">
        <f t="shared" si="304"/>
        <v>0</v>
      </c>
      <c r="BK371" s="16"/>
      <c r="BL371" s="17">
        <f>VLOOKUP(BK371,'DATABASE F&amp;B'!$C$3:$F$210,2,0)</f>
        <v>0</v>
      </c>
      <c r="BM371" s="18"/>
      <c r="BN371" s="19">
        <f>VLOOKUP(BK371,'DATABASE F&amp;B'!$C$3:$F$210,4,0)</f>
        <v>0</v>
      </c>
      <c r="BO371" s="19">
        <f t="shared" si="305"/>
        <v>0</v>
      </c>
      <c r="BP371" s="16"/>
      <c r="BQ371" s="17">
        <f>VLOOKUP(BP371,'DATABASE F&amp;B'!$C$3:$F$210,2,0)</f>
        <v>0</v>
      </c>
      <c r="BR371" s="18"/>
      <c r="BS371" s="19">
        <f>VLOOKUP(BP371,'DATABASE F&amp;B'!$C$3:$F$210,4,0)</f>
        <v>0</v>
      </c>
      <c r="BT371" s="19">
        <f t="shared" si="306"/>
        <v>0</v>
      </c>
      <c r="BU371" s="16"/>
      <c r="BV371" s="17">
        <f>VLOOKUP(BU371,'DATABASE F&amp;B'!$C$3:$F$210,2,0)</f>
        <v>0</v>
      </c>
      <c r="BW371" s="18"/>
      <c r="BX371" s="19">
        <f>VLOOKUP(BU371,'DATABASE F&amp;B'!$C$3:$F$210,4,0)</f>
        <v>0</v>
      </c>
      <c r="BY371" s="19">
        <f t="shared" si="307"/>
        <v>0</v>
      </c>
      <c r="BZ371" s="16"/>
      <c r="CA371" s="17">
        <f>VLOOKUP(BZ371,'DATABASE F&amp;B'!$C$3:$F$210,2,0)</f>
        <v>0</v>
      </c>
      <c r="CB371" s="18"/>
      <c r="CC371" s="19">
        <f>VLOOKUP(BZ371,'DATABASE F&amp;B'!$C$3:$F$210,4,0)</f>
        <v>0</v>
      </c>
      <c r="CD371" s="19">
        <f t="shared" si="308"/>
        <v>0</v>
      </c>
    </row>
    <row r="372" spans="1:82" ht="13.5" x14ac:dyDescent="0.25">
      <c r="A372" s="32" t="str">
        <f t="shared" si="288"/>
        <v>--20</v>
      </c>
      <c r="B372" s="22">
        <f t="shared" ref="B372:C372" si="335">B371+1</f>
        <v>368</v>
      </c>
      <c r="C372" s="22">
        <f t="shared" si="335"/>
        <v>368</v>
      </c>
      <c r="D372" s="34"/>
      <c r="E372" s="35"/>
      <c r="F372" s="35"/>
      <c r="G372" s="52"/>
      <c r="H372" s="36" t="str">
        <f t="shared" si="285"/>
        <v>RJ--368</v>
      </c>
      <c r="I372" s="36" t="str">
        <f t="shared" si="290"/>
        <v>--20</v>
      </c>
      <c r="J372" s="37" t="e">
        <f>VLOOKUP(D372,Laporan!$C$4:$D$34,2,0)</f>
        <v>#N/A</v>
      </c>
      <c r="K372" s="48"/>
      <c r="L372" s="13"/>
      <c r="M372" s="19">
        <f>SUMIF('DATABASE Room'!$B$3:$B$7,L372,'DATABASE Room'!$D$3:$D$7)</f>
        <v>0</v>
      </c>
      <c r="N372" s="13"/>
      <c r="O372" s="21">
        <f t="shared" si="291"/>
        <v>0</v>
      </c>
      <c r="P372" s="38"/>
      <c r="Q372" s="19">
        <f t="shared" si="292"/>
        <v>0</v>
      </c>
      <c r="R372" s="21">
        <f t="shared" si="293"/>
        <v>0</v>
      </c>
      <c r="S372" s="19">
        <f t="shared" si="294"/>
        <v>2</v>
      </c>
      <c r="T372" s="19">
        <f t="shared" si="295"/>
        <v>0</v>
      </c>
      <c r="U372" s="21">
        <f t="shared" si="296"/>
        <v>0</v>
      </c>
      <c r="V372" s="39"/>
      <c r="W372" s="16"/>
      <c r="X372" s="17">
        <f>VLOOKUP(W372,'DATABASE F&amp;B'!$C$3:$F$216,2,0)</f>
        <v>0</v>
      </c>
      <c r="Y372" s="18"/>
      <c r="Z372" s="19">
        <f>VLOOKUP(W372,'DATABASE F&amp;B'!$C$3:$F$216,4,0)</f>
        <v>0</v>
      </c>
      <c r="AA372" s="19">
        <f t="shared" si="297"/>
        <v>0</v>
      </c>
      <c r="AB372" s="16"/>
      <c r="AC372" s="17">
        <f>VLOOKUP(AB372,'DATABASE F&amp;B'!$C$3:$F$216,2,0)</f>
        <v>0</v>
      </c>
      <c r="AD372" s="18"/>
      <c r="AE372" s="19">
        <f>VLOOKUP(AB372,'DATABASE F&amp;B'!$C$3:$F$216,4,0)</f>
        <v>0</v>
      </c>
      <c r="AF372" s="19">
        <f t="shared" si="298"/>
        <v>0</v>
      </c>
      <c r="AG372" s="16"/>
      <c r="AH372" s="17">
        <f>VLOOKUP(AG372,'DATABASE F&amp;B'!$C$3:$F$216,2,0)</f>
        <v>0</v>
      </c>
      <c r="AI372" s="18"/>
      <c r="AJ372" s="19">
        <f>VLOOKUP(AG372,'DATABASE F&amp;B'!$C$3:$F$216,4,0)</f>
        <v>0</v>
      </c>
      <c r="AK372" s="19">
        <f t="shared" si="299"/>
        <v>0</v>
      </c>
      <c r="AL372" s="16"/>
      <c r="AM372" s="17">
        <f>VLOOKUP(AL372,'DATABASE F&amp;B'!$C$3:$F$216,2,0)</f>
        <v>0</v>
      </c>
      <c r="AN372" s="18">
        <v>1</v>
      </c>
      <c r="AO372" s="19">
        <f>VLOOKUP(AL372,'DATABASE F&amp;B'!$C$3:$F$216,4,0)</f>
        <v>0</v>
      </c>
      <c r="AP372" s="19">
        <f t="shared" si="300"/>
        <v>0</v>
      </c>
      <c r="AQ372" s="16"/>
      <c r="AR372" s="17">
        <f>VLOOKUP(AQ372,'DATABASE F&amp;B'!$C$3:$F$216,2,0)</f>
        <v>0</v>
      </c>
      <c r="AS372" s="18">
        <v>1</v>
      </c>
      <c r="AT372" s="19">
        <f>VLOOKUP(AQ372,'DATABASE F&amp;B'!$C$3:$F$216,4,0)</f>
        <v>0</v>
      </c>
      <c r="AU372" s="19">
        <f t="shared" si="301"/>
        <v>0</v>
      </c>
      <c r="AV372" s="16"/>
      <c r="AW372" s="17">
        <f>VLOOKUP(AV372,'DATABASE F&amp;B'!$C$3:$F$216,2,0)</f>
        <v>0</v>
      </c>
      <c r="AX372" s="18"/>
      <c r="AY372" s="19">
        <f>VLOOKUP(AV372,'DATABASE F&amp;B'!$C$3:$F$216,4,0)</f>
        <v>0</v>
      </c>
      <c r="AZ372" s="19">
        <f t="shared" si="302"/>
        <v>0</v>
      </c>
      <c r="BA372" s="16"/>
      <c r="BB372" s="17">
        <f>VLOOKUP(BA372,'DATABASE F&amp;B'!$C$3:$F$216,2,0)</f>
        <v>0</v>
      </c>
      <c r="BC372" s="18"/>
      <c r="BD372" s="19">
        <f>VLOOKUP(BA372,'DATABASE F&amp;B'!$C$3:$F$216,4,0)</f>
        <v>0</v>
      </c>
      <c r="BE372" s="19">
        <f t="shared" si="303"/>
        <v>0</v>
      </c>
      <c r="BF372" s="16"/>
      <c r="BG372" s="17">
        <f>VLOOKUP(BF372,'DATABASE F&amp;B'!$C$3:$F$216,2,0)</f>
        <v>0</v>
      </c>
      <c r="BH372" s="18"/>
      <c r="BI372" s="19">
        <f>VLOOKUP(BF372,'DATABASE F&amp;B'!$C$3:$F$216,4,0)</f>
        <v>0</v>
      </c>
      <c r="BJ372" s="19">
        <f t="shared" si="304"/>
        <v>0</v>
      </c>
      <c r="BK372" s="16"/>
      <c r="BL372" s="17">
        <f>VLOOKUP(BK372,'DATABASE F&amp;B'!$C$3:$F$210,2,0)</f>
        <v>0</v>
      </c>
      <c r="BM372" s="18"/>
      <c r="BN372" s="19">
        <f>VLOOKUP(BK372,'DATABASE F&amp;B'!$C$3:$F$210,4,0)</f>
        <v>0</v>
      </c>
      <c r="BO372" s="19">
        <f t="shared" si="305"/>
        <v>0</v>
      </c>
      <c r="BP372" s="16"/>
      <c r="BQ372" s="17">
        <f>VLOOKUP(BP372,'DATABASE F&amp;B'!$C$3:$F$210,2,0)</f>
        <v>0</v>
      </c>
      <c r="BR372" s="18"/>
      <c r="BS372" s="19">
        <f>VLOOKUP(BP372,'DATABASE F&amp;B'!$C$3:$F$210,4,0)</f>
        <v>0</v>
      </c>
      <c r="BT372" s="19">
        <f t="shared" si="306"/>
        <v>0</v>
      </c>
      <c r="BU372" s="16"/>
      <c r="BV372" s="17">
        <f>VLOOKUP(BU372,'DATABASE F&amp;B'!$C$3:$F$210,2,0)</f>
        <v>0</v>
      </c>
      <c r="BW372" s="18"/>
      <c r="BX372" s="19">
        <f>VLOOKUP(BU372,'DATABASE F&amp;B'!$C$3:$F$210,4,0)</f>
        <v>0</v>
      </c>
      <c r="BY372" s="19">
        <f t="shared" si="307"/>
        <v>0</v>
      </c>
      <c r="BZ372" s="16"/>
      <c r="CA372" s="17">
        <f>VLOOKUP(BZ372,'DATABASE F&amp;B'!$C$3:$F$210,2,0)</f>
        <v>0</v>
      </c>
      <c r="CB372" s="18"/>
      <c r="CC372" s="19">
        <f>VLOOKUP(BZ372,'DATABASE F&amp;B'!$C$3:$F$210,4,0)</f>
        <v>0</v>
      </c>
      <c r="CD372" s="19">
        <f t="shared" si="308"/>
        <v>0</v>
      </c>
    </row>
    <row r="373" spans="1:82" ht="13.5" x14ac:dyDescent="0.25">
      <c r="A373" s="32" t="str">
        <f t="shared" si="288"/>
        <v>--20</v>
      </c>
      <c r="B373" s="22">
        <f t="shared" ref="B373:C373" si="336">B372+1</f>
        <v>369</v>
      </c>
      <c r="C373" s="22">
        <f t="shared" si="336"/>
        <v>369</v>
      </c>
      <c r="D373" s="34"/>
      <c r="E373" s="35"/>
      <c r="F373" s="35"/>
      <c r="G373" s="52"/>
      <c r="H373" s="36" t="str">
        <f t="shared" si="285"/>
        <v>RJ--369</v>
      </c>
      <c r="I373" s="36" t="str">
        <f t="shared" si="290"/>
        <v>--20</v>
      </c>
      <c r="J373" s="37" t="e">
        <f>VLOOKUP(D373,Laporan!$C$4:$D$34,2,0)</f>
        <v>#N/A</v>
      </c>
      <c r="K373" s="48"/>
      <c r="L373" s="13"/>
      <c r="M373" s="19">
        <f>SUMIF('DATABASE Room'!$B$3:$B$7,L373,'DATABASE Room'!$D$3:$D$7)</f>
        <v>0</v>
      </c>
      <c r="N373" s="13"/>
      <c r="O373" s="21">
        <f t="shared" si="291"/>
        <v>0</v>
      </c>
      <c r="P373" s="38"/>
      <c r="Q373" s="19">
        <f t="shared" si="292"/>
        <v>0</v>
      </c>
      <c r="R373" s="21">
        <f t="shared" si="293"/>
        <v>0</v>
      </c>
      <c r="S373" s="19">
        <f t="shared" si="294"/>
        <v>2</v>
      </c>
      <c r="T373" s="19">
        <f t="shared" si="295"/>
        <v>0</v>
      </c>
      <c r="U373" s="21">
        <f t="shared" si="296"/>
        <v>0</v>
      </c>
      <c r="V373" s="39"/>
      <c r="W373" s="16"/>
      <c r="X373" s="17">
        <f>VLOOKUP(W373,'DATABASE F&amp;B'!$C$3:$F$216,2,0)</f>
        <v>0</v>
      </c>
      <c r="Y373" s="18"/>
      <c r="Z373" s="19">
        <f>VLOOKUP(W373,'DATABASE F&amp;B'!$C$3:$F$216,4,0)</f>
        <v>0</v>
      </c>
      <c r="AA373" s="19">
        <f t="shared" si="297"/>
        <v>0</v>
      </c>
      <c r="AB373" s="16"/>
      <c r="AC373" s="17">
        <f>VLOOKUP(AB373,'DATABASE F&amp;B'!$C$3:$F$216,2,0)</f>
        <v>0</v>
      </c>
      <c r="AD373" s="18"/>
      <c r="AE373" s="19">
        <f>VLOOKUP(AB373,'DATABASE F&amp;B'!$C$3:$F$216,4,0)</f>
        <v>0</v>
      </c>
      <c r="AF373" s="19">
        <f t="shared" si="298"/>
        <v>0</v>
      </c>
      <c r="AG373" s="16"/>
      <c r="AH373" s="17">
        <f>VLOOKUP(AG373,'DATABASE F&amp;B'!$C$3:$F$216,2,0)</f>
        <v>0</v>
      </c>
      <c r="AI373" s="18"/>
      <c r="AJ373" s="19">
        <f>VLOOKUP(AG373,'DATABASE F&amp;B'!$C$3:$F$216,4,0)</f>
        <v>0</v>
      </c>
      <c r="AK373" s="19">
        <f t="shared" si="299"/>
        <v>0</v>
      </c>
      <c r="AL373" s="16"/>
      <c r="AM373" s="17">
        <f>VLOOKUP(AL373,'DATABASE F&amp;B'!$C$3:$F$216,2,0)</f>
        <v>0</v>
      </c>
      <c r="AN373" s="18">
        <v>1</v>
      </c>
      <c r="AO373" s="19">
        <f>VLOOKUP(AL373,'DATABASE F&amp;B'!$C$3:$F$216,4,0)</f>
        <v>0</v>
      </c>
      <c r="AP373" s="19">
        <f t="shared" si="300"/>
        <v>0</v>
      </c>
      <c r="AQ373" s="16"/>
      <c r="AR373" s="17">
        <f>VLOOKUP(AQ373,'DATABASE F&amp;B'!$C$3:$F$216,2,0)</f>
        <v>0</v>
      </c>
      <c r="AS373" s="18">
        <v>1</v>
      </c>
      <c r="AT373" s="19">
        <f>VLOOKUP(AQ373,'DATABASE F&amp;B'!$C$3:$F$216,4,0)</f>
        <v>0</v>
      </c>
      <c r="AU373" s="19">
        <f t="shared" si="301"/>
        <v>0</v>
      </c>
      <c r="AV373" s="16"/>
      <c r="AW373" s="17">
        <f>VLOOKUP(AV373,'DATABASE F&amp;B'!$C$3:$F$216,2,0)</f>
        <v>0</v>
      </c>
      <c r="AX373" s="18"/>
      <c r="AY373" s="19">
        <f>VLOOKUP(AV373,'DATABASE F&amp;B'!$C$3:$F$216,4,0)</f>
        <v>0</v>
      </c>
      <c r="AZ373" s="19">
        <f t="shared" si="302"/>
        <v>0</v>
      </c>
      <c r="BA373" s="16"/>
      <c r="BB373" s="17">
        <f>VLOOKUP(BA373,'DATABASE F&amp;B'!$C$3:$F$216,2,0)</f>
        <v>0</v>
      </c>
      <c r="BC373" s="18"/>
      <c r="BD373" s="19">
        <f>VLOOKUP(BA373,'DATABASE F&amp;B'!$C$3:$F$216,4,0)</f>
        <v>0</v>
      </c>
      <c r="BE373" s="19">
        <f t="shared" si="303"/>
        <v>0</v>
      </c>
      <c r="BF373" s="16"/>
      <c r="BG373" s="17">
        <f>VLOOKUP(BF373,'DATABASE F&amp;B'!$C$3:$F$216,2,0)</f>
        <v>0</v>
      </c>
      <c r="BH373" s="18"/>
      <c r="BI373" s="19">
        <f>VLOOKUP(BF373,'DATABASE F&amp;B'!$C$3:$F$216,4,0)</f>
        <v>0</v>
      </c>
      <c r="BJ373" s="19">
        <f t="shared" si="304"/>
        <v>0</v>
      </c>
      <c r="BK373" s="16"/>
      <c r="BL373" s="17">
        <f>VLOOKUP(BK373,'DATABASE F&amp;B'!$C$3:$F$210,2,0)</f>
        <v>0</v>
      </c>
      <c r="BM373" s="18"/>
      <c r="BN373" s="19">
        <f>VLOOKUP(BK373,'DATABASE F&amp;B'!$C$3:$F$210,4,0)</f>
        <v>0</v>
      </c>
      <c r="BO373" s="19">
        <f t="shared" si="305"/>
        <v>0</v>
      </c>
      <c r="BP373" s="16"/>
      <c r="BQ373" s="17">
        <f>VLOOKUP(BP373,'DATABASE F&amp;B'!$C$3:$F$210,2,0)</f>
        <v>0</v>
      </c>
      <c r="BR373" s="18"/>
      <c r="BS373" s="19">
        <f>VLOOKUP(BP373,'DATABASE F&amp;B'!$C$3:$F$210,4,0)</f>
        <v>0</v>
      </c>
      <c r="BT373" s="19">
        <f t="shared" si="306"/>
        <v>0</v>
      </c>
      <c r="BU373" s="16"/>
      <c r="BV373" s="17">
        <f>VLOOKUP(BU373,'DATABASE F&amp;B'!$C$3:$F$210,2,0)</f>
        <v>0</v>
      </c>
      <c r="BW373" s="18"/>
      <c r="BX373" s="19">
        <f>VLOOKUP(BU373,'DATABASE F&amp;B'!$C$3:$F$210,4,0)</f>
        <v>0</v>
      </c>
      <c r="BY373" s="19">
        <f t="shared" si="307"/>
        <v>0</v>
      </c>
      <c r="BZ373" s="16"/>
      <c r="CA373" s="17">
        <f>VLOOKUP(BZ373,'DATABASE F&amp;B'!$C$3:$F$210,2,0)</f>
        <v>0</v>
      </c>
      <c r="CB373" s="18"/>
      <c r="CC373" s="19">
        <f>VLOOKUP(BZ373,'DATABASE F&amp;B'!$C$3:$F$210,4,0)</f>
        <v>0</v>
      </c>
      <c r="CD373" s="19">
        <f t="shared" si="308"/>
        <v>0</v>
      </c>
    </row>
    <row r="374" spans="1:82" ht="13.5" x14ac:dyDescent="0.25">
      <c r="A374" s="32" t="str">
        <f t="shared" si="288"/>
        <v>--20</v>
      </c>
      <c r="B374" s="22">
        <f t="shared" ref="B374:C374" si="337">B373+1</f>
        <v>370</v>
      </c>
      <c r="C374" s="22">
        <f t="shared" si="337"/>
        <v>370</v>
      </c>
      <c r="D374" s="34"/>
      <c r="E374" s="35"/>
      <c r="F374" s="35"/>
      <c r="G374" s="52"/>
      <c r="H374" s="36" t="str">
        <f t="shared" si="285"/>
        <v>RJ--370</v>
      </c>
      <c r="I374" s="36" t="str">
        <f t="shared" si="290"/>
        <v>--20</v>
      </c>
      <c r="J374" s="37" t="e">
        <f>VLOOKUP(D374,Laporan!$C$4:$D$34,2,0)</f>
        <v>#N/A</v>
      </c>
      <c r="K374" s="48"/>
      <c r="L374" s="13"/>
      <c r="M374" s="19">
        <f>SUMIF('DATABASE Room'!$B$3:$B$7,L374,'DATABASE Room'!$D$3:$D$7)</f>
        <v>0</v>
      </c>
      <c r="N374" s="13"/>
      <c r="O374" s="21">
        <f t="shared" si="291"/>
        <v>0</v>
      </c>
      <c r="P374" s="38"/>
      <c r="Q374" s="19">
        <f t="shared" si="292"/>
        <v>0</v>
      </c>
      <c r="R374" s="21">
        <f t="shared" si="293"/>
        <v>0</v>
      </c>
      <c r="S374" s="19">
        <f t="shared" si="294"/>
        <v>2</v>
      </c>
      <c r="T374" s="19">
        <f t="shared" si="295"/>
        <v>0</v>
      </c>
      <c r="U374" s="21">
        <f t="shared" si="296"/>
        <v>0</v>
      </c>
      <c r="V374" s="39"/>
      <c r="W374" s="16"/>
      <c r="X374" s="17">
        <f>VLOOKUP(W374,'DATABASE F&amp;B'!$C$3:$F$216,2,0)</f>
        <v>0</v>
      </c>
      <c r="Y374" s="18"/>
      <c r="Z374" s="19">
        <f>VLOOKUP(W374,'DATABASE F&amp;B'!$C$3:$F$216,4,0)</f>
        <v>0</v>
      </c>
      <c r="AA374" s="19">
        <f t="shared" si="297"/>
        <v>0</v>
      </c>
      <c r="AB374" s="16"/>
      <c r="AC374" s="17">
        <f>VLOOKUP(AB374,'DATABASE F&amp;B'!$C$3:$F$216,2,0)</f>
        <v>0</v>
      </c>
      <c r="AD374" s="18"/>
      <c r="AE374" s="19">
        <f>VLOOKUP(AB374,'DATABASE F&amp;B'!$C$3:$F$216,4,0)</f>
        <v>0</v>
      </c>
      <c r="AF374" s="19">
        <f t="shared" si="298"/>
        <v>0</v>
      </c>
      <c r="AG374" s="16"/>
      <c r="AH374" s="17">
        <f>VLOOKUP(AG374,'DATABASE F&amp;B'!$C$3:$F$216,2,0)</f>
        <v>0</v>
      </c>
      <c r="AI374" s="18"/>
      <c r="AJ374" s="19">
        <f>VLOOKUP(AG374,'DATABASE F&amp;B'!$C$3:$F$216,4,0)</f>
        <v>0</v>
      </c>
      <c r="AK374" s="19">
        <f t="shared" si="299"/>
        <v>0</v>
      </c>
      <c r="AL374" s="16"/>
      <c r="AM374" s="17">
        <f>VLOOKUP(AL374,'DATABASE F&amp;B'!$C$3:$F$216,2,0)</f>
        <v>0</v>
      </c>
      <c r="AN374" s="18">
        <v>1</v>
      </c>
      <c r="AO374" s="19">
        <f>VLOOKUP(AL374,'DATABASE F&amp;B'!$C$3:$F$216,4,0)</f>
        <v>0</v>
      </c>
      <c r="AP374" s="19">
        <f t="shared" si="300"/>
        <v>0</v>
      </c>
      <c r="AQ374" s="16"/>
      <c r="AR374" s="17">
        <f>VLOOKUP(AQ374,'DATABASE F&amp;B'!$C$3:$F$216,2,0)</f>
        <v>0</v>
      </c>
      <c r="AS374" s="18">
        <v>1</v>
      </c>
      <c r="AT374" s="19">
        <f>VLOOKUP(AQ374,'DATABASE F&amp;B'!$C$3:$F$216,4,0)</f>
        <v>0</v>
      </c>
      <c r="AU374" s="19">
        <f t="shared" si="301"/>
        <v>0</v>
      </c>
      <c r="AV374" s="16"/>
      <c r="AW374" s="17">
        <f>VLOOKUP(AV374,'DATABASE F&amp;B'!$C$3:$F$216,2,0)</f>
        <v>0</v>
      </c>
      <c r="AX374" s="18"/>
      <c r="AY374" s="19">
        <f>VLOOKUP(AV374,'DATABASE F&amp;B'!$C$3:$F$216,4,0)</f>
        <v>0</v>
      </c>
      <c r="AZ374" s="19">
        <f t="shared" si="302"/>
        <v>0</v>
      </c>
      <c r="BA374" s="16"/>
      <c r="BB374" s="17">
        <f>VLOOKUP(BA374,'DATABASE F&amp;B'!$C$3:$F$216,2,0)</f>
        <v>0</v>
      </c>
      <c r="BC374" s="18"/>
      <c r="BD374" s="19">
        <f>VLOOKUP(BA374,'DATABASE F&amp;B'!$C$3:$F$216,4,0)</f>
        <v>0</v>
      </c>
      <c r="BE374" s="19">
        <f t="shared" si="303"/>
        <v>0</v>
      </c>
      <c r="BF374" s="16"/>
      <c r="BG374" s="17">
        <f>VLOOKUP(BF374,'DATABASE F&amp;B'!$C$3:$F$216,2,0)</f>
        <v>0</v>
      </c>
      <c r="BH374" s="18"/>
      <c r="BI374" s="19">
        <f>VLOOKUP(BF374,'DATABASE F&amp;B'!$C$3:$F$216,4,0)</f>
        <v>0</v>
      </c>
      <c r="BJ374" s="19">
        <f t="shared" si="304"/>
        <v>0</v>
      </c>
      <c r="BK374" s="16"/>
      <c r="BL374" s="17">
        <f>VLOOKUP(BK374,'DATABASE F&amp;B'!$C$3:$F$210,2,0)</f>
        <v>0</v>
      </c>
      <c r="BM374" s="18"/>
      <c r="BN374" s="19">
        <f>VLOOKUP(BK374,'DATABASE F&amp;B'!$C$3:$F$210,4,0)</f>
        <v>0</v>
      </c>
      <c r="BO374" s="19">
        <f t="shared" si="305"/>
        <v>0</v>
      </c>
      <c r="BP374" s="16"/>
      <c r="BQ374" s="17">
        <f>VLOOKUP(BP374,'DATABASE F&amp;B'!$C$3:$F$210,2,0)</f>
        <v>0</v>
      </c>
      <c r="BR374" s="18"/>
      <c r="BS374" s="19">
        <f>VLOOKUP(BP374,'DATABASE F&amp;B'!$C$3:$F$210,4,0)</f>
        <v>0</v>
      </c>
      <c r="BT374" s="19">
        <f t="shared" si="306"/>
        <v>0</v>
      </c>
      <c r="BU374" s="16"/>
      <c r="BV374" s="17">
        <f>VLOOKUP(BU374,'DATABASE F&amp;B'!$C$3:$F$210,2,0)</f>
        <v>0</v>
      </c>
      <c r="BW374" s="18"/>
      <c r="BX374" s="19">
        <f>VLOOKUP(BU374,'DATABASE F&amp;B'!$C$3:$F$210,4,0)</f>
        <v>0</v>
      </c>
      <c r="BY374" s="19">
        <f t="shared" si="307"/>
        <v>0</v>
      </c>
      <c r="BZ374" s="16"/>
      <c r="CA374" s="17">
        <f>VLOOKUP(BZ374,'DATABASE F&amp;B'!$C$3:$F$210,2,0)</f>
        <v>0</v>
      </c>
      <c r="CB374" s="18"/>
      <c r="CC374" s="19">
        <f>VLOOKUP(BZ374,'DATABASE F&amp;B'!$C$3:$F$210,4,0)</f>
        <v>0</v>
      </c>
      <c r="CD374" s="19">
        <f t="shared" si="308"/>
        <v>0</v>
      </c>
    </row>
    <row r="375" spans="1:82" ht="13.5" x14ac:dyDescent="0.25">
      <c r="A375" s="32" t="str">
        <f t="shared" si="288"/>
        <v>--20</v>
      </c>
      <c r="B375" s="22">
        <f t="shared" ref="B375:C375" si="338">B374+1</f>
        <v>371</v>
      </c>
      <c r="C375" s="22">
        <f t="shared" si="338"/>
        <v>371</v>
      </c>
      <c r="D375" s="34"/>
      <c r="E375" s="35"/>
      <c r="F375" s="35"/>
      <c r="G375" s="52"/>
      <c r="H375" s="36" t="str">
        <f t="shared" si="285"/>
        <v>RJ--371</v>
      </c>
      <c r="I375" s="36" t="str">
        <f t="shared" si="290"/>
        <v>--20</v>
      </c>
      <c r="J375" s="37" t="e">
        <f>VLOOKUP(D375,Laporan!$C$4:$D$34,2,0)</f>
        <v>#N/A</v>
      </c>
      <c r="K375" s="48"/>
      <c r="L375" s="13"/>
      <c r="M375" s="19">
        <f>SUMIF('DATABASE Room'!$B$3:$B$7,L375,'DATABASE Room'!$D$3:$D$7)</f>
        <v>0</v>
      </c>
      <c r="N375" s="13"/>
      <c r="O375" s="21">
        <f t="shared" si="291"/>
        <v>0</v>
      </c>
      <c r="P375" s="38"/>
      <c r="Q375" s="19">
        <f t="shared" si="292"/>
        <v>0</v>
      </c>
      <c r="R375" s="21">
        <f t="shared" si="293"/>
        <v>0</v>
      </c>
      <c r="S375" s="19">
        <f t="shared" si="294"/>
        <v>2</v>
      </c>
      <c r="T375" s="19">
        <f t="shared" si="295"/>
        <v>0</v>
      </c>
      <c r="U375" s="21">
        <f t="shared" si="296"/>
        <v>0</v>
      </c>
      <c r="V375" s="39"/>
      <c r="W375" s="16"/>
      <c r="X375" s="17">
        <f>VLOOKUP(W375,'DATABASE F&amp;B'!$C$3:$F$216,2,0)</f>
        <v>0</v>
      </c>
      <c r="Y375" s="18"/>
      <c r="Z375" s="19">
        <f>VLOOKUP(W375,'DATABASE F&amp;B'!$C$3:$F$216,4,0)</f>
        <v>0</v>
      </c>
      <c r="AA375" s="19">
        <f t="shared" si="297"/>
        <v>0</v>
      </c>
      <c r="AB375" s="16"/>
      <c r="AC375" s="17">
        <f>VLOOKUP(AB375,'DATABASE F&amp;B'!$C$3:$F$216,2,0)</f>
        <v>0</v>
      </c>
      <c r="AD375" s="18"/>
      <c r="AE375" s="19">
        <f>VLOOKUP(AB375,'DATABASE F&amp;B'!$C$3:$F$216,4,0)</f>
        <v>0</v>
      </c>
      <c r="AF375" s="19">
        <f t="shared" si="298"/>
        <v>0</v>
      </c>
      <c r="AG375" s="16"/>
      <c r="AH375" s="17">
        <f>VLOOKUP(AG375,'DATABASE F&amp;B'!$C$3:$F$216,2,0)</f>
        <v>0</v>
      </c>
      <c r="AI375" s="18"/>
      <c r="AJ375" s="19">
        <f>VLOOKUP(AG375,'DATABASE F&amp;B'!$C$3:$F$216,4,0)</f>
        <v>0</v>
      </c>
      <c r="AK375" s="19">
        <f t="shared" si="299"/>
        <v>0</v>
      </c>
      <c r="AL375" s="16"/>
      <c r="AM375" s="17">
        <f>VLOOKUP(AL375,'DATABASE F&amp;B'!$C$3:$F$216,2,0)</f>
        <v>0</v>
      </c>
      <c r="AN375" s="18">
        <v>1</v>
      </c>
      <c r="AO375" s="19">
        <f>VLOOKUP(AL375,'DATABASE F&amp;B'!$C$3:$F$216,4,0)</f>
        <v>0</v>
      </c>
      <c r="AP375" s="19">
        <f t="shared" si="300"/>
        <v>0</v>
      </c>
      <c r="AQ375" s="16"/>
      <c r="AR375" s="17">
        <f>VLOOKUP(AQ375,'DATABASE F&amp;B'!$C$3:$F$216,2,0)</f>
        <v>0</v>
      </c>
      <c r="AS375" s="18">
        <v>1</v>
      </c>
      <c r="AT375" s="19">
        <f>VLOOKUP(AQ375,'DATABASE F&amp;B'!$C$3:$F$216,4,0)</f>
        <v>0</v>
      </c>
      <c r="AU375" s="19">
        <f t="shared" si="301"/>
        <v>0</v>
      </c>
      <c r="AV375" s="16"/>
      <c r="AW375" s="17">
        <f>VLOOKUP(AV375,'DATABASE F&amp;B'!$C$3:$F$216,2,0)</f>
        <v>0</v>
      </c>
      <c r="AX375" s="18"/>
      <c r="AY375" s="19">
        <f>VLOOKUP(AV375,'DATABASE F&amp;B'!$C$3:$F$216,4,0)</f>
        <v>0</v>
      </c>
      <c r="AZ375" s="19">
        <f t="shared" si="302"/>
        <v>0</v>
      </c>
      <c r="BA375" s="16"/>
      <c r="BB375" s="17">
        <f>VLOOKUP(BA375,'DATABASE F&amp;B'!$C$3:$F$216,2,0)</f>
        <v>0</v>
      </c>
      <c r="BC375" s="18"/>
      <c r="BD375" s="19">
        <f>VLOOKUP(BA375,'DATABASE F&amp;B'!$C$3:$F$216,4,0)</f>
        <v>0</v>
      </c>
      <c r="BE375" s="19">
        <f t="shared" si="303"/>
        <v>0</v>
      </c>
      <c r="BF375" s="16"/>
      <c r="BG375" s="17">
        <f>VLOOKUP(BF375,'DATABASE F&amp;B'!$C$3:$F$216,2,0)</f>
        <v>0</v>
      </c>
      <c r="BH375" s="18"/>
      <c r="BI375" s="19">
        <f>VLOOKUP(BF375,'DATABASE F&amp;B'!$C$3:$F$216,4,0)</f>
        <v>0</v>
      </c>
      <c r="BJ375" s="19">
        <f t="shared" si="304"/>
        <v>0</v>
      </c>
      <c r="BK375" s="16"/>
      <c r="BL375" s="17">
        <f>VLOOKUP(BK375,'DATABASE F&amp;B'!$C$3:$F$210,2,0)</f>
        <v>0</v>
      </c>
      <c r="BM375" s="18"/>
      <c r="BN375" s="19">
        <f>VLOOKUP(BK375,'DATABASE F&amp;B'!$C$3:$F$210,4,0)</f>
        <v>0</v>
      </c>
      <c r="BO375" s="19">
        <f t="shared" si="305"/>
        <v>0</v>
      </c>
      <c r="BP375" s="16"/>
      <c r="BQ375" s="17">
        <f>VLOOKUP(BP375,'DATABASE F&amp;B'!$C$3:$F$210,2,0)</f>
        <v>0</v>
      </c>
      <c r="BR375" s="18"/>
      <c r="BS375" s="19">
        <f>VLOOKUP(BP375,'DATABASE F&amp;B'!$C$3:$F$210,4,0)</f>
        <v>0</v>
      </c>
      <c r="BT375" s="19">
        <f t="shared" si="306"/>
        <v>0</v>
      </c>
      <c r="BU375" s="16"/>
      <c r="BV375" s="17">
        <f>VLOOKUP(BU375,'DATABASE F&amp;B'!$C$3:$F$210,2,0)</f>
        <v>0</v>
      </c>
      <c r="BW375" s="18"/>
      <c r="BX375" s="19">
        <f>VLOOKUP(BU375,'DATABASE F&amp;B'!$C$3:$F$210,4,0)</f>
        <v>0</v>
      </c>
      <c r="BY375" s="19">
        <f t="shared" si="307"/>
        <v>0</v>
      </c>
      <c r="BZ375" s="16"/>
      <c r="CA375" s="17">
        <f>VLOOKUP(BZ375,'DATABASE F&amp;B'!$C$3:$F$210,2,0)</f>
        <v>0</v>
      </c>
      <c r="CB375" s="18"/>
      <c r="CC375" s="19">
        <f>VLOOKUP(BZ375,'DATABASE F&amp;B'!$C$3:$F$210,4,0)</f>
        <v>0</v>
      </c>
      <c r="CD375" s="19">
        <f t="shared" si="308"/>
        <v>0</v>
      </c>
    </row>
    <row r="376" spans="1:82" ht="13.5" x14ac:dyDescent="0.25">
      <c r="A376" s="32" t="str">
        <f t="shared" si="288"/>
        <v>--20</v>
      </c>
      <c r="B376" s="22">
        <f t="shared" ref="B376:C376" si="339">B375+1</f>
        <v>372</v>
      </c>
      <c r="C376" s="22">
        <f t="shared" si="339"/>
        <v>372</v>
      </c>
      <c r="D376" s="34"/>
      <c r="E376" s="35"/>
      <c r="F376" s="35"/>
      <c r="G376" s="52"/>
      <c r="H376" s="36" t="str">
        <f t="shared" si="285"/>
        <v>RJ--372</v>
      </c>
      <c r="I376" s="36" t="str">
        <f t="shared" si="290"/>
        <v>--20</v>
      </c>
      <c r="J376" s="37" t="e">
        <f>VLOOKUP(D376,Laporan!$C$4:$D$34,2,0)</f>
        <v>#N/A</v>
      </c>
      <c r="K376" s="48"/>
      <c r="L376" s="13"/>
      <c r="M376" s="19">
        <f>SUMIF('DATABASE Room'!$B$3:$B$7,L376,'DATABASE Room'!$D$3:$D$7)</f>
        <v>0</v>
      </c>
      <c r="N376" s="13"/>
      <c r="O376" s="21">
        <f t="shared" si="291"/>
        <v>0</v>
      </c>
      <c r="P376" s="38"/>
      <c r="Q376" s="19">
        <f t="shared" si="292"/>
        <v>0</v>
      </c>
      <c r="R376" s="21">
        <f t="shared" si="293"/>
        <v>0</v>
      </c>
      <c r="S376" s="19">
        <f t="shared" si="294"/>
        <v>2</v>
      </c>
      <c r="T376" s="19">
        <f t="shared" si="295"/>
        <v>0</v>
      </c>
      <c r="U376" s="21">
        <f t="shared" si="296"/>
        <v>0</v>
      </c>
      <c r="V376" s="39"/>
      <c r="W376" s="16"/>
      <c r="X376" s="17">
        <f>VLOOKUP(W376,'DATABASE F&amp;B'!$C$3:$F$216,2,0)</f>
        <v>0</v>
      </c>
      <c r="Y376" s="18"/>
      <c r="Z376" s="19">
        <f>VLOOKUP(W376,'DATABASE F&amp;B'!$C$3:$F$216,4,0)</f>
        <v>0</v>
      </c>
      <c r="AA376" s="19">
        <f t="shared" si="297"/>
        <v>0</v>
      </c>
      <c r="AB376" s="16"/>
      <c r="AC376" s="17">
        <f>VLOOKUP(AB376,'DATABASE F&amp;B'!$C$3:$F$216,2,0)</f>
        <v>0</v>
      </c>
      <c r="AD376" s="18"/>
      <c r="AE376" s="19">
        <f>VLOOKUP(AB376,'DATABASE F&amp;B'!$C$3:$F$216,4,0)</f>
        <v>0</v>
      </c>
      <c r="AF376" s="19">
        <f t="shared" si="298"/>
        <v>0</v>
      </c>
      <c r="AG376" s="16"/>
      <c r="AH376" s="17">
        <f>VLOOKUP(AG376,'DATABASE F&amp;B'!$C$3:$F$216,2,0)</f>
        <v>0</v>
      </c>
      <c r="AI376" s="18"/>
      <c r="AJ376" s="19">
        <f>VLOOKUP(AG376,'DATABASE F&amp;B'!$C$3:$F$216,4,0)</f>
        <v>0</v>
      </c>
      <c r="AK376" s="19">
        <f t="shared" si="299"/>
        <v>0</v>
      </c>
      <c r="AL376" s="16"/>
      <c r="AM376" s="17">
        <f>VLOOKUP(AL376,'DATABASE F&amp;B'!$C$3:$F$216,2,0)</f>
        <v>0</v>
      </c>
      <c r="AN376" s="18">
        <v>1</v>
      </c>
      <c r="AO376" s="19">
        <f>VLOOKUP(AL376,'DATABASE F&amp;B'!$C$3:$F$216,4,0)</f>
        <v>0</v>
      </c>
      <c r="AP376" s="19">
        <f t="shared" si="300"/>
        <v>0</v>
      </c>
      <c r="AQ376" s="16"/>
      <c r="AR376" s="17">
        <f>VLOOKUP(AQ376,'DATABASE F&amp;B'!$C$3:$F$216,2,0)</f>
        <v>0</v>
      </c>
      <c r="AS376" s="18">
        <v>1</v>
      </c>
      <c r="AT376" s="19">
        <f>VLOOKUP(AQ376,'DATABASE F&amp;B'!$C$3:$F$216,4,0)</f>
        <v>0</v>
      </c>
      <c r="AU376" s="19">
        <f t="shared" si="301"/>
        <v>0</v>
      </c>
      <c r="AV376" s="16"/>
      <c r="AW376" s="17">
        <f>VLOOKUP(AV376,'DATABASE F&amp;B'!$C$3:$F$216,2,0)</f>
        <v>0</v>
      </c>
      <c r="AX376" s="18"/>
      <c r="AY376" s="19">
        <f>VLOOKUP(AV376,'DATABASE F&amp;B'!$C$3:$F$216,4,0)</f>
        <v>0</v>
      </c>
      <c r="AZ376" s="19">
        <f t="shared" si="302"/>
        <v>0</v>
      </c>
      <c r="BA376" s="16"/>
      <c r="BB376" s="17">
        <f>VLOOKUP(BA376,'DATABASE F&amp;B'!$C$3:$F$216,2,0)</f>
        <v>0</v>
      </c>
      <c r="BC376" s="18"/>
      <c r="BD376" s="19">
        <f>VLOOKUP(BA376,'DATABASE F&amp;B'!$C$3:$F$216,4,0)</f>
        <v>0</v>
      </c>
      <c r="BE376" s="19">
        <f t="shared" si="303"/>
        <v>0</v>
      </c>
      <c r="BF376" s="16"/>
      <c r="BG376" s="17">
        <f>VLOOKUP(BF376,'DATABASE F&amp;B'!$C$3:$F$216,2,0)</f>
        <v>0</v>
      </c>
      <c r="BH376" s="18"/>
      <c r="BI376" s="19">
        <f>VLOOKUP(BF376,'DATABASE F&amp;B'!$C$3:$F$216,4,0)</f>
        <v>0</v>
      </c>
      <c r="BJ376" s="19">
        <f t="shared" si="304"/>
        <v>0</v>
      </c>
      <c r="BK376" s="16"/>
      <c r="BL376" s="17">
        <f>VLOOKUP(BK376,'DATABASE F&amp;B'!$C$3:$F$210,2,0)</f>
        <v>0</v>
      </c>
      <c r="BM376" s="18"/>
      <c r="BN376" s="19">
        <f>VLOOKUP(BK376,'DATABASE F&amp;B'!$C$3:$F$210,4,0)</f>
        <v>0</v>
      </c>
      <c r="BO376" s="19">
        <f t="shared" si="305"/>
        <v>0</v>
      </c>
      <c r="BP376" s="16"/>
      <c r="BQ376" s="17">
        <f>VLOOKUP(BP376,'DATABASE F&amp;B'!$C$3:$F$210,2,0)</f>
        <v>0</v>
      </c>
      <c r="BR376" s="18"/>
      <c r="BS376" s="19">
        <f>VLOOKUP(BP376,'DATABASE F&amp;B'!$C$3:$F$210,4,0)</f>
        <v>0</v>
      </c>
      <c r="BT376" s="19">
        <f t="shared" si="306"/>
        <v>0</v>
      </c>
      <c r="BU376" s="16"/>
      <c r="BV376" s="17">
        <f>VLOOKUP(BU376,'DATABASE F&amp;B'!$C$3:$F$210,2,0)</f>
        <v>0</v>
      </c>
      <c r="BW376" s="18"/>
      <c r="BX376" s="19">
        <f>VLOOKUP(BU376,'DATABASE F&amp;B'!$C$3:$F$210,4,0)</f>
        <v>0</v>
      </c>
      <c r="BY376" s="19">
        <f t="shared" si="307"/>
        <v>0</v>
      </c>
      <c r="BZ376" s="16"/>
      <c r="CA376" s="17">
        <f>VLOOKUP(BZ376,'DATABASE F&amp;B'!$C$3:$F$210,2,0)</f>
        <v>0</v>
      </c>
      <c r="CB376" s="18"/>
      <c r="CC376" s="19">
        <f>VLOOKUP(BZ376,'DATABASE F&amp;B'!$C$3:$F$210,4,0)</f>
        <v>0</v>
      </c>
      <c r="CD376" s="19">
        <f t="shared" si="308"/>
        <v>0</v>
      </c>
    </row>
    <row r="377" spans="1:82" ht="13.5" x14ac:dyDescent="0.25">
      <c r="A377" s="32" t="str">
        <f t="shared" si="288"/>
        <v>--20</v>
      </c>
      <c r="B377" s="22">
        <f t="shared" ref="B377:C377" si="340">B376+1</f>
        <v>373</v>
      </c>
      <c r="C377" s="22">
        <f t="shared" si="340"/>
        <v>373</v>
      </c>
      <c r="D377" s="34"/>
      <c r="E377" s="35"/>
      <c r="F377" s="35"/>
      <c r="G377" s="52"/>
      <c r="H377" s="36" t="str">
        <f t="shared" si="285"/>
        <v>RJ--373</v>
      </c>
      <c r="I377" s="36" t="str">
        <f t="shared" si="290"/>
        <v>--20</v>
      </c>
      <c r="J377" s="37" t="e">
        <f>VLOOKUP(D377,Laporan!$C$4:$D$34,2,0)</f>
        <v>#N/A</v>
      </c>
      <c r="K377" s="48"/>
      <c r="L377" s="13"/>
      <c r="M377" s="19">
        <f>SUMIF('DATABASE Room'!$B$3:$B$7,L377,'DATABASE Room'!$D$3:$D$7)</f>
        <v>0</v>
      </c>
      <c r="N377" s="13"/>
      <c r="O377" s="21">
        <f t="shared" si="291"/>
        <v>0</v>
      </c>
      <c r="P377" s="38"/>
      <c r="Q377" s="19">
        <f t="shared" si="292"/>
        <v>0</v>
      </c>
      <c r="R377" s="21">
        <f t="shared" si="293"/>
        <v>0</v>
      </c>
      <c r="S377" s="19">
        <f t="shared" si="294"/>
        <v>2</v>
      </c>
      <c r="T377" s="19">
        <f t="shared" si="295"/>
        <v>0</v>
      </c>
      <c r="U377" s="21">
        <f t="shared" si="296"/>
        <v>0</v>
      </c>
      <c r="V377" s="39"/>
      <c r="W377" s="16"/>
      <c r="X377" s="17">
        <f>VLOOKUP(W377,'DATABASE F&amp;B'!$C$3:$F$216,2,0)</f>
        <v>0</v>
      </c>
      <c r="Y377" s="18"/>
      <c r="Z377" s="19">
        <f>VLOOKUP(W377,'DATABASE F&amp;B'!$C$3:$F$216,4,0)</f>
        <v>0</v>
      </c>
      <c r="AA377" s="19">
        <f t="shared" si="297"/>
        <v>0</v>
      </c>
      <c r="AB377" s="16"/>
      <c r="AC377" s="17">
        <f>VLOOKUP(AB377,'DATABASE F&amp;B'!$C$3:$F$216,2,0)</f>
        <v>0</v>
      </c>
      <c r="AD377" s="18"/>
      <c r="AE377" s="19">
        <f>VLOOKUP(AB377,'DATABASE F&amp;B'!$C$3:$F$216,4,0)</f>
        <v>0</v>
      </c>
      <c r="AF377" s="19">
        <f t="shared" si="298"/>
        <v>0</v>
      </c>
      <c r="AG377" s="16"/>
      <c r="AH377" s="17">
        <f>VLOOKUP(AG377,'DATABASE F&amp;B'!$C$3:$F$216,2,0)</f>
        <v>0</v>
      </c>
      <c r="AI377" s="18"/>
      <c r="AJ377" s="19">
        <f>VLOOKUP(AG377,'DATABASE F&amp;B'!$C$3:$F$216,4,0)</f>
        <v>0</v>
      </c>
      <c r="AK377" s="19">
        <f t="shared" si="299"/>
        <v>0</v>
      </c>
      <c r="AL377" s="16"/>
      <c r="AM377" s="17">
        <f>VLOOKUP(AL377,'DATABASE F&amp;B'!$C$3:$F$216,2,0)</f>
        <v>0</v>
      </c>
      <c r="AN377" s="18">
        <v>1</v>
      </c>
      <c r="AO377" s="19">
        <f>VLOOKUP(AL377,'DATABASE F&amp;B'!$C$3:$F$216,4,0)</f>
        <v>0</v>
      </c>
      <c r="AP377" s="19">
        <f t="shared" si="300"/>
        <v>0</v>
      </c>
      <c r="AQ377" s="16"/>
      <c r="AR377" s="17">
        <f>VLOOKUP(AQ377,'DATABASE F&amp;B'!$C$3:$F$216,2,0)</f>
        <v>0</v>
      </c>
      <c r="AS377" s="18">
        <v>1</v>
      </c>
      <c r="AT377" s="19">
        <f>VLOOKUP(AQ377,'DATABASE F&amp;B'!$C$3:$F$216,4,0)</f>
        <v>0</v>
      </c>
      <c r="AU377" s="19">
        <f t="shared" si="301"/>
        <v>0</v>
      </c>
      <c r="AV377" s="16"/>
      <c r="AW377" s="17">
        <f>VLOOKUP(AV377,'DATABASE F&amp;B'!$C$3:$F$216,2,0)</f>
        <v>0</v>
      </c>
      <c r="AX377" s="18"/>
      <c r="AY377" s="19">
        <f>VLOOKUP(AV377,'DATABASE F&amp;B'!$C$3:$F$216,4,0)</f>
        <v>0</v>
      </c>
      <c r="AZ377" s="19">
        <f t="shared" si="302"/>
        <v>0</v>
      </c>
      <c r="BA377" s="16"/>
      <c r="BB377" s="17">
        <f>VLOOKUP(BA377,'DATABASE F&amp;B'!$C$3:$F$216,2,0)</f>
        <v>0</v>
      </c>
      <c r="BC377" s="18"/>
      <c r="BD377" s="19">
        <f>VLOOKUP(BA377,'DATABASE F&amp;B'!$C$3:$F$216,4,0)</f>
        <v>0</v>
      </c>
      <c r="BE377" s="19">
        <f t="shared" si="303"/>
        <v>0</v>
      </c>
      <c r="BF377" s="16"/>
      <c r="BG377" s="17">
        <f>VLOOKUP(BF377,'DATABASE F&amp;B'!$C$3:$F$216,2,0)</f>
        <v>0</v>
      </c>
      <c r="BH377" s="18"/>
      <c r="BI377" s="19">
        <f>VLOOKUP(BF377,'DATABASE F&amp;B'!$C$3:$F$216,4,0)</f>
        <v>0</v>
      </c>
      <c r="BJ377" s="19">
        <f t="shared" si="304"/>
        <v>0</v>
      </c>
      <c r="BK377" s="16"/>
      <c r="BL377" s="17">
        <f>VLOOKUP(BK377,'DATABASE F&amp;B'!$C$3:$F$210,2,0)</f>
        <v>0</v>
      </c>
      <c r="BM377" s="18"/>
      <c r="BN377" s="19">
        <f>VLOOKUP(BK377,'DATABASE F&amp;B'!$C$3:$F$210,4,0)</f>
        <v>0</v>
      </c>
      <c r="BO377" s="19">
        <f t="shared" si="305"/>
        <v>0</v>
      </c>
      <c r="BP377" s="16"/>
      <c r="BQ377" s="17">
        <f>VLOOKUP(BP377,'DATABASE F&amp;B'!$C$3:$F$210,2,0)</f>
        <v>0</v>
      </c>
      <c r="BR377" s="18"/>
      <c r="BS377" s="19">
        <f>VLOOKUP(BP377,'DATABASE F&amp;B'!$C$3:$F$210,4,0)</f>
        <v>0</v>
      </c>
      <c r="BT377" s="19">
        <f t="shared" si="306"/>
        <v>0</v>
      </c>
      <c r="BU377" s="16"/>
      <c r="BV377" s="17">
        <f>VLOOKUP(BU377,'DATABASE F&amp;B'!$C$3:$F$210,2,0)</f>
        <v>0</v>
      </c>
      <c r="BW377" s="18"/>
      <c r="BX377" s="19">
        <f>VLOOKUP(BU377,'DATABASE F&amp;B'!$C$3:$F$210,4,0)</f>
        <v>0</v>
      </c>
      <c r="BY377" s="19">
        <f t="shared" si="307"/>
        <v>0</v>
      </c>
      <c r="BZ377" s="16"/>
      <c r="CA377" s="17">
        <f>VLOOKUP(BZ377,'DATABASE F&amp;B'!$C$3:$F$210,2,0)</f>
        <v>0</v>
      </c>
      <c r="CB377" s="18"/>
      <c r="CC377" s="19">
        <f>VLOOKUP(BZ377,'DATABASE F&amp;B'!$C$3:$F$210,4,0)</f>
        <v>0</v>
      </c>
      <c r="CD377" s="19">
        <f t="shared" si="308"/>
        <v>0</v>
      </c>
    </row>
    <row r="378" spans="1:82" ht="13.5" x14ac:dyDescent="0.25">
      <c r="A378" s="32" t="str">
        <f t="shared" si="288"/>
        <v>--20</v>
      </c>
      <c r="B378" s="22">
        <f t="shared" ref="B378:C378" si="341">B377+1</f>
        <v>374</v>
      </c>
      <c r="C378" s="22">
        <f t="shared" si="341"/>
        <v>374</v>
      </c>
      <c r="D378" s="34"/>
      <c r="E378" s="35"/>
      <c r="F378" s="35"/>
      <c r="G378" s="52"/>
      <c r="H378" s="36" t="str">
        <f t="shared" si="285"/>
        <v>RJ--374</v>
      </c>
      <c r="I378" s="36" t="str">
        <f t="shared" si="290"/>
        <v>--20</v>
      </c>
      <c r="J378" s="37" t="e">
        <f>VLOOKUP(D378,Laporan!$C$4:$D$34,2,0)</f>
        <v>#N/A</v>
      </c>
      <c r="K378" s="48"/>
      <c r="L378" s="13"/>
      <c r="M378" s="19">
        <f>SUMIF('DATABASE Room'!$B$3:$B$7,L378,'DATABASE Room'!$D$3:$D$7)</f>
        <v>0</v>
      </c>
      <c r="N378" s="13"/>
      <c r="O378" s="21">
        <f t="shared" si="291"/>
        <v>0</v>
      </c>
      <c r="P378" s="38"/>
      <c r="Q378" s="19">
        <f t="shared" si="292"/>
        <v>0</v>
      </c>
      <c r="R378" s="21">
        <f t="shared" si="293"/>
        <v>0</v>
      </c>
      <c r="S378" s="19">
        <f t="shared" si="294"/>
        <v>2</v>
      </c>
      <c r="T378" s="19">
        <f t="shared" si="295"/>
        <v>0</v>
      </c>
      <c r="U378" s="21">
        <f t="shared" si="296"/>
        <v>0</v>
      </c>
      <c r="V378" s="39"/>
      <c r="W378" s="16"/>
      <c r="X378" s="17">
        <f>VLOOKUP(W378,'DATABASE F&amp;B'!$C$3:$F$216,2,0)</f>
        <v>0</v>
      </c>
      <c r="Y378" s="18"/>
      <c r="Z378" s="19">
        <f>VLOOKUP(W378,'DATABASE F&amp;B'!$C$3:$F$216,4,0)</f>
        <v>0</v>
      </c>
      <c r="AA378" s="19">
        <f t="shared" si="297"/>
        <v>0</v>
      </c>
      <c r="AB378" s="16"/>
      <c r="AC378" s="17">
        <f>VLOOKUP(AB378,'DATABASE F&amp;B'!$C$3:$F$216,2,0)</f>
        <v>0</v>
      </c>
      <c r="AD378" s="18"/>
      <c r="AE378" s="19">
        <f>VLOOKUP(AB378,'DATABASE F&amp;B'!$C$3:$F$216,4,0)</f>
        <v>0</v>
      </c>
      <c r="AF378" s="19">
        <f t="shared" si="298"/>
        <v>0</v>
      </c>
      <c r="AG378" s="16"/>
      <c r="AH378" s="17">
        <f>VLOOKUP(AG378,'DATABASE F&amp;B'!$C$3:$F$216,2,0)</f>
        <v>0</v>
      </c>
      <c r="AI378" s="18"/>
      <c r="AJ378" s="19">
        <f>VLOOKUP(AG378,'DATABASE F&amp;B'!$C$3:$F$216,4,0)</f>
        <v>0</v>
      </c>
      <c r="AK378" s="19">
        <f t="shared" si="299"/>
        <v>0</v>
      </c>
      <c r="AL378" s="16"/>
      <c r="AM378" s="17">
        <f>VLOOKUP(AL378,'DATABASE F&amp;B'!$C$3:$F$216,2,0)</f>
        <v>0</v>
      </c>
      <c r="AN378" s="18">
        <v>1</v>
      </c>
      <c r="AO378" s="19">
        <f>VLOOKUP(AL378,'DATABASE F&amp;B'!$C$3:$F$216,4,0)</f>
        <v>0</v>
      </c>
      <c r="AP378" s="19">
        <f t="shared" si="300"/>
        <v>0</v>
      </c>
      <c r="AQ378" s="16"/>
      <c r="AR378" s="17">
        <f>VLOOKUP(AQ378,'DATABASE F&amp;B'!$C$3:$F$216,2,0)</f>
        <v>0</v>
      </c>
      <c r="AS378" s="18">
        <v>1</v>
      </c>
      <c r="AT378" s="19">
        <f>VLOOKUP(AQ378,'DATABASE F&amp;B'!$C$3:$F$216,4,0)</f>
        <v>0</v>
      </c>
      <c r="AU378" s="19">
        <f t="shared" si="301"/>
        <v>0</v>
      </c>
      <c r="AV378" s="16"/>
      <c r="AW378" s="17">
        <f>VLOOKUP(AV378,'DATABASE F&amp;B'!$C$3:$F$216,2,0)</f>
        <v>0</v>
      </c>
      <c r="AX378" s="18"/>
      <c r="AY378" s="19">
        <f>VLOOKUP(AV378,'DATABASE F&amp;B'!$C$3:$F$216,4,0)</f>
        <v>0</v>
      </c>
      <c r="AZ378" s="19">
        <f t="shared" si="302"/>
        <v>0</v>
      </c>
      <c r="BA378" s="16"/>
      <c r="BB378" s="17">
        <f>VLOOKUP(BA378,'DATABASE F&amp;B'!$C$3:$F$216,2,0)</f>
        <v>0</v>
      </c>
      <c r="BC378" s="18"/>
      <c r="BD378" s="19">
        <f>VLOOKUP(BA378,'DATABASE F&amp;B'!$C$3:$F$216,4,0)</f>
        <v>0</v>
      </c>
      <c r="BE378" s="19">
        <f t="shared" si="303"/>
        <v>0</v>
      </c>
      <c r="BF378" s="16"/>
      <c r="BG378" s="17">
        <f>VLOOKUP(BF378,'DATABASE F&amp;B'!$C$3:$F$216,2,0)</f>
        <v>0</v>
      </c>
      <c r="BH378" s="18"/>
      <c r="BI378" s="19">
        <f>VLOOKUP(BF378,'DATABASE F&amp;B'!$C$3:$F$216,4,0)</f>
        <v>0</v>
      </c>
      <c r="BJ378" s="19">
        <f t="shared" si="304"/>
        <v>0</v>
      </c>
      <c r="BK378" s="16"/>
      <c r="BL378" s="17">
        <f>VLOOKUP(BK378,'DATABASE F&amp;B'!$C$3:$F$210,2,0)</f>
        <v>0</v>
      </c>
      <c r="BM378" s="18"/>
      <c r="BN378" s="19">
        <f>VLOOKUP(BK378,'DATABASE F&amp;B'!$C$3:$F$210,4,0)</f>
        <v>0</v>
      </c>
      <c r="BO378" s="19">
        <f t="shared" si="305"/>
        <v>0</v>
      </c>
      <c r="BP378" s="16"/>
      <c r="BQ378" s="17">
        <f>VLOOKUP(BP378,'DATABASE F&amp;B'!$C$3:$F$210,2,0)</f>
        <v>0</v>
      </c>
      <c r="BR378" s="18"/>
      <c r="BS378" s="19">
        <f>VLOOKUP(BP378,'DATABASE F&amp;B'!$C$3:$F$210,4,0)</f>
        <v>0</v>
      </c>
      <c r="BT378" s="19">
        <f t="shared" si="306"/>
        <v>0</v>
      </c>
      <c r="BU378" s="16"/>
      <c r="BV378" s="17">
        <f>VLOOKUP(BU378,'DATABASE F&amp;B'!$C$3:$F$210,2,0)</f>
        <v>0</v>
      </c>
      <c r="BW378" s="18"/>
      <c r="BX378" s="19">
        <f>VLOOKUP(BU378,'DATABASE F&amp;B'!$C$3:$F$210,4,0)</f>
        <v>0</v>
      </c>
      <c r="BY378" s="19">
        <f t="shared" si="307"/>
        <v>0</v>
      </c>
      <c r="BZ378" s="16"/>
      <c r="CA378" s="17">
        <f>VLOOKUP(BZ378,'DATABASE F&amp;B'!$C$3:$F$210,2,0)</f>
        <v>0</v>
      </c>
      <c r="CB378" s="18"/>
      <c r="CC378" s="19">
        <f>VLOOKUP(BZ378,'DATABASE F&amp;B'!$C$3:$F$210,4,0)</f>
        <v>0</v>
      </c>
      <c r="CD378" s="19">
        <f t="shared" si="308"/>
        <v>0</v>
      </c>
    </row>
    <row r="379" spans="1:82" ht="13.5" x14ac:dyDescent="0.25">
      <c r="A379" s="32" t="str">
        <f t="shared" si="288"/>
        <v>--20</v>
      </c>
      <c r="B379" s="22">
        <f t="shared" ref="B379:C379" si="342">B378+1</f>
        <v>375</v>
      </c>
      <c r="C379" s="22">
        <f t="shared" si="342"/>
        <v>375</v>
      </c>
      <c r="D379" s="34"/>
      <c r="E379" s="35"/>
      <c r="F379" s="35"/>
      <c r="G379" s="52"/>
      <c r="H379" s="36" t="str">
        <f t="shared" si="285"/>
        <v>RJ--375</v>
      </c>
      <c r="I379" s="36" t="str">
        <f t="shared" si="290"/>
        <v>--20</v>
      </c>
      <c r="J379" s="37" t="e">
        <f>VLOOKUP(D379,Laporan!$C$4:$D$34,2,0)</f>
        <v>#N/A</v>
      </c>
      <c r="K379" s="48"/>
      <c r="L379" s="13"/>
      <c r="M379" s="19">
        <f>SUMIF('DATABASE Room'!$B$3:$B$7,L379,'DATABASE Room'!$D$3:$D$7)</f>
        <v>0</v>
      </c>
      <c r="N379" s="13"/>
      <c r="O379" s="21">
        <f t="shared" si="291"/>
        <v>0</v>
      </c>
      <c r="P379" s="38"/>
      <c r="Q379" s="19">
        <f t="shared" si="292"/>
        <v>0</v>
      </c>
      <c r="R379" s="21">
        <f t="shared" si="293"/>
        <v>0</v>
      </c>
      <c r="S379" s="19">
        <f t="shared" si="294"/>
        <v>2</v>
      </c>
      <c r="T379" s="19">
        <f t="shared" si="295"/>
        <v>0</v>
      </c>
      <c r="U379" s="21">
        <f t="shared" si="296"/>
        <v>0</v>
      </c>
      <c r="V379" s="39"/>
      <c r="W379" s="16"/>
      <c r="X379" s="17">
        <f>VLOOKUP(W379,'DATABASE F&amp;B'!$C$3:$F$216,2,0)</f>
        <v>0</v>
      </c>
      <c r="Y379" s="18"/>
      <c r="Z379" s="19">
        <f>VLOOKUP(W379,'DATABASE F&amp;B'!$C$3:$F$216,4,0)</f>
        <v>0</v>
      </c>
      <c r="AA379" s="19">
        <f t="shared" si="297"/>
        <v>0</v>
      </c>
      <c r="AB379" s="16"/>
      <c r="AC379" s="17">
        <f>VLOOKUP(AB379,'DATABASE F&amp;B'!$C$3:$F$216,2,0)</f>
        <v>0</v>
      </c>
      <c r="AD379" s="18"/>
      <c r="AE379" s="19">
        <f>VLOOKUP(AB379,'DATABASE F&amp;B'!$C$3:$F$216,4,0)</f>
        <v>0</v>
      </c>
      <c r="AF379" s="19">
        <f t="shared" si="298"/>
        <v>0</v>
      </c>
      <c r="AG379" s="16"/>
      <c r="AH379" s="17">
        <f>VLOOKUP(AG379,'DATABASE F&amp;B'!$C$3:$F$216,2,0)</f>
        <v>0</v>
      </c>
      <c r="AI379" s="18"/>
      <c r="AJ379" s="19">
        <f>VLOOKUP(AG379,'DATABASE F&amp;B'!$C$3:$F$216,4,0)</f>
        <v>0</v>
      </c>
      <c r="AK379" s="19">
        <f t="shared" si="299"/>
        <v>0</v>
      </c>
      <c r="AL379" s="16"/>
      <c r="AM379" s="17">
        <f>VLOOKUP(AL379,'DATABASE F&amp;B'!$C$3:$F$216,2,0)</f>
        <v>0</v>
      </c>
      <c r="AN379" s="18">
        <v>1</v>
      </c>
      <c r="AO379" s="19">
        <f>VLOOKUP(AL379,'DATABASE F&amp;B'!$C$3:$F$216,4,0)</f>
        <v>0</v>
      </c>
      <c r="AP379" s="19">
        <f t="shared" si="300"/>
        <v>0</v>
      </c>
      <c r="AQ379" s="16"/>
      <c r="AR379" s="17">
        <f>VLOOKUP(AQ379,'DATABASE F&amp;B'!$C$3:$F$216,2,0)</f>
        <v>0</v>
      </c>
      <c r="AS379" s="18">
        <v>1</v>
      </c>
      <c r="AT379" s="19">
        <f>VLOOKUP(AQ379,'DATABASE F&amp;B'!$C$3:$F$216,4,0)</f>
        <v>0</v>
      </c>
      <c r="AU379" s="19">
        <f t="shared" si="301"/>
        <v>0</v>
      </c>
      <c r="AV379" s="16"/>
      <c r="AW379" s="17">
        <f>VLOOKUP(AV379,'DATABASE F&amp;B'!$C$3:$F$216,2,0)</f>
        <v>0</v>
      </c>
      <c r="AX379" s="18"/>
      <c r="AY379" s="19">
        <f>VLOOKUP(AV379,'DATABASE F&amp;B'!$C$3:$F$216,4,0)</f>
        <v>0</v>
      </c>
      <c r="AZ379" s="19">
        <f t="shared" si="302"/>
        <v>0</v>
      </c>
      <c r="BA379" s="16"/>
      <c r="BB379" s="17">
        <f>VLOOKUP(BA379,'DATABASE F&amp;B'!$C$3:$F$216,2,0)</f>
        <v>0</v>
      </c>
      <c r="BC379" s="18"/>
      <c r="BD379" s="19">
        <f>VLOOKUP(BA379,'DATABASE F&amp;B'!$C$3:$F$216,4,0)</f>
        <v>0</v>
      </c>
      <c r="BE379" s="19">
        <f t="shared" si="303"/>
        <v>0</v>
      </c>
      <c r="BF379" s="16"/>
      <c r="BG379" s="17">
        <f>VLOOKUP(BF379,'DATABASE F&amp;B'!$C$3:$F$216,2,0)</f>
        <v>0</v>
      </c>
      <c r="BH379" s="18"/>
      <c r="BI379" s="19">
        <f>VLOOKUP(BF379,'DATABASE F&amp;B'!$C$3:$F$216,4,0)</f>
        <v>0</v>
      </c>
      <c r="BJ379" s="19">
        <f t="shared" si="304"/>
        <v>0</v>
      </c>
      <c r="BK379" s="16"/>
      <c r="BL379" s="17">
        <f>VLOOKUP(BK379,'DATABASE F&amp;B'!$C$3:$F$210,2,0)</f>
        <v>0</v>
      </c>
      <c r="BM379" s="18"/>
      <c r="BN379" s="19">
        <f>VLOOKUP(BK379,'DATABASE F&amp;B'!$C$3:$F$210,4,0)</f>
        <v>0</v>
      </c>
      <c r="BO379" s="19">
        <f t="shared" si="305"/>
        <v>0</v>
      </c>
      <c r="BP379" s="16"/>
      <c r="BQ379" s="17">
        <f>VLOOKUP(BP379,'DATABASE F&amp;B'!$C$3:$F$210,2,0)</f>
        <v>0</v>
      </c>
      <c r="BR379" s="18"/>
      <c r="BS379" s="19">
        <f>VLOOKUP(BP379,'DATABASE F&amp;B'!$C$3:$F$210,4,0)</f>
        <v>0</v>
      </c>
      <c r="BT379" s="19">
        <f t="shared" si="306"/>
        <v>0</v>
      </c>
      <c r="BU379" s="16"/>
      <c r="BV379" s="17">
        <f>VLOOKUP(BU379,'DATABASE F&amp;B'!$C$3:$F$210,2,0)</f>
        <v>0</v>
      </c>
      <c r="BW379" s="18"/>
      <c r="BX379" s="19">
        <f>VLOOKUP(BU379,'DATABASE F&amp;B'!$C$3:$F$210,4,0)</f>
        <v>0</v>
      </c>
      <c r="BY379" s="19">
        <f t="shared" si="307"/>
        <v>0</v>
      </c>
      <c r="BZ379" s="16"/>
      <c r="CA379" s="17">
        <f>VLOOKUP(BZ379,'DATABASE F&amp;B'!$C$3:$F$210,2,0)</f>
        <v>0</v>
      </c>
      <c r="CB379" s="18"/>
      <c r="CC379" s="19">
        <f>VLOOKUP(BZ379,'DATABASE F&amp;B'!$C$3:$F$210,4,0)</f>
        <v>0</v>
      </c>
      <c r="CD379" s="19">
        <f t="shared" si="308"/>
        <v>0</v>
      </c>
    </row>
    <row r="380" spans="1:82" ht="13.5" x14ac:dyDescent="0.25">
      <c r="A380" s="32" t="str">
        <f t="shared" si="288"/>
        <v>--20</v>
      </c>
      <c r="B380" s="22">
        <f t="shared" ref="B380:C380" si="343">B379+1</f>
        <v>376</v>
      </c>
      <c r="C380" s="22">
        <f t="shared" si="343"/>
        <v>376</v>
      </c>
      <c r="D380" s="34"/>
      <c r="E380" s="35"/>
      <c r="F380" s="35"/>
      <c r="G380" s="52"/>
      <c r="H380" s="36" t="str">
        <f t="shared" si="285"/>
        <v>RJ--376</v>
      </c>
      <c r="I380" s="36" t="str">
        <f t="shared" si="290"/>
        <v>--20</v>
      </c>
      <c r="J380" s="37" t="e">
        <f>VLOOKUP(D380,Laporan!$C$4:$D$34,2,0)</f>
        <v>#N/A</v>
      </c>
      <c r="K380" s="48"/>
      <c r="L380" s="13"/>
      <c r="M380" s="19">
        <f>SUMIF('DATABASE Room'!$B$3:$B$7,L380,'DATABASE Room'!$D$3:$D$7)</f>
        <v>0</v>
      </c>
      <c r="N380" s="13"/>
      <c r="O380" s="21">
        <f t="shared" si="291"/>
        <v>0</v>
      </c>
      <c r="P380" s="38"/>
      <c r="Q380" s="19">
        <f t="shared" si="292"/>
        <v>0</v>
      </c>
      <c r="R380" s="21">
        <f t="shared" si="293"/>
        <v>0</v>
      </c>
      <c r="S380" s="19">
        <f t="shared" si="294"/>
        <v>2</v>
      </c>
      <c r="T380" s="19">
        <f t="shared" si="295"/>
        <v>0</v>
      </c>
      <c r="U380" s="21">
        <f t="shared" si="296"/>
        <v>0</v>
      </c>
      <c r="V380" s="39"/>
      <c r="W380" s="16"/>
      <c r="X380" s="17">
        <f>VLOOKUP(W380,'DATABASE F&amp;B'!$C$3:$F$216,2,0)</f>
        <v>0</v>
      </c>
      <c r="Y380" s="18"/>
      <c r="Z380" s="19">
        <f>VLOOKUP(W380,'DATABASE F&amp;B'!$C$3:$F$216,4,0)</f>
        <v>0</v>
      </c>
      <c r="AA380" s="19">
        <f t="shared" si="297"/>
        <v>0</v>
      </c>
      <c r="AB380" s="16"/>
      <c r="AC380" s="17">
        <f>VLOOKUP(AB380,'DATABASE F&amp;B'!$C$3:$F$216,2,0)</f>
        <v>0</v>
      </c>
      <c r="AD380" s="18"/>
      <c r="AE380" s="19">
        <f>VLOOKUP(AB380,'DATABASE F&amp;B'!$C$3:$F$216,4,0)</f>
        <v>0</v>
      </c>
      <c r="AF380" s="19">
        <f t="shared" si="298"/>
        <v>0</v>
      </c>
      <c r="AG380" s="16"/>
      <c r="AH380" s="17">
        <f>VLOOKUP(AG380,'DATABASE F&amp;B'!$C$3:$F$216,2,0)</f>
        <v>0</v>
      </c>
      <c r="AI380" s="18"/>
      <c r="AJ380" s="19">
        <f>VLOOKUP(AG380,'DATABASE F&amp;B'!$C$3:$F$216,4,0)</f>
        <v>0</v>
      </c>
      <c r="AK380" s="19">
        <f t="shared" si="299"/>
        <v>0</v>
      </c>
      <c r="AL380" s="16"/>
      <c r="AM380" s="17">
        <f>VLOOKUP(AL380,'DATABASE F&amp;B'!$C$3:$F$216,2,0)</f>
        <v>0</v>
      </c>
      <c r="AN380" s="18">
        <v>1</v>
      </c>
      <c r="AO380" s="19">
        <f>VLOOKUP(AL380,'DATABASE F&amp;B'!$C$3:$F$216,4,0)</f>
        <v>0</v>
      </c>
      <c r="AP380" s="19">
        <f t="shared" si="300"/>
        <v>0</v>
      </c>
      <c r="AQ380" s="16"/>
      <c r="AR380" s="17">
        <f>VLOOKUP(AQ380,'DATABASE F&amp;B'!$C$3:$F$216,2,0)</f>
        <v>0</v>
      </c>
      <c r="AS380" s="18">
        <v>1</v>
      </c>
      <c r="AT380" s="19">
        <f>VLOOKUP(AQ380,'DATABASE F&amp;B'!$C$3:$F$216,4,0)</f>
        <v>0</v>
      </c>
      <c r="AU380" s="19">
        <f t="shared" si="301"/>
        <v>0</v>
      </c>
      <c r="AV380" s="16"/>
      <c r="AW380" s="17">
        <f>VLOOKUP(AV380,'DATABASE F&amp;B'!$C$3:$F$216,2,0)</f>
        <v>0</v>
      </c>
      <c r="AX380" s="18"/>
      <c r="AY380" s="19">
        <f>VLOOKUP(AV380,'DATABASE F&amp;B'!$C$3:$F$216,4,0)</f>
        <v>0</v>
      </c>
      <c r="AZ380" s="19">
        <f t="shared" si="302"/>
        <v>0</v>
      </c>
      <c r="BA380" s="16"/>
      <c r="BB380" s="17">
        <f>VLOOKUP(BA380,'DATABASE F&amp;B'!$C$3:$F$216,2,0)</f>
        <v>0</v>
      </c>
      <c r="BC380" s="18"/>
      <c r="BD380" s="19">
        <f>VLOOKUP(BA380,'DATABASE F&amp;B'!$C$3:$F$216,4,0)</f>
        <v>0</v>
      </c>
      <c r="BE380" s="19">
        <f t="shared" si="303"/>
        <v>0</v>
      </c>
      <c r="BF380" s="16"/>
      <c r="BG380" s="17">
        <f>VLOOKUP(BF380,'DATABASE F&amp;B'!$C$3:$F$216,2,0)</f>
        <v>0</v>
      </c>
      <c r="BH380" s="18"/>
      <c r="BI380" s="19">
        <f>VLOOKUP(BF380,'DATABASE F&amp;B'!$C$3:$F$216,4,0)</f>
        <v>0</v>
      </c>
      <c r="BJ380" s="19">
        <f t="shared" si="304"/>
        <v>0</v>
      </c>
      <c r="BK380" s="16"/>
      <c r="BL380" s="17">
        <f>VLOOKUP(BK380,'DATABASE F&amp;B'!$C$3:$F$210,2,0)</f>
        <v>0</v>
      </c>
      <c r="BM380" s="18"/>
      <c r="BN380" s="19">
        <f>VLOOKUP(BK380,'DATABASE F&amp;B'!$C$3:$F$210,4,0)</f>
        <v>0</v>
      </c>
      <c r="BO380" s="19">
        <f t="shared" si="305"/>
        <v>0</v>
      </c>
      <c r="BP380" s="16"/>
      <c r="BQ380" s="17">
        <f>VLOOKUP(BP380,'DATABASE F&amp;B'!$C$3:$F$210,2,0)</f>
        <v>0</v>
      </c>
      <c r="BR380" s="18"/>
      <c r="BS380" s="19">
        <f>VLOOKUP(BP380,'DATABASE F&amp;B'!$C$3:$F$210,4,0)</f>
        <v>0</v>
      </c>
      <c r="BT380" s="19">
        <f t="shared" si="306"/>
        <v>0</v>
      </c>
      <c r="BU380" s="16"/>
      <c r="BV380" s="17">
        <f>VLOOKUP(BU380,'DATABASE F&amp;B'!$C$3:$F$210,2,0)</f>
        <v>0</v>
      </c>
      <c r="BW380" s="18"/>
      <c r="BX380" s="19">
        <f>VLOOKUP(BU380,'DATABASE F&amp;B'!$C$3:$F$210,4,0)</f>
        <v>0</v>
      </c>
      <c r="BY380" s="19">
        <f t="shared" si="307"/>
        <v>0</v>
      </c>
      <c r="BZ380" s="16"/>
      <c r="CA380" s="17">
        <f>VLOOKUP(BZ380,'DATABASE F&amp;B'!$C$3:$F$210,2,0)</f>
        <v>0</v>
      </c>
      <c r="CB380" s="18"/>
      <c r="CC380" s="19">
        <f>VLOOKUP(BZ380,'DATABASE F&amp;B'!$C$3:$F$210,4,0)</f>
        <v>0</v>
      </c>
      <c r="CD380" s="19">
        <f t="shared" si="308"/>
        <v>0</v>
      </c>
    </row>
    <row r="381" spans="1:82" ht="13.5" x14ac:dyDescent="0.25">
      <c r="A381" s="32" t="str">
        <f t="shared" si="288"/>
        <v>--20</v>
      </c>
      <c r="B381" s="22">
        <f t="shared" ref="B381:C381" si="344">B380+1</f>
        <v>377</v>
      </c>
      <c r="C381" s="22">
        <f t="shared" si="344"/>
        <v>377</v>
      </c>
      <c r="D381" s="34"/>
      <c r="E381" s="35"/>
      <c r="F381" s="35"/>
      <c r="G381" s="52"/>
      <c r="H381" s="36" t="str">
        <f t="shared" si="285"/>
        <v>RJ--377</v>
      </c>
      <c r="I381" s="36" t="str">
        <f t="shared" si="290"/>
        <v>--20</v>
      </c>
      <c r="J381" s="37" t="e">
        <f>VLOOKUP(D381,Laporan!$C$4:$D$34,2,0)</f>
        <v>#N/A</v>
      </c>
      <c r="K381" s="48"/>
      <c r="L381" s="13"/>
      <c r="M381" s="19">
        <f>SUMIF('DATABASE Room'!$B$3:$B$7,L381,'DATABASE Room'!$D$3:$D$7)</f>
        <v>0</v>
      </c>
      <c r="N381" s="13"/>
      <c r="O381" s="21">
        <f t="shared" si="291"/>
        <v>0</v>
      </c>
      <c r="P381" s="38"/>
      <c r="Q381" s="19">
        <f t="shared" si="292"/>
        <v>0</v>
      </c>
      <c r="R381" s="21">
        <f t="shared" si="293"/>
        <v>0</v>
      </c>
      <c r="S381" s="19">
        <f t="shared" si="294"/>
        <v>2</v>
      </c>
      <c r="T381" s="19">
        <f t="shared" si="295"/>
        <v>0</v>
      </c>
      <c r="U381" s="21">
        <f t="shared" si="296"/>
        <v>0</v>
      </c>
      <c r="V381" s="39"/>
      <c r="W381" s="16"/>
      <c r="X381" s="17">
        <f>VLOOKUP(W381,'DATABASE F&amp;B'!$C$3:$F$216,2,0)</f>
        <v>0</v>
      </c>
      <c r="Y381" s="18"/>
      <c r="Z381" s="19">
        <f>VLOOKUP(W381,'DATABASE F&amp;B'!$C$3:$F$216,4,0)</f>
        <v>0</v>
      </c>
      <c r="AA381" s="19">
        <f t="shared" si="297"/>
        <v>0</v>
      </c>
      <c r="AB381" s="16"/>
      <c r="AC381" s="17">
        <f>VLOOKUP(AB381,'DATABASE F&amp;B'!$C$3:$F$216,2,0)</f>
        <v>0</v>
      </c>
      <c r="AD381" s="18"/>
      <c r="AE381" s="19">
        <f>VLOOKUP(AB381,'DATABASE F&amp;B'!$C$3:$F$216,4,0)</f>
        <v>0</v>
      </c>
      <c r="AF381" s="19">
        <f t="shared" si="298"/>
        <v>0</v>
      </c>
      <c r="AG381" s="16"/>
      <c r="AH381" s="17">
        <f>VLOOKUP(AG381,'DATABASE F&amp;B'!$C$3:$F$216,2,0)</f>
        <v>0</v>
      </c>
      <c r="AI381" s="18"/>
      <c r="AJ381" s="19">
        <f>VLOOKUP(AG381,'DATABASE F&amp;B'!$C$3:$F$216,4,0)</f>
        <v>0</v>
      </c>
      <c r="AK381" s="19">
        <f t="shared" si="299"/>
        <v>0</v>
      </c>
      <c r="AL381" s="16"/>
      <c r="AM381" s="17">
        <f>VLOOKUP(AL381,'DATABASE F&amp;B'!$C$3:$F$216,2,0)</f>
        <v>0</v>
      </c>
      <c r="AN381" s="18">
        <v>1</v>
      </c>
      <c r="AO381" s="19">
        <f>VLOOKUP(AL381,'DATABASE F&amp;B'!$C$3:$F$216,4,0)</f>
        <v>0</v>
      </c>
      <c r="AP381" s="19">
        <f t="shared" si="300"/>
        <v>0</v>
      </c>
      <c r="AQ381" s="16"/>
      <c r="AR381" s="17">
        <f>VLOOKUP(AQ381,'DATABASE F&amp;B'!$C$3:$F$216,2,0)</f>
        <v>0</v>
      </c>
      <c r="AS381" s="18">
        <v>1</v>
      </c>
      <c r="AT381" s="19">
        <f>VLOOKUP(AQ381,'DATABASE F&amp;B'!$C$3:$F$216,4,0)</f>
        <v>0</v>
      </c>
      <c r="AU381" s="19">
        <f t="shared" si="301"/>
        <v>0</v>
      </c>
      <c r="AV381" s="16"/>
      <c r="AW381" s="17">
        <f>VLOOKUP(AV381,'DATABASE F&amp;B'!$C$3:$F$216,2,0)</f>
        <v>0</v>
      </c>
      <c r="AX381" s="18"/>
      <c r="AY381" s="19">
        <f>VLOOKUP(AV381,'DATABASE F&amp;B'!$C$3:$F$216,4,0)</f>
        <v>0</v>
      </c>
      <c r="AZ381" s="19">
        <f t="shared" si="302"/>
        <v>0</v>
      </c>
      <c r="BA381" s="16"/>
      <c r="BB381" s="17">
        <f>VLOOKUP(BA381,'DATABASE F&amp;B'!$C$3:$F$216,2,0)</f>
        <v>0</v>
      </c>
      <c r="BC381" s="18"/>
      <c r="BD381" s="19">
        <f>VLOOKUP(BA381,'DATABASE F&amp;B'!$C$3:$F$216,4,0)</f>
        <v>0</v>
      </c>
      <c r="BE381" s="19">
        <f t="shared" si="303"/>
        <v>0</v>
      </c>
      <c r="BF381" s="16"/>
      <c r="BG381" s="17">
        <f>VLOOKUP(BF381,'DATABASE F&amp;B'!$C$3:$F$216,2,0)</f>
        <v>0</v>
      </c>
      <c r="BH381" s="18"/>
      <c r="BI381" s="19">
        <f>VLOOKUP(BF381,'DATABASE F&amp;B'!$C$3:$F$216,4,0)</f>
        <v>0</v>
      </c>
      <c r="BJ381" s="19">
        <f t="shared" si="304"/>
        <v>0</v>
      </c>
      <c r="BK381" s="16"/>
      <c r="BL381" s="17">
        <f>VLOOKUP(BK381,'DATABASE F&amp;B'!$C$3:$F$210,2,0)</f>
        <v>0</v>
      </c>
      <c r="BM381" s="18"/>
      <c r="BN381" s="19">
        <f>VLOOKUP(BK381,'DATABASE F&amp;B'!$C$3:$F$210,4,0)</f>
        <v>0</v>
      </c>
      <c r="BO381" s="19">
        <f t="shared" si="305"/>
        <v>0</v>
      </c>
      <c r="BP381" s="16"/>
      <c r="BQ381" s="17">
        <f>VLOOKUP(BP381,'DATABASE F&amp;B'!$C$3:$F$210,2,0)</f>
        <v>0</v>
      </c>
      <c r="BR381" s="18"/>
      <c r="BS381" s="19">
        <f>VLOOKUP(BP381,'DATABASE F&amp;B'!$C$3:$F$210,4,0)</f>
        <v>0</v>
      </c>
      <c r="BT381" s="19">
        <f t="shared" si="306"/>
        <v>0</v>
      </c>
      <c r="BU381" s="16"/>
      <c r="BV381" s="17">
        <f>VLOOKUP(BU381,'DATABASE F&amp;B'!$C$3:$F$210,2,0)</f>
        <v>0</v>
      </c>
      <c r="BW381" s="18"/>
      <c r="BX381" s="19">
        <f>VLOOKUP(BU381,'DATABASE F&amp;B'!$C$3:$F$210,4,0)</f>
        <v>0</v>
      </c>
      <c r="BY381" s="19">
        <f t="shared" si="307"/>
        <v>0</v>
      </c>
      <c r="BZ381" s="16"/>
      <c r="CA381" s="17">
        <f>VLOOKUP(BZ381,'DATABASE F&amp;B'!$C$3:$F$210,2,0)</f>
        <v>0</v>
      </c>
      <c r="CB381" s="18"/>
      <c r="CC381" s="19">
        <f>VLOOKUP(BZ381,'DATABASE F&amp;B'!$C$3:$F$210,4,0)</f>
        <v>0</v>
      </c>
      <c r="CD381" s="19">
        <f t="shared" si="308"/>
        <v>0</v>
      </c>
    </row>
    <row r="382" spans="1:82" ht="13.5" x14ac:dyDescent="0.25">
      <c r="A382" s="32" t="str">
        <f t="shared" si="288"/>
        <v>--20</v>
      </c>
      <c r="B382" s="22">
        <f t="shared" ref="B382:C382" si="345">B381+1</f>
        <v>378</v>
      </c>
      <c r="C382" s="22">
        <f t="shared" si="345"/>
        <v>378</v>
      </c>
      <c r="D382" s="34"/>
      <c r="E382" s="35"/>
      <c r="F382" s="35"/>
      <c r="G382" s="52"/>
      <c r="H382" s="36" t="str">
        <f t="shared" si="285"/>
        <v>RJ--378</v>
      </c>
      <c r="I382" s="36" t="str">
        <f t="shared" si="290"/>
        <v>--20</v>
      </c>
      <c r="J382" s="37" t="e">
        <f>VLOOKUP(D382,Laporan!$C$4:$D$34,2,0)</f>
        <v>#N/A</v>
      </c>
      <c r="K382" s="48"/>
      <c r="L382" s="13"/>
      <c r="M382" s="19">
        <f>SUMIF('DATABASE Room'!$B$3:$B$7,L382,'DATABASE Room'!$D$3:$D$7)</f>
        <v>0</v>
      </c>
      <c r="N382" s="13"/>
      <c r="O382" s="21">
        <f t="shared" si="291"/>
        <v>0</v>
      </c>
      <c r="P382" s="38"/>
      <c r="Q382" s="19">
        <f t="shared" si="292"/>
        <v>0</v>
      </c>
      <c r="R382" s="21">
        <f t="shared" si="293"/>
        <v>0</v>
      </c>
      <c r="S382" s="19">
        <f t="shared" si="294"/>
        <v>2</v>
      </c>
      <c r="T382" s="19">
        <f t="shared" si="295"/>
        <v>0</v>
      </c>
      <c r="U382" s="21">
        <f t="shared" si="296"/>
        <v>0</v>
      </c>
      <c r="V382" s="39"/>
      <c r="W382" s="16"/>
      <c r="X382" s="17">
        <f>VLOOKUP(W382,'DATABASE F&amp;B'!$C$3:$F$216,2,0)</f>
        <v>0</v>
      </c>
      <c r="Y382" s="18"/>
      <c r="Z382" s="19">
        <f>VLOOKUP(W382,'DATABASE F&amp;B'!$C$3:$F$216,4,0)</f>
        <v>0</v>
      </c>
      <c r="AA382" s="19">
        <f t="shared" si="297"/>
        <v>0</v>
      </c>
      <c r="AB382" s="16"/>
      <c r="AC382" s="17">
        <f>VLOOKUP(AB382,'DATABASE F&amp;B'!$C$3:$F$216,2,0)</f>
        <v>0</v>
      </c>
      <c r="AD382" s="18"/>
      <c r="AE382" s="19">
        <f>VLOOKUP(AB382,'DATABASE F&amp;B'!$C$3:$F$216,4,0)</f>
        <v>0</v>
      </c>
      <c r="AF382" s="19">
        <f t="shared" si="298"/>
        <v>0</v>
      </c>
      <c r="AG382" s="16"/>
      <c r="AH382" s="17">
        <f>VLOOKUP(AG382,'DATABASE F&amp;B'!$C$3:$F$216,2,0)</f>
        <v>0</v>
      </c>
      <c r="AI382" s="18"/>
      <c r="AJ382" s="19">
        <f>VLOOKUP(AG382,'DATABASE F&amp;B'!$C$3:$F$216,4,0)</f>
        <v>0</v>
      </c>
      <c r="AK382" s="19">
        <f t="shared" si="299"/>
        <v>0</v>
      </c>
      <c r="AL382" s="16"/>
      <c r="AM382" s="17">
        <f>VLOOKUP(AL382,'DATABASE F&amp;B'!$C$3:$F$216,2,0)</f>
        <v>0</v>
      </c>
      <c r="AN382" s="18">
        <v>1</v>
      </c>
      <c r="AO382" s="19">
        <f>VLOOKUP(AL382,'DATABASE F&amp;B'!$C$3:$F$216,4,0)</f>
        <v>0</v>
      </c>
      <c r="AP382" s="19">
        <f t="shared" si="300"/>
        <v>0</v>
      </c>
      <c r="AQ382" s="16"/>
      <c r="AR382" s="17">
        <f>VLOOKUP(AQ382,'DATABASE F&amp;B'!$C$3:$F$216,2,0)</f>
        <v>0</v>
      </c>
      <c r="AS382" s="18">
        <v>1</v>
      </c>
      <c r="AT382" s="19">
        <f>VLOOKUP(AQ382,'DATABASE F&amp;B'!$C$3:$F$216,4,0)</f>
        <v>0</v>
      </c>
      <c r="AU382" s="19">
        <f t="shared" si="301"/>
        <v>0</v>
      </c>
      <c r="AV382" s="16"/>
      <c r="AW382" s="17">
        <f>VLOOKUP(AV382,'DATABASE F&amp;B'!$C$3:$F$216,2,0)</f>
        <v>0</v>
      </c>
      <c r="AX382" s="18"/>
      <c r="AY382" s="19">
        <f>VLOOKUP(AV382,'DATABASE F&amp;B'!$C$3:$F$216,4,0)</f>
        <v>0</v>
      </c>
      <c r="AZ382" s="19">
        <f t="shared" si="302"/>
        <v>0</v>
      </c>
      <c r="BA382" s="16"/>
      <c r="BB382" s="17">
        <f>VLOOKUP(BA382,'DATABASE F&amp;B'!$C$3:$F$216,2,0)</f>
        <v>0</v>
      </c>
      <c r="BC382" s="18"/>
      <c r="BD382" s="19">
        <f>VLOOKUP(BA382,'DATABASE F&amp;B'!$C$3:$F$216,4,0)</f>
        <v>0</v>
      </c>
      <c r="BE382" s="19">
        <f t="shared" si="303"/>
        <v>0</v>
      </c>
      <c r="BF382" s="16"/>
      <c r="BG382" s="17">
        <f>VLOOKUP(BF382,'DATABASE F&amp;B'!$C$3:$F$216,2,0)</f>
        <v>0</v>
      </c>
      <c r="BH382" s="18"/>
      <c r="BI382" s="19">
        <f>VLOOKUP(BF382,'DATABASE F&amp;B'!$C$3:$F$216,4,0)</f>
        <v>0</v>
      </c>
      <c r="BJ382" s="19">
        <f t="shared" si="304"/>
        <v>0</v>
      </c>
      <c r="BK382" s="16"/>
      <c r="BL382" s="17">
        <f>VLOOKUP(BK382,'DATABASE F&amp;B'!$C$3:$F$210,2,0)</f>
        <v>0</v>
      </c>
      <c r="BM382" s="18"/>
      <c r="BN382" s="19">
        <f>VLOOKUP(BK382,'DATABASE F&amp;B'!$C$3:$F$210,4,0)</f>
        <v>0</v>
      </c>
      <c r="BO382" s="19">
        <f t="shared" si="305"/>
        <v>0</v>
      </c>
      <c r="BP382" s="16"/>
      <c r="BQ382" s="17">
        <f>VLOOKUP(BP382,'DATABASE F&amp;B'!$C$3:$F$210,2,0)</f>
        <v>0</v>
      </c>
      <c r="BR382" s="18"/>
      <c r="BS382" s="19">
        <f>VLOOKUP(BP382,'DATABASE F&amp;B'!$C$3:$F$210,4,0)</f>
        <v>0</v>
      </c>
      <c r="BT382" s="19">
        <f t="shared" si="306"/>
        <v>0</v>
      </c>
      <c r="BU382" s="16"/>
      <c r="BV382" s="17">
        <f>VLOOKUP(BU382,'DATABASE F&amp;B'!$C$3:$F$210,2,0)</f>
        <v>0</v>
      </c>
      <c r="BW382" s="18"/>
      <c r="BX382" s="19">
        <f>VLOOKUP(BU382,'DATABASE F&amp;B'!$C$3:$F$210,4,0)</f>
        <v>0</v>
      </c>
      <c r="BY382" s="19">
        <f t="shared" si="307"/>
        <v>0</v>
      </c>
      <c r="BZ382" s="16"/>
      <c r="CA382" s="17">
        <f>VLOOKUP(BZ382,'DATABASE F&amp;B'!$C$3:$F$210,2,0)</f>
        <v>0</v>
      </c>
      <c r="CB382" s="18"/>
      <c r="CC382" s="19">
        <f>VLOOKUP(BZ382,'DATABASE F&amp;B'!$C$3:$F$210,4,0)</f>
        <v>0</v>
      </c>
      <c r="CD382" s="19">
        <f t="shared" si="308"/>
        <v>0</v>
      </c>
    </row>
    <row r="383" spans="1:82" ht="13.5" x14ac:dyDescent="0.25">
      <c r="A383" s="32" t="str">
        <f t="shared" si="288"/>
        <v>--20</v>
      </c>
      <c r="B383" s="22">
        <f t="shared" ref="B383:C383" si="346">B382+1</f>
        <v>379</v>
      </c>
      <c r="C383" s="22">
        <f t="shared" si="346"/>
        <v>379</v>
      </c>
      <c r="D383" s="34"/>
      <c r="E383" s="35"/>
      <c r="F383" s="35"/>
      <c r="G383" s="52"/>
      <c r="H383" s="36" t="str">
        <f t="shared" si="285"/>
        <v>RJ--379</v>
      </c>
      <c r="I383" s="36" t="str">
        <f t="shared" si="290"/>
        <v>--20</v>
      </c>
      <c r="J383" s="37" t="e">
        <f>VLOOKUP(D383,Laporan!$C$4:$D$34,2,0)</f>
        <v>#N/A</v>
      </c>
      <c r="K383" s="48"/>
      <c r="L383" s="13"/>
      <c r="M383" s="19">
        <f>SUMIF('DATABASE Room'!$B$3:$B$7,L383,'DATABASE Room'!$D$3:$D$7)</f>
        <v>0</v>
      </c>
      <c r="N383" s="13"/>
      <c r="O383" s="21">
        <f t="shared" si="291"/>
        <v>0</v>
      </c>
      <c r="P383" s="38"/>
      <c r="Q383" s="19">
        <f t="shared" si="292"/>
        <v>0</v>
      </c>
      <c r="R383" s="21">
        <f t="shared" si="293"/>
        <v>0</v>
      </c>
      <c r="S383" s="19">
        <f t="shared" si="294"/>
        <v>2</v>
      </c>
      <c r="T383" s="19">
        <f t="shared" si="295"/>
        <v>0</v>
      </c>
      <c r="U383" s="21">
        <f t="shared" si="296"/>
        <v>0</v>
      </c>
      <c r="V383" s="39"/>
      <c r="W383" s="16"/>
      <c r="X383" s="17">
        <f>VLOOKUP(W383,'DATABASE F&amp;B'!$C$3:$F$216,2,0)</f>
        <v>0</v>
      </c>
      <c r="Y383" s="18"/>
      <c r="Z383" s="19">
        <f>VLOOKUP(W383,'DATABASE F&amp;B'!$C$3:$F$216,4,0)</f>
        <v>0</v>
      </c>
      <c r="AA383" s="19">
        <f t="shared" si="297"/>
        <v>0</v>
      </c>
      <c r="AB383" s="16"/>
      <c r="AC383" s="17">
        <f>VLOOKUP(AB383,'DATABASE F&amp;B'!$C$3:$F$216,2,0)</f>
        <v>0</v>
      </c>
      <c r="AD383" s="18"/>
      <c r="AE383" s="19">
        <f>VLOOKUP(AB383,'DATABASE F&amp;B'!$C$3:$F$216,4,0)</f>
        <v>0</v>
      </c>
      <c r="AF383" s="19">
        <f t="shared" si="298"/>
        <v>0</v>
      </c>
      <c r="AG383" s="16"/>
      <c r="AH383" s="17">
        <f>VLOOKUP(AG383,'DATABASE F&amp;B'!$C$3:$F$216,2,0)</f>
        <v>0</v>
      </c>
      <c r="AI383" s="18"/>
      <c r="AJ383" s="19">
        <f>VLOOKUP(AG383,'DATABASE F&amp;B'!$C$3:$F$216,4,0)</f>
        <v>0</v>
      </c>
      <c r="AK383" s="19">
        <f t="shared" si="299"/>
        <v>0</v>
      </c>
      <c r="AL383" s="16"/>
      <c r="AM383" s="17">
        <f>VLOOKUP(AL383,'DATABASE F&amp;B'!$C$3:$F$216,2,0)</f>
        <v>0</v>
      </c>
      <c r="AN383" s="18">
        <v>1</v>
      </c>
      <c r="AO383" s="19">
        <f>VLOOKUP(AL383,'DATABASE F&amp;B'!$C$3:$F$216,4,0)</f>
        <v>0</v>
      </c>
      <c r="AP383" s="19">
        <f t="shared" si="300"/>
        <v>0</v>
      </c>
      <c r="AQ383" s="16"/>
      <c r="AR383" s="17">
        <f>VLOOKUP(AQ383,'DATABASE F&amp;B'!$C$3:$F$216,2,0)</f>
        <v>0</v>
      </c>
      <c r="AS383" s="18">
        <v>1</v>
      </c>
      <c r="AT383" s="19">
        <f>VLOOKUP(AQ383,'DATABASE F&amp;B'!$C$3:$F$216,4,0)</f>
        <v>0</v>
      </c>
      <c r="AU383" s="19">
        <f t="shared" si="301"/>
        <v>0</v>
      </c>
      <c r="AV383" s="16"/>
      <c r="AW383" s="17">
        <f>VLOOKUP(AV383,'DATABASE F&amp;B'!$C$3:$F$216,2,0)</f>
        <v>0</v>
      </c>
      <c r="AX383" s="18"/>
      <c r="AY383" s="19">
        <f>VLOOKUP(AV383,'DATABASE F&amp;B'!$C$3:$F$216,4,0)</f>
        <v>0</v>
      </c>
      <c r="AZ383" s="19">
        <f t="shared" si="302"/>
        <v>0</v>
      </c>
      <c r="BA383" s="16"/>
      <c r="BB383" s="17">
        <f>VLOOKUP(BA383,'DATABASE F&amp;B'!$C$3:$F$216,2,0)</f>
        <v>0</v>
      </c>
      <c r="BC383" s="18"/>
      <c r="BD383" s="19">
        <f>VLOOKUP(BA383,'DATABASE F&amp;B'!$C$3:$F$216,4,0)</f>
        <v>0</v>
      </c>
      <c r="BE383" s="19">
        <f t="shared" si="303"/>
        <v>0</v>
      </c>
      <c r="BF383" s="16"/>
      <c r="BG383" s="17">
        <f>VLOOKUP(BF383,'DATABASE F&amp;B'!$C$3:$F$216,2,0)</f>
        <v>0</v>
      </c>
      <c r="BH383" s="18"/>
      <c r="BI383" s="19">
        <f>VLOOKUP(BF383,'DATABASE F&amp;B'!$C$3:$F$216,4,0)</f>
        <v>0</v>
      </c>
      <c r="BJ383" s="19">
        <f t="shared" si="304"/>
        <v>0</v>
      </c>
      <c r="BK383" s="16"/>
      <c r="BL383" s="17">
        <f>VLOOKUP(BK383,'DATABASE F&amp;B'!$C$3:$F$210,2,0)</f>
        <v>0</v>
      </c>
      <c r="BM383" s="18"/>
      <c r="BN383" s="19">
        <f>VLOOKUP(BK383,'DATABASE F&amp;B'!$C$3:$F$210,4,0)</f>
        <v>0</v>
      </c>
      <c r="BO383" s="19">
        <f t="shared" si="305"/>
        <v>0</v>
      </c>
      <c r="BP383" s="16"/>
      <c r="BQ383" s="17">
        <f>VLOOKUP(BP383,'DATABASE F&amp;B'!$C$3:$F$210,2,0)</f>
        <v>0</v>
      </c>
      <c r="BR383" s="18"/>
      <c r="BS383" s="19">
        <f>VLOOKUP(BP383,'DATABASE F&amp;B'!$C$3:$F$210,4,0)</f>
        <v>0</v>
      </c>
      <c r="BT383" s="19">
        <f t="shared" si="306"/>
        <v>0</v>
      </c>
      <c r="BU383" s="16"/>
      <c r="BV383" s="17">
        <f>VLOOKUP(BU383,'DATABASE F&amp;B'!$C$3:$F$210,2,0)</f>
        <v>0</v>
      </c>
      <c r="BW383" s="18"/>
      <c r="BX383" s="19">
        <f>VLOOKUP(BU383,'DATABASE F&amp;B'!$C$3:$F$210,4,0)</f>
        <v>0</v>
      </c>
      <c r="BY383" s="19">
        <f t="shared" si="307"/>
        <v>0</v>
      </c>
      <c r="BZ383" s="16"/>
      <c r="CA383" s="17">
        <f>VLOOKUP(BZ383,'DATABASE F&amp;B'!$C$3:$F$210,2,0)</f>
        <v>0</v>
      </c>
      <c r="CB383" s="18"/>
      <c r="CC383" s="19">
        <f>VLOOKUP(BZ383,'DATABASE F&amp;B'!$C$3:$F$210,4,0)</f>
        <v>0</v>
      </c>
      <c r="CD383" s="19">
        <f t="shared" si="308"/>
        <v>0</v>
      </c>
    </row>
    <row r="384" spans="1:82" ht="13.5" x14ac:dyDescent="0.25">
      <c r="A384" s="32" t="str">
        <f t="shared" si="288"/>
        <v>--20</v>
      </c>
      <c r="B384" s="22">
        <f t="shared" ref="B384:C384" si="347">B383+1</f>
        <v>380</v>
      </c>
      <c r="C384" s="22">
        <f t="shared" si="347"/>
        <v>380</v>
      </c>
      <c r="D384" s="34"/>
      <c r="E384" s="35"/>
      <c r="F384" s="35"/>
      <c r="G384" s="52"/>
      <c r="H384" s="36" t="str">
        <f t="shared" si="285"/>
        <v>RJ--380</v>
      </c>
      <c r="I384" s="36" t="str">
        <f t="shared" si="290"/>
        <v>--20</v>
      </c>
      <c r="J384" s="37" t="e">
        <f>VLOOKUP(D384,Laporan!$C$4:$D$34,2,0)</f>
        <v>#N/A</v>
      </c>
      <c r="K384" s="48"/>
      <c r="L384" s="13"/>
      <c r="M384" s="19">
        <f>SUMIF('DATABASE Room'!$B$3:$B$7,L384,'DATABASE Room'!$D$3:$D$7)</f>
        <v>0</v>
      </c>
      <c r="N384" s="13"/>
      <c r="O384" s="21">
        <f t="shared" si="291"/>
        <v>0</v>
      </c>
      <c r="P384" s="38"/>
      <c r="Q384" s="19">
        <f t="shared" si="292"/>
        <v>0</v>
      </c>
      <c r="R384" s="21">
        <f t="shared" si="293"/>
        <v>0</v>
      </c>
      <c r="S384" s="19">
        <f t="shared" si="294"/>
        <v>2</v>
      </c>
      <c r="T384" s="19">
        <f t="shared" si="295"/>
        <v>0</v>
      </c>
      <c r="U384" s="21">
        <f t="shared" si="296"/>
        <v>0</v>
      </c>
      <c r="V384" s="39"/>
      <c r="W384" s="16"/>
      <c r="X384" s="17">
        <f>VLOOKUP(W384,'DATABASE F&amp;B'!$C$3:$F$216,2,0)</f>
        <v>0</v>
      </c>
      <c r="Y384" s="18"/>
      <c r="Z384" s="19">
        <f>VLOOKUP(W384,'DATABASE F&amp;B'!$C$3:$F$216,4,0)</f>
        <v>0</v>
      </c>
      <c r="AA384" s="19">
        <f t="shared" si="297"/>
        <v>0</v>
      </c>
      <c r="AB384" s="16"/>
      <c r="AC384" s="17">
        <f>VLOOKUP(AB384,'DATABASE F&amp;B'!$C$3:$F$216,2,0)</f>
        <v>0</v>
      </c>
      <c r="AD384" s="18"/>
      <c r="AE384" s="19">
        <f>VLOOKUP(AB384,'DATABASE F&amp;B'!$C$3:$F$216,4,0)</f>
        <v>0</v>
      </c>
      <c r="AF384" s="19">
        <f t="shared" si="298"/>
        <v>0</v>
      </c>
      <c r="AG384" s="16"/>
      <c r="AH384" s="17">
        <f>VLOOKUP(AG384,'DATABASE F&amp;B'!$C$3:$F$216,2,0)</f>
        <v>0</v>
      </c>
      <c r="AI384" s="18"/>
      <c r="AJ384" s="19">
        <f>VLOOKUP(AG384,'DATABASE F&amp;B'!$C$3:$F$216,4,0)</f>
        <v>0</v>
      </c>
      <c r="AK384" s="19">
        <f t="shared" si="299"/>
        <v>0</v>
      </c>
      <c r="AL384" s="16"/>
      <c r="AM384" s="17">
        <f>VLOOKUP(AL384,'DATABASE F&amp;B'!$C$3:$F$216,2,0)</f>
        <v>0</v>
      </c>
      <c r="AN384" s="18">
        <v>1</v>
      </c>
      <c r="AO384" s="19">
        <f>VLOOKUP(AL384,'DATABASE F&amp;B'!$C$3:$F$216,4,0)</f>
        <v>0</v>
      </c>
      <c r="AP384" s="19">
        <f t="shared" si="300"/>
        <v>0</v>
      </c>
      <c r="AQ384" s="16"/>
      <c r="AR384" s="17">
        <f>VLOOKUP(AQ384,'DATABASE F&amp;B'!$C$3:$F$216,2,0)</f>
        <v>0</v>
      </c>
      <c r="AS384" s="18">
        <v>1</v>
      </c>
      <c r="AT384" s="19">
        <f>VLOOKUP(AQ384,'DATABASE F&amp;B'!$C$3:$F$216,4,0)</f>
        <v>0</v>
      </c>
      <c r="AU384" s="19">
        <f t="shared" si="301"/>
        <v>0</v>
      </c>
      <c r="AV384" s="16"/>
      <c r="AW384" s="17">
        <f>VLOOKUP(AV384,'DATABASE F&amp;B'!$C$3:$F$216,2,0)</f>
        <v>0</v>
      </c>
      <c r="AX384" s="18"/>
      <c r="AY384" s="19">
        <f>VLOOKUP(AV384,'DATABASE F&amp;B'!$C$3:$F$216,4,0)</f>
        <v>0</v>
      </c>
      <c r="AZ384" s="19">
        <f t="shared" si="302"/>
        <v>0</v>
      </c>
      <c r="BA384" s="16"/>
      <c r="BB384" s="17">
        <f>VLOOKUP(BA384,'DATABASE F&amp;B'!$C$3:$F$216,2,0)</f>
        <v>0</v>
      </c>
      <c r="BC384" s="18"/>
      <c r="BD384" s="19">
        <f>VLOOKUP(BA384,'DATABASE F&amp;B'!$C$3:$F$216,4,0)</f>
        <v>0</v>
      </c>
      <c r="BE384" s="19">
        <f t="shared" si="303"/>
        <v>0</v>
      </c>
      <c r="BF384" s="16"/>
      <c r="BG384" s="17">
        <f>VLOOKUP(BF384,'DATABASE F&amp;B'!$C$3:$F$216,2,0)</f>
        <v>0</v>
      </c>
      <c r="BH384" s="18"/>
      <c r="BI384" s="19">
        <f>VLOOKUP(BF384,'DATABASE F&amp;B'!$C$3:$F$216,4,0)</f>
        <v>0</v>
      </c>
      <c r="BJ384" s="19">
        <f t="shared" si="304"/>
        <v>0</v>
      </c>
      <c r="BK384" s="16"/>
      <c r="BL384" s="17">
        <f>VLOOKUP(BK384,'DATABASE F&amp;B'!$C$3:$F$210,2,0)</f>
        <v>0</v>
      </c>
      <c r="BM384" s="18"/>
      <c r="BN384" s="19">
        <f>VLOOKUP(BK384,'DATABASE F&amp;B'!$C$3:$F$210,4,0)</f>
        <v>0</v>
      </c>
      <c r="BO384" s="19">
        <f t="shared" si="305"/>
        <v>0</v>
      </c>
      <c r="BP384" s="16"/>
      <c r="BQ384" s="17">
        <f>VLOOKUP(BP384,'DATABASE F&amp;B'!$C$3:$F$210,2,0)</f>
        <v>0</v>
      </c>
      <c r="BR384" s="18"/>
      <c r="BS384" s="19">
        <f>VLOOKUP(BP384,'DATABASE F&amp;B'!$C$3:$F$210,4,0)</f>
        <v>0</v>
      </c>
      <c r="BT384" s="19">
        <f t="shared" si="306"/>
        <v>0</v>
      </c>
      <c r="BU384" s="16"/>
      <c r="BV384" s="17">
        <f>VLOOKUP(BU384,'DATABASE F&amp;B'!$C$3:$F$210,2,0)</f>
        <v>0</v>
      </c>
      <c r="BW384" s="18"/>
      <c r="BX384" s="19">
        <f>VLOOKUP(BU384,'DATABASE F&amp;B'!$C$3:$F$210,4,0)</f>
        <v>0</v>
      </c>
      <c r="BY384" s="19">
        <f t="shared" si="307"/>
        <v>0</v>
      </c>
      <c r="BZ384" s="16"/>
      <c r="CA384" s="17">
        <f>VLOOKUP(BZ384,'DATABASE F&amp;B'!$C$3:$F$210,2,0)</f>
        <v>0</v>
      </c>
      <c r="CB384" s="18"/>
      <c r="CC384" s="19">
        <f>VLOOKUP(BZ384,'DATABASE F&amp;B'!$C$3:$F$210,4,0)</f>
        <v>0</v>
      </c>
      <c r="CD384" s="19">
        <f t="shared" si="308"/>
        <v>0</v>
      </c>
    </row>
    <row r="385" spans="1:82" ht="13.5" x14ac:dyDescent="0.25">
      <c r="A385" s="32" t="str">
        <f t="shared" si="288"/>
        <v>--20</v>
      </c>
      <c r="B385" s="22">
        <f t="shared" ref="B385:C385" si="348">B384+1</f>
        <v>381</v>
      </c>
      <c r="C385" s="22">
        <f t="shared" si="348"/>
        <v>381</v>
      </c>
      <c r="D385" s="34"/>
      <c r="E385" s="35"/>
      <c r="F385" s="35"/>
      <c r="G385" s="52"/>
      <c r="H385" s="36" t="str">
        <f t="shared" si="285"/>
        <v>RJ--381</v>
      </c>
      <c r="I385" s="36" t="str">
        <f t="shared" si="290"/>
        <v>--20</v>
      </c>
      <c r="J385" s="37" t="e">
        <f>VLOOKUP(D385,Laporan!$C$4:$D$34,2,0)</f>
        <v>#N/A</v>
      </c>
      <c r="K385" s="48"/>
      <c r="L385" s="13"/>
      <c r="M385" s="19">
        <f>SUMIF('DATABASE Room'!$B$3:$B$7,L385,'DATABASE Room'!$D$3:$D$7)</f>
        <v>0</v>
      </c>
      <c r="N385" s="13"/>
      <c r="O385" s="21">
        <f t="shared" si="291"/>
        <v>0</v>
      </c>
      <c r="P385" s="38"/>
      <c r="Q385" s="19">
        <f t="shared" si="292"/>
        <v>0</v>
      </c>
      <c r="R385" s="21">
        <f t="shared" si="293"/>
        <v>0</v>
      </c>
      <c r="S385" s="19">
        <f t="shared" si="294"/>
        <v>2</v>
      </c>
      <c r="T385" s="19">
        <f t="shared" si="295"/>
        <v>0</v>
      </c>
      <c r="U385" s="21">
        <f t="shared" si="296"/>
        <v>0</v>
      </c>
      <c r="V385" s="39"/>
      <c r="W385" s="16"/>
      <c r="X385" s="17">
        <f>VLOOKUP(W385,'DATABASE F&amp;B'!$C$3:$F$216,2,0)</f>
        <v>0</v>
      </c>
      <c r="Y385" s="18"/>
      <c r="Z385" s="19">
        <f>VLOOKUP(W385,'DATABASE F&amp;B'!$C$3:$F$216,4,0)</f>
        <v>0</v>
      </c>
      <c r="AA385" s="19">
        <f t="shared" si="297"/>
        <v>0</v>
      </c>
      <c r="AB385" s="16"/>
      <c r="AC385" s="17">
        <f>VLOOKUP(AB385,'DATABASE F&amp;B'!$C$3:$F$216,2,0)</f>
        <v>0</v>
      </c>
      <c r="AD385" s="18"/>
      <c r="AE385" s="19">
        <f>VLOOKUP(AB385,'DATABASE F&amp;B'!$C$3:$F$216,4,0)</f>
        <v>0</v>
      </c>
      <c r="AF385" s="19">
        <f t="shared" si="298"/>
        <v>0</v>
      </c>
      <c r="AG385" s="16"/>
      <c r="AH385" s="17">
        <f>VLOOKUP(AG385,'DATABASE F&amp;B'!$C$3:$F$216,2,0)</f>
        <v>0</v>
      </c>
      <c r="AI385" s="18"/>
      <c r="AJ385" s="19">
        <f>VLOOKUP(AG385,'DATABASE F&amp;B'!$C$3:$F$216,4,0)</f>
        <v>0</v>
      </c>
      <c r="AK385" s="19">
        <f t="shared" si="299"/>
        <v>0</v>
      </c>
      <c r="AL385" s="16"/>
      <c r="AM385" s="17">
        <f>VLOOKUP(AL385,'DATABASE F&amp;B'!$C$3:$F$216,2,0)</f>
        <v>0</v>
      </c>
      <c r="AN385" s="18">
        <v>1</v>
      </c>
      <c r="AO385" s="19">
        <f>VLOOKUP(AL385,'DATABASE F&amp;B'!$C$3:$F$216,4,0)</f>
        <v>0</v>
      </c>
      <c r="AP385" s="19">
        <f t="shared" si="300"/>
        <v>0</v>
      </c>
      <c r="AQ385" s="16"/>
      <c r="AR385" s="17">
        <f>VLOOKUP(AQ385,'DATABASE F&amp;B'!$C$3:$F$216,2,0)</f>
        <v>0</v>
      </c>
      <c r="AS385" s="18">
        <v>1</v>
      </c>
      <c r="AT385" s="19">
        <f>VLOOKUP(AQ385,'DATABASE F&amp;B'!$C$3:$F$216,4,0)</f>
        <v>0</v>
      </c>
      <c r="AU385" s="19">
        <f t="shared" si="301"/>
        <v>0</v>
      </c>
      <c r="AV385" s="16"/>
      <c r="AW385" s="17">
        <f>VLOOKUP(AV385,'DATABASE F&amp;B'!$C$3:$F$216,2,0)</f>
        <v>0</v>
      </c>
      <c r="AX385" s="18"/>
      <c r="AY385" s="19">
        <f>VLOOKUP(AV385,'DATABASE F&amp;B'!$C$3:$F$216,4,0)</f>
        <v>0</v>
      </c>
      <c r="AZ385" s="19">
        <f t="shared" si="302"/>
        <v>0</v>
      </c>
      <c r="BA385" s="16"/>
      <c r="BB385" s="17">
        <f>VLOOKUP(BA385,'DATABASE F&amp;B'!$C$3:$F$216,2,0)</f>
        <v>0</v>
      </c>
      <c r="BC385" s="18"/>
      <c r="BD385" s="19">
        <f>VLOOKUP(BA385,'DATABASE F&amp;B'!$C$3:$F$216,4,0)</f>
        <v>0</v>
      </c>
      <c r="BE385" s="19">
        <f t="shared" si="303"/>
        <v>0</v>
      </c>
      <c r="BF385" s="16"/>
      <c r="BG385" s="17">
        <f>VLOOKUP(BF385,'DATABASE F&amp;B'!$C$3:$F$216,2,0)</f>
        <v>0</v>
      </c>
      <c r="BH385" s="18"/>
      <c r="BI385" s="19">
        <f>VLOOKUP(BF385,'DATABASE F&amp;B'!$C$3:$F$216,4,0)</f>
        <v>0</v>
      </c>
      <c r="BJ385" s="19">
        <f t="shared" si="304"/>
        <v>0</v>
      </c>
      <c r="BK385" s="16"/>
      <c r="BL385" s="17">
        <f>VLOOKUP(BK385,'DATABASE F&amp;B'!$C$3:$F$210,2,0)</f>
        <v>0</v>
      </c>
      <c r="BM385" s="18"/>
      <c r="BN385" s="19">
        <f>VLOOKUP(BK385,'DATABASE F&amp;B'!$C$3:$F$210,4,0)</f>
        <v>0</v>
      </c>
      <c r="BO385" s="19">
        <f t="shared" si="305"/>
        <v>0</v>
      </c>
      <c r="BP385" s="16"/>
      <c r="BQ385" s="17">
        <f>VLOOKUP(BP385,'DATABASE F&amp;B'!$C$3:$F$210,2,0)</f>
        <v>0</v>
      </c>
      <c r="BR385" s="18"/>
      <c r="BS385" s="19">
        <f>VLOOKUP(BP385,'DATABASE F&amp;B'!$C$3:$F$210,4,0)</f>
        <v>0</v>
      </c>
      <c r="BT385" s="19">
        <f t="shared" si="306"/>
        <v>0</v>
      </c>
      <c r="BU385" s="16"/>
      <c r="BV385" s="17">
        <f>VLOOKUP(BU385,'DATABASE F&amp;B'!$C$3:$F$210,2,0)</f>
        <v>0</v>
      </c>
      <c r="BW385" s="18"/>
      <c r="BX385" s="19">
        <f>VLOOKUP(BU385,'DATABASE F&amp;B'!$C$3:$F$210,4,0)</f>
        <v>0</v>
      </c>
      <c r="BY385" s="19">
        <f t="shared" si="307"/>
        <v>0</v>
      </c>
      <c r="BZ385" s="16"/>
      <c r="CA385" s="17">
        <f>VLOOKUP(BZ385,'DATABASE F&amp;B'!$C$3:$F$210,2,0)</f>
        <v>0</v>
      </c>
      <c r="CB385" s="18"/>
      <c r="CC385" s="19">
        <f>VLOOKUP(BZ385,'DATABASE F&amp;B'!$C$3:$F$210,4,0)</f>
        <v>0</v>
      </c>
      <c r="CD385" s="19">
        <f t="shared" si="308"/>
        <v>0</v>
      </c>
    </row>
    <row r="386" spans="1:82" ht="13.5" x14ac:dyDescent="0.25">
      <c r="A386" s="32" t="str">
        <f t="shared" ref="A386:A449" si="349">CONCATENATE(F386,"-",E386,"-20",G386)</f>
        <v>--20</v>
      </c>
      <c r="B386" s="22">
        <f t="shared" ref="B386:C386" si="350">B385+1</f>
        <v>382</v>
      </c>
      <c r="C386" s="22">
        <f t="shared" si="350"/>
        <v>382</v>
      </c>
      <c r="D386" s="34"/>
      <c r="E386" s="35"/>
      <c r="F386" s="35"/>
      <c r="G386" s="52"/>
      <c r="H386" s="36" t="str">
        <f t="shared" si="285"/>
        <v>RJ--382</v>
      </c>
      <c r="I386" s="36" t="str">
        <f t="shared" ref="I386:I449" si="351">CONCATENATE(E386,"-",F386,"-20",G386)</f>
        <v>--20</v>
      </c>
      <c r="J386" s="37" t="e">
        <f>VLOOKUP(D386,Laporan!$C$4:$D$34,2,0)</f>
        <v>#N/A</v>
      </c>
      <c r="K386" s="48"/>
      <c r="L386" s="13"/>
      <c r="M386" s="19">
        <f>SUMIF('DATABASE Room'!$B$3:$B$7,L386,'DATABASE Room'!$D$3:$D$7)</f>
        <v>0</v>
      </c>
      <c r="N386" s="13"/>
      <c r="O386" s="21">
        <f t="shared" ref="O386:O449" si="352">N386*M386</f>
        <v>0</v>
      </c>
      <c r="P386" s="38"/>
      <c r="Q386" s="19">
        <f t="shared" ref="Q386:Q449" si="353">P386*M386</f>
        <v>0</v>
      </c>
      <c r="R386" s="21">
        <f t="shared" ref="R386:R449" si="354">O386+Q386</f>
        <v>0</v>
      </c>
      <c r="S386" s="19">
        <f t="shared" ref="S386:S449" si="355">SUMIF($W$4:$CD$4,$S$4,W386:CD386)</f>
        <v>2</v>
      </c>
      <c r="T386" s="19">
        <f t="shared" ref="T386:T449" si="356">SUMIF($W$4:$CD$4,$T$4,W386:CD386)</f>
        <v>0</v>
      </c>
      <c r="U386" s="21">
        <f t="shared" ref="U386:U449" si="357">R386+T386</f>
        <v>0</v>
      </c>
      <c r="V386" s="39"/>
      <c r="W386" s="16"/>
      <c r="X386" s="17">
        <f>VLOOKUP(W386,'DATABASE F&amp;B'!$C$3:$F$216,2,0)</f>
        <v>0</v>
      </c>
      <c r="Y386" s="18"/>
      <c r="Z386" s="19">
        <f>VLOOKUP(W386,'DATABASE F&amp;B'!$C$3:$F$216,4,0)</f>
        <v>0</v>
      </c>
      <c r="AA386" s="19">
        <f t="shared" ref="AA386:AA449" si="358">Y386*Z386</f>
        <v>0</v>
      </c>
      <c r="AB386" s="16"/>
      <c r="AC386" s="17">
        <f>VLOOKUP(AB386,'DATABASE F&amp;B'!$C$3:$F$216,2,0)</f>
        <v>0</v>
      </c>
      <c r="AD386" s="18"/>
      <c r="AE386" s="19">
        <f>VLOOKUP(AB386,'DATABASE F&amp;B'!$C$3:$F$216,4,0)</f>
        <v>0</v>
      </c>
      <c r="AF386" s="19">
        <f t="shared" ref="AF386:AF449" si="359">AD386*AE386</f>
        <v>0</v>
      </c>
      <c r="AG386" s="16"/>
      <c r="AH386" s="17">
        <f>VLOOKUP(AG386,'DATABASE F&amp;B'!$C$3:$F$216,2,0)</f>
        <v>0</v>
      </c>
      <c r="AI386" s="18"/>
      <c r="AJ386" s="19">
        <f>VLOOKUP(AG386,'DATABASE F&amp;B'!$C$3:$F$216,4,0)</f>
        <v>0</v>
      </c>
      <c r="AK386" s="19">
        <f t="shared" ref="AK386:AK449" si="360">AI386*AJ386</f>
        <v>0</v>
      </c>
      <c r="AL386" s="16"/>
      <c r="AM386" s="17">
        <f>VLOOKUP(AL386,'DATABASE F&amp;B'!$C$3:$F$216,2,0)</f>
        <v>0</v>
      </c>
      <c r="AN386" s="18">
        <v>1</v>
      </c>
      <c r="AO386" s="19">
        <f>VLOOKUP(AL386,'DATABASE F&amp;B'!$C$3:$F$216,4,0)</f>
        <v>0</v>
      </c>
      <c r="AP386" s="19">
        <f t="shared" ref="AP386:AP449" si="361">AN386*AO386</f>
        <v>0</v>
      </c>
      <c r="AQ386" s="16"/>
      <c r="AR386" s="17">
        <f>VLOOKUP(AQ386,'DATABASE F&amp;B'!$C$3:$F$216,2,0)</f>
        <v>0</v>
      </c>
      <c r="AS386" s="18">
        <v>1</v>
      </c>
      <c r="AT386" s="19">
        <f>VLOOKUP(AQ386,'DATABASE F&amp;B'!$C$3:$F$216,4,0)</f>
        <v>0</v>
      </c>
      <c r="AU386" s="19">
        <f t="shared" ref="AU386:AU449" si="362">AS386*AT386</f>
        <v>0</v>
      </c>
      <c r="AV386" s="16"/>
      <c r="AW386" s="17">
        <f>VLOOKUP(AV386,'DATABASE F&amp;B'!$C$3:$F$216,2,0)</f>
        <v>0</v>
      </c>
      <c r="AX386" s="18"/>
      <c r="AY386" s="19">
        <f>VLOOKUP(AV386,'DATABASE F&amp;B'!$C$3:$F$216,4,0)</f>
        <v>0</v>
      </c>
      <c r="AZ386" s="19">
        <f t="shared" ref="AZ386:AZ449" si="363">AX386*AY386</f>
        <v>0</v>
      </c>
      <c r="BA386" s="16"/>
      <c r="BB386" s="17">
        <f>VLOOKUP(BA386,'DATABASE F&amp;B'!$C$3:$F$216,2,0)</f>
        <v>0</v>
      </c>
      <c r="BC386" s="18"/>
      <c r="BD386" s="19">
        <f>VLOOKUP(BA386,'DATABASE F&amp;B'!$C$3:$F$216,4,0)</f>
        <v>0</v>
      </c>
      <c r="BE386" s="19">
        <f t="shared" ref="BE386:BE449" si="364">BC386*BD386</f>
        <v>0</v>
      </c>
      <c r="BF386" s="16"/>
      <c r="BG386" s="17">
        <f>VLOOKUP(BF386,'DATABASE F&amp;B'!$C$3:$F$216,2,0)</f>
        <v>0</v>
      </c>
      <c r="BH386" s="18"/>
      <c r="BI386" s="19">
        <f>VLOOKUP(BF386,'DATABASE F&amp;B'!$C$3:$F$216,4,0)</f>
        <v>0</v>
      </c>
      <c r="BJ386" s="19">
        <f t="shared" ref="BJ386:BJ449" si="365">BH386*BI386</f>
        <v>0</v>
      </c>
      <c r="BK386" s="16"/>
      <c r="BL386" s="17">
        <f>VLOOKUP(BK386,'DATABASE F&amp;B'!$C$3:$F$210,2,0)</f>
        <v>0</v>
      </c>
      <c r="BM386" s="18"/>
      <c r="BN386" s="19">
        <f>VLOOKUP(BK386,'DATABASE F&amp;B'!$C$3:$F$210,4,0)</f>
        <v>0</v>
      </c>
      <c r="BO386" s="19">
        <f t="shared" ref="BO386:BO449" si="366">BM386*BN386</f>
        <v>0</v>
      </c>
      <c r="BP386" s="16"/>
      <c r="BQ386" s="17">
        <f>VLOOKUP(BP386,'DATABASE F&amp;B'!$C$3:$F$210,2,0)</f>
        <v>0</v>
      </c>
      <c r="BR386" s="18"/>
      <c r="BS386" s="19">
        <f>VLOOKUP(BP386,'DATABASE F&amp;B'!$C$3:$F$210,4,0)</f>
        <v>0</v>
      </c>
      <c r="BT386" s="19">
        <f t="shared" ref="BT386:BT449" si="367">BR386*BS386</f>
        <v>0</v>
      </c>
      <c r="BU386" s="16"/>
      <c r="BV386" s="17">
        <f>VLOOKUP(BU386,'DATABASE F&amp;B'!$C$3:$F$210,2,0)</f>
        <v>0</v>
      </c>
      <c r="BW386" s="18"/>
      <c r="BX386" s="19">
        <f>VLOOKUP(BU386,'DATABASE F&amp;B'!$C$3:$F$210,4,0)</f>
        <v>0</v>
      </c>
      <c r="BY386" s="19">
        <f t="shared" ref="BY386:BY449" si="368">BW386*BX386</f>
        <v>0</v>
      </c>
      <c r="BZ386" s="16"/>
      <c r="CA386" s="17">
        <f>VLOOKUP(BZ386,'DATABASE F&amp;B'!$C$3:$F$210,2,0)</f>
        <v>0</v>
      </c>
      <c r="CB386" s="18"/>
      <c r="CC386" s="19">
        <f>VLOOKUP(BZ386,'DATABASE F&amp;B'!$C$3:$F$210,4,0)</f>
        <v>0</v>
      </c>
      <c r="CD386" s="19">
        <f t="shared" ref="CD386:CD449" si="369">CB386*CC386</f>
        <v>0</v>
      </c>
    </row>
    <row r="387" spans="1:82" ht="13.5" x14ac:dyDescent="0.25">
      <c r="A387" s="32" t="str">
        <f t="shared" si="349"/>
        <v>--20</v>
      </c>
      <c r="B387" s="22">
        <f t="shared" ref="B387:C387" si="370">B386+1</f>
        <v>383</v>
      </c>
      <c r="C387" s="22">
        <f t="shared" si="370"/>
        <v>383</v>
      </c>
      <c r="D387" s="34"/>
      <c r="E387" s="35"/>
      <c r="F387" s="35"/>
      <c r="G387" s="52"/>
      <c r="H387" s="36" t="str">
        <f t="shared" si="285"/>
        <v>RJ--383</v>
      </c>
      <c r="I387" s="36" t="str">
        <f t="shared" si="351"/>
        <v>--20</v>
      </c>
      <c r="J387" s="37" t="e">
        <f>VLOOKUP(D387,Laporan!$C$4:$D$34,2,0)</f>
        <v>#N/A</v>
      </c>
      <c r="K387" s="48"/>
      <c r="L387" s="13"/>
      <c r="M387" s="19">
        <f>SUMIF('DATABASE Room'!$B$3:$B$7,L387,'DATABASE Room'!$D$3:$D$7)</f>
        <v>0</v>
      </c>
      <c r="N387" s="13"/>
      <c r="O387" s="21">
        <f t="shared" si="352"/>
        <v>0</v>
      </c>
      <c r="P387" s="38"/>
      <c r="Q387" s="19">
        <f t="shared" si="353"/>
        <v>0</v>
      </c>
      <c r="R387" s="21">
        <f t="shared" si="354"/>
        <v>0</v>
      </c>
      <c r="S387" s="19">
        <f t="shared" si="355"/>
        <v>2</v>
      </c>
      <c r="T387" s="19">
        <f t="shared" si="356"/>
        <v>0</v>
      </c>
      <c r="U387" s="21">
        <f t="shared" si="357"/>
        <v>0</v>
      </c>
      <c r="V387" s="39"/>
      <c r="W387" s="16"/>
      <c r="X387" s="17">
        <f>VLOOKUP(W387,'DATABASE F&amp;B'!$C$3:$F$216,2,0)</f>
        <v>0</v>
      </c>
      <c r="Y387" s="18"/>
      <c r="Z387" s="19">
        <f>VLOOKUP(W387,'DATABASE F&amp;B'!$C$3:$F$216,4,0)</f>
        <v>0</v>
      </c>
      <c r="AA387" s="19">
        <f t="shared" si="358"/>
        <v>0</v>
      </c>
      <c r="AB387" s="16"/>
      <c r="AC387" s="17">
        <f>VLOOKUP(AB387,'DATABASE F&amp;B'!$C$3:$F$216,2,0)</f>
        <v>0</v>
      </c>
      <c r="AD387" s="18"/>
      <c r="AE387" s="19">
        <f>VLOOKUP(AB387,'DATABASE F&amp;B'!$C$3:$F$216,4,0)</f>
        <v>0</v>
      </c>
      <c r="AF387" s="19">
        <f t="shared" si="359"/>
        <v>0</v>
      </c>
      <c r="AG387" s="16"/>
      <c r="AH387" s="17">
        <f>VLOOKUP(AG387,'DATABASE F&amp;B'!$C$3:$F$216,2,0)</f>
        <v>0</v>
      </c>
      <c r="AI387" s="18"/>
      <c r="AJ387" s="19">
        <f>VLOOKUP(AG387,'DATABASE F&amp;B'!$C$3:$F$216,4,0)</f>
        <v>0</v>
      </c>
      <c r="AK387" s="19">
        <f t="shared" si="360"/>
        <v>0</v>
      </c>
      <c r="AL387" s="16"/>
      <c r="AM387" s="17">
        <f>VLOOKUP(AL387,'DATABASE F&amp;B'!$C$3:$F$216,2,0)</f>
        <v>0</v>
      </c>
      <c r="AN387" s="18">
        <v>1</v>
      </c>
      <c r="AO387" s="19">
        <f>VLOOKUP(AL387,'DATABASE F&amp;B'!$C$3:$F$216,4,0)</f>
        <v>0</v>
      </c>
      <c r="AP387" s="19">
        <f t="shared" si="361"/>
        <v>0</v>
      </c>
      <c r="AQ387" s="16"/>
      <c r="AR387" s="17">
        <f>VLOOKUP(AQ387,'DATABASE F&amp;B'!$C$3:$F$216,2,0)</f>
        <v>0</v>
      </c>
      <c r="AS387" s="18">
        <v>1</v>
      </c>
      <c r="AT387" s="19">
        <f>VLOOKUP(AQ387,'DATABASE F&amp;B'!$C$3:$F$216,4,0)</f>
        <v>0</v>
      </c>
      <c r="AU387" s="19">
        <f t="shared" si="362"/>
        <v>0</v>
      </c>
      <c r="AV387" s="16"/>
      <c r="AW387" s="17">
        <f>VLOOKUP(AV387,'DATABASE F&amp;B'!$C$3:$F$216,2,0)</f>
        <v>0</v>
      </c>
      <c r="AX387" s="18"/>
      <c r="AY387" s="19">
        <f>VLOOKUP(AV387,'DATABASE F&amp;B'!$C$3:$F$216,4,0)</f>
        <v>0</v>
      </c>
      <c r="AZ387" s="19">
        <f t="shared" si="363"/>
        <v>0</v>
      </c>
      <c r="BA387" s="16"/>
      <c r="BB387" s="17">
        <f>VLOOKUP(BA387,'DATABASE F&amp;B'!$C$3:$F$216,2,0)</f>
        <v>0</v>
      </c>
      <c r="BC387" s="18"/>
      <c r="BD387" s="19">
        <f>VLOOKUP(BA387,'DATABASE F&amp;B'!$C$3:$F$216,4,0)</f>
        <v>0</v>
      </c>
      <c r="BE387" s="19">
        <f t="shared" si="364"/>
        <v>0</v>
      </c>
      <c r="BF387" s="16"/>
      <c r="BG387" s="17">
        <f>VLOOKUP(BF387,'DATABASE F&amp;B'!$C$3:$F$216,2,0)</f>
        <v>0</v>
      </c>
      <c r="BH387" s="18"/>
      <c r="BI387" s="19">
        <f>VLOOKUP(BF387,'DATABASE F&amp;B'!$C$3:$F$216,4,0)</f>
        <v>0</v>
      </c>
      <c r="BJ387" s="19">
        <f t="shared" si="365"/>
        <v>0</v>
      </c>
      <c r="BK387" s="16"/>
      <c r="BL387" s="17">
        <f>VLOOKUP(BK387,'DATABASE F&amp;B'!$C$3:$F$210,2,0)</f>
        <v>0</v>
      </c>
      <c r="BM387" s="18"/>
      <c r="BN387" s="19">
        <f>VLOOKUP(BK387,'DATABASE F&amp;B'!$C$3:$F$210,4,0)</f>
        <v>0</v>
      </c>
      <c r="BO387" s="19">
        <f t="shared" si="366"/>
        <v>0</v>
      </c>
      <c r="BP387" s="16"/>
      <c r="BQ387" s="17">
        <f>VLOOKUP(BP387,'DATABASE F&amp;B'!$C$3:$F$210,2,0)</f>
        <v>0</v>
      </c>
      <c r="BR387" s="18"/>
      <c r="BS387" s="19">
        <f>VLOOKUP(BP387,'DATABASE F&amp;B'!$C$3:$F$210,4,0)</f>
        <v>0</v>
      </c>
      <c r="BT387" s="19">
        <f t="shared" si="367"/>
        <v>0</v>
      </c>
      <c r="BU387" s="16"/>
      <c r="BV387" s="17">
        <f>VLOOKUP(BU387,'DATABASE F&amp;B'!$C$3:$F$210,2,0)</f>
        <v>0</v>
      </c>
      <c r="BW387" s="18"/>
      <c r="BX387" s="19">
        <f>VLOOKUP(BU387,'DATABASE F&amp;B'!$C$3:$F$210,4,0)</f>
        <v>0</v>
      </c>
      <c r="BY387" s="19">
        <f t="shared" si="368"/>
        <v>0</v>
      </c>
      <c r="BZ387" s="16"/>
      <c r="CA387" s="17">
        <f>VLOOKUP(BZ387,'DATABASE F&amp;B'!$C$3:$F$210,2,0)</f>
        <v>0</v>
      </c>
      <c r="CB387" s="18"/>
      <c r="CC387" s="19">
        <f>VLOOKUP(BZ387,'DATABASE F&amp;B'!$C$3:$F$210,4,0)</f>
        <v>0</v>
      </c>
      <c r="CD387" s="19">
        <f t="shared" si="369"/>
        <v>0</v>
      </c>
    </row>
    <row r="388" spans="1:82" ht="13.5" x14ac:dyDescent="0.25">
      <c r="A388" s="32" t="str">
        <f t="shared" si="349"/>
        <v>--20</v>
      </c>
      <c r="B388" s="22">
        <f t="shared" ref="B388:C388" si="371">B387+1</f>
        <v>384</v>
      </c>
      <c r="C388" s="22">
        <f t="shared" si="371"/>
        <v>384</v>
      </c>
      <c r="D388" s="34"/>
      <c r="E388" s="35"/>
      <c r="F388" s="35"/>
      <c r="G388" s="52"/>
      <c r="H388" s="36" t="str">
        <f t="shared" si="285"/>
        <v>RJ--384</v>
      </c>
      <c r="I388" s="36" t="str">
        <f t="shared" si="351"/>
        <v>--20</v>
      </c>
      <c r="J388" s="37" t="e">
        <f>VLOOKUP(D388,Laporan!$C$4:$D$34,2,0)</f>
        <v>#N/A</v>
      </c>
      <c r="K388" s="48"/>
      <c r="L388" s="13"/>
      <c r="M388" s="19">
        <f>SUMIF('DATABASE Room'!$B$3:$B$7,L388,'DATABASE Room'!$D$3:$D$7)</f>
        <v>0</v>
      </c>
      <c r="N388" s="13"/>
      <c r="O388" s="21">
        <f t="shared" si="352"/>
        <v>0</v>
      </c>
      <c r="P388" s="38"/>
      <c r="Q388" s="19">
        <f t="shared" si="353"/>
        <v>0</v>
      </c>
      <c r="R388" s="21">
        <f t="shared" si="354"/>
        <v>0</v>
      </c>
      <c r="S388" s="19">
        <f t="shared" si="355"/>
        <v>2</v>
      </c>
      <c r="T388" s="19">
        <f t="shared" si="356"/>
        <v>0</v>
      </c>
      <c r="U388" s="21">
        <f t="shared" si="357"/>
        <v>0</v>
      </c>
      <c r="V388" s="39"/>
      <c r="W388" s="16"/>
      <c r="X388" s="17">
        <f>VLOOKUP(W388,'DATABASE F&amp;B'!$C$3:$F$216,2,0)</f>
        <v>0</v>
      </c>
      <c r="Y388" s="18"/>
      <c r="Z388" s="19">
        <f>VLOOKUP(W388,'DATABASE F&amp;B'!$C$3:$F$216,4,0)</f>
        <v>0</v>
      </c>
      <c r="AA388" s="19">
        <f t="shared" si="358"/>
        <v>0</v>
      </c>
      <c r="AB388" s="16"/>
      <c r="AC388" s="17">
        <f>VLOOKUP(AB388,'DATABASE F&amp;B'!$C$3:$F$216,2,0)</f>
        <v>0</v>
      </c>
      <c r="AD388" s="18"/>
      <c r="AE388" s="19">
        <f>VLOOKUP(AB388,'DATABASE F&amp;B'!$C$3:$F$216,4,0)</f>
        <v>0</v>
      </c>
      <c r="AF388" s="19">
        <f t="shared" si="359"/>
        <v>0</v>
      </c>
      <c r="AG388" s="16"/>
      <c r="AH388" s="17">
        <f>VLOOKUP(AG388,'DATABASE F&amp;B'!$C$3:$F$216,2,0)</f>
        <v>0</v>
      </c>
      <c r="AI388" s="18"/>
      <c r="AJ388" s="19">
        <f>VLOOKUP(AG388,'DATABASE F&amp;B'!$C$3:$F$216,4,0)</f>
        <v>0</v>
      </c>
      <c r="AK388" s="19">
        <f t="shared" si="360"/>
        <v>0</v>
      </c>
      <c r="AL388" s="16"/>
      <c r="AM388" s="17">
        <f>VLOOKUP(AL388,'DATABASE F&amp;B'!$C$3:$F$216,2,0)</f>
        <v>0</v>
      </c>
      <c r="AN388" s="18">
        <v>1</v>
      </c>
      <c r="AO388" s="19">
        <f>VLOOKUP(AL388,'DATABASE F&amp;B'!$C$3:$F$216,4,0)</f>
        <v>0</v>
      </c>
      <c r="AP388" s="19">
        <f t="shared" si="361"/>
        <v>0</v>
      </c>
      <c r="AQ388" s="16"/>
      <c r="AR388" s="17">
        <f>VLOOKUP(AQ388,'DATABASE F&amp;B'!$C$3:$F$216,2,0)</f>
        <v>0</v>
      </c>
      <c r="AS388" s="18">
        <v>1</v>
      </c>
      <c r="AT388" s="19">
        <f>VLOOKUP(AQ388,'DATABASE F&amp;B'!$C$3:$F$216,4,0)</f>
        <v>0</v>
      </c>
      <c r="AU388" s="19">
        <f t="shared" si="362"/>
        <v>0</v>
      </c>
      <c r="AV388" s="16"/>
      <c r="AW388" s="17">
        <f>VLOOKUP(AV388,'DATABASE F&amp;B'!$C$3:$F$216,2,0)</f>
        <v>0</v>
      </c>
      <c r="AX388" s="18"/>
      <c r="AY388" s="19">
        <f>VLOOKUP(AV388,'DATABASE F&amp;B'!$C$3:$F$216,4,0)</f>
        <v>0</v>
      </c>
      <c r="AZ388" s="19">
        <f t="shared" si="363"/>
        <v>0</v>
      </c>
      <c r="BA388" s="16"/>
      <c r="BB388" s="17">
        <f>VLOOKUP(BA388,'DATABASE F&amp;B'!$C$3:$F$216,2,0)</f>
        <v>0</v>
      </c>
      <c r="BC388" s="18"/>
      <c r="BD388" s="19">
        <f>VLOOKUP(BA388,'DATABASE F&amp;B'!$C$3:$F$216,4,0)</f>
        <v>0</v>
      </c>
      <c r="BE388" s="19">
        <f t="shared" si="364"/>
        <v>0</v>
      </c>
      <c r="BF388" s="16"/>
      <c r="BG388" s="17">
        <f>VLOOKUP(BF388,'DATABASE F&amp;B'!$C$3:$F$216,2,0)</f>
        <v>0</v>
      </c>
      <c r="BH388" s="18"/>
      <c r="BI388" s="19">
        <f>VLOOKUP(BF388,'DATABASE F&amp;B'!$C$3:$F$216,4,0)</f>
        <v>0</v>
      </c>
      <c r="BJ388" s="19">
        <f t="shared" si="365"/>
        <v>0</v>
      </c>
      <c r="BK388" s="16"/>
      <c r="BL388" s="17">
        <f>VLOOKUP(BK388,'DATABASE F&amp;B'!$C$3:$F$210,2,0)</f>
        <v>0</v>
      </c>
      <c r="BM388" s="18"/>
      <c r="BN388" s="19">
        <f>VLOOKUP(BK388,'DATABASE F&amp;B'!$C$3:$F$210,4,0)</f>
        <v>0</v>
      </c>
      <c r="BO388" s="19">
        <f t="shared" si="366"/>
        <v>0</v>
      </c>
      <c r="BP388" s="16"/>
      <c r="BQ388" s="17">
        <f>VLOOKUP(BP388,'DATABASE F&amp;B'!$C$3:$F$210,2,0)</f>
        <v>0</v>
      </c>
      <c r="BR388" s="18"/>
      <c r="BS388" s="19">
        <f>VLOOKUP(BP388,'DATABASE F&amp;B'!$C$3:$F$210,4,0)</f>
        <v>0</v>
      </c>
      <c r="BT388" s="19">
        <f t="shared" si="367"/>
        <v>0</v>
      </c>
      <c r="BU388" s="16"/>
      <c r="BV388" s="17">
        <f>VLOOKUP(BU388,'DATABASE F&amp;B'!$C$3:$F$210,2,0)</f>
        <v>0</v>
      </c>
      <c r="BW388" s="18"/>
      <c r="BX388" s="19">
        <f>VLOOKUP(BU388,'DATABASE F&amp;B'!$C$3:$F$210,4,0)</f>
        <v>0</v>
      </c>
      <c r="BY388" s="19">
        <f t="shared" si="368"/>
        <v>0</v>
      </c>
      <c r="BZ388" s="16"/>
      <c r="CA388" s="17">
        <f>VLOOKUP(BZ388,'DATABASE F&amp;B'!$C$3:$F$210,2,0)</f>
        <v>0</v>
      </c>
      <c r="CB388" s="18"/>
      <c r="CC388" s="19">
        <f>VLOOKUP(BZ388,'DATABASE F&amp;B'!$C$3:$F$210,4,0)</f>
        <v>0</v>
      </c>
      <c r="CD388" s="19">
        <f t="shared" si="369"/>
        <v>0</v>
      </c>
    </row>
    <row r="389" spans="1:82" ht="13.5" x14ac:dyDescent="0.25">
      <c r="A389" s="32" t="str">
        <f t="shared" si="349"/>
        <v>--20</v>
      </c>
      <c r="B389" s="22">
        <f t="shared" ref="B389:C389" si="372">B388+1</f>
        <v>385</v>
      </c>
      <c r="C389" s="22">
        <f t="shared" si="372"/>
        <v>385</v>
      </c>
      <c r="D389" s="34"/>
      <c r="E389" s="35"/>
      <c r="F389" s="35"/>
      <c r="G389" s="52"/>
      <c r="H389" s="36" t="str">
        <f t="shared" si="285"/>
        <v>RJ--385</v>
      </c>
      <c r="I389" s="36" t="str">
        <f t="shared" si="351"/>
        <v>--20</v>
      </c>
      <c r="J389" s="37" t="e">
        <f>VLOOKUP(D389,Laporan!$C$4:$D$34,2,0)</f>
        <v>#N/A</v>
      </c>
      <c r="K389" s="48"/>
      <c r="L389" s="13"/>
      <c r="M389" s="19">
        <f>SUMIF('DATABASE Room'!$B$3:$B$7,L389,'DATABASE Room'!$D$3:$D$7)</f>
        <v>0</v>
      </c>
      <c r="N389" s="13"/>
      <c r="O389" s="21">
        <f t="shared" si="352"/>
        <v>0</v>
      </c>
      <c r="P389" s="38"/>
      <c r="Q389" s="19">
        <f t="shared" si="353"/>
        <v>0</v>
      </c>
      <c r="R389" s="21">
        <f t="shared" si="354"/>
        <v>0</v>
      </c>
      <c r="S389" s="19">
        <f t="shared" si="355"/>
        <v>2</v>
      </c>
      <c r="T389" s="19">
        <f t="shared" si="356"/>
        <v>0</v>
      </c>
      <c r="U389" s="21">
        <f t="shared" si="357"/>
        <v>0</v>
      </c>
      <c r="V389" s="39"/>
      <c r="W389" s="16"/>
      <c r="X389" s="17">
        <f>VLOOKUP(W389,'DATABASE F&amp;B'!$C$3:$F$216,2,0)</f>
        <v>0</v>
      </c>
      <c r="Y389" s="18"/>
      <c r="Z389" s="19">
        <f>VLOOKUP(W389,'DATABASE F&amp;B'!$C$3:$F$216,4,0)</f>
        <v>0</v>
      </c>
      <c r="AA389" s="19">
        <f t="shared" si="358"/>
        <v>0</v>
      </c>
      <c r="AB389" s="16"/>
      <c r="AC389" s="17">
        <f>VLOOKUP(AB389,'DATABASE F&amp;B'!$C$3:$F$216,2,0)</f>
        <v>0</v>
      </c>
      <c r="AD389" s="18"/>
      <c r="AE389" s="19">
        <f>VLOOKUP(AB389,'DATABASE F&amp;B'!$C$3:$F$216,4,0)</f>
        <v>0</v>
      </c>
      <c r="AF389" s="19">
        <f t="shared" si="359"/>
        <v>0</v>
      </c>
      <c r="AG389" s="16"/>
      <c r="AH389" s="17">
        <f>VLOOKUP(AG389,'DATABASE F&amp;B'!$C$3:$F$216,2,0)</f>
        <v>0</v>
      </c>
      <c r="AI389" s="18"/>
      <c r="AJ389" s="19">
        <f>VLOOKUP(AG389,'DATABASE F&amp;B'!$C$3:$F$216,4,0)</f>
        <v>0</v>
      </c>
      <c r="AK389" s="19">
        <f t="shared" si="360"/>
        <v>0</v>
      </c>
      <c r="AL389" s="16"/>
      <c r="AM389" s="17">
        <f>VLOOKUP(AL389,'DATABASE F&amp;B'!$C$3:$F$216,2,0)</f>
        <v>0</v>
      </c>
      <c r="AN389" s="18">
        <v>1</v>
      </c>
      <c r="AO389" s="19">
        <f>VLOOKUP(AL389,'DATABASE F&amp;B'!$C$3:$F$216,4,0)</f>
        <v>0</v>
      </c>
      <c r="AP389" s="19">
        <f t="shared" si="361"/>
        <v>0</v>
      </c>
      <c r="AQ389" s="16"/>
      <c r="AR389" s="17">
        <f>VLOOKUP(AQ389,'DATABASE F&amp;B'!$C$3:$F$216,2,0)</f>
        <v>0</v>
      </c>
      <c r="AS389" s="18">
        <v>1</v>
      </c>
      <c r="AT389" s="19">
        <f>VLOOKUP(AQ389,'DATABASE F&amp;B'!$C$3:$F$216,4,0)</f>
        <v>0</v>
      </c>
      <c r="AU389" s="19">
        <f t="shared" si="362"/>
        <v>0</v>
      </c>
      <c r="AV389" s="16"/>
      <c r="AW389" s="17">
        <f>VLOOKUP(AV389,'DATABASE F&amp;B'!$C$3:$F$216,2,0)</f>
        <v>0</v>
      </c>
      <c r="AX389" s="18"/>
      <c r="AY389" s="19">
        <f>VLOOKUP(AV389,'DATABASE F&amp;B'!$C$3:$F$216,4,0)</f>
        <v>0</v>
      </c>
      <c r="AZ389" s="19">
        <f t="shared" si="363"/>
        <v>0</v>
      </c>
      <c r="BA389" s="16"/>
      <c r="BB389" s="17">
        <f>VLOOKUP(BA389,'DATABASE F&amp;B'!$C$3:$F$216,2,0)</f>
        <v>0</v>
      </c>
      <c r="BC389" s="18"/>
      <c r="BD389" s="19">
        <f>VLOOKUP(BA389,'DATABASE F&amp;B'!$C$3:$F$216,4,0)</f>
        <v>0</v>
      </c>
      <c r="BE389" s="19">
        <f t="shared" si="364"/>
        <v>0</v>
      </c>
      <c r="BF389" s="16"/>
      <c r="BG389" s="17">
        <f>VLOOKUP(BF389,'DATABASE F&amp;B'!$C$3:$F$216,2,0)</f>
        <v>0</v>
      </c>
      <c r="BH389" s="18"/>
      <c r="BI389" s="19">
        <f>VLOOKUP(BF389,'DATABASE F&amp;B'!$C$3:$F$216,4,0)</f>
        <v>0</v>
      </c>
      <c r="BJ389" s="19">
        <f t="shared" si="365"/>
        <v>0</v>
      </c>
      <c r="BK389" s="16"/>
      <c r="BL389" s="17">
        <f>VLOOKUP(BK389,'DATABASE F&amp;B'!$C$3:$F$210,2,0)</f>
        <v>0</v>
      </c>
      <c r="BM389" s="18"/>
      <c r="BN389" s="19">
        <f>VLOOKUP(BK389,'DATABASE F&amp;B'!$C$3:$F$210,4,0)</f>
        <v>0</v>
      </c>
      <c r="BO389" s="19">
        <f t="shared" si="366"/>
        <v>0</v>
      </c>
      <c r="BP389" s="16"/>
      <c r="BQ389" s="17">
        <f>VLOOKUP(BP389,'DATABASE F&amp;B'!$C$3:$F$210,2,0)</f>
        <v>0</v>
      </c>
      <c r="BR389" s="18"/>
      <c r="BS389" s="19">
        <f>VLOOKUP(BP389,'DATABASE F&amp;B'!$C$3:$F$210,4,0)</f>
        <v>0</v>
      </c>
      <c r="BT389" s="19">
        <f t="shared" si="367"/>
        <v>0</v>
      </c>
      <c r="BU389" s="16"/>
      <c r="BV389" s="17">
        <f>VLOOKUP(BU389,'DATABASE F&amp;B'!$C$3:$F$210,2,0)</f>
        <v>0</v>
      </c>
      <c r="BW389" s="18"/>
      <c r="BX389" s="19">
        <f>VLOOKUP(BU389,'DATABASE F&amp;B'!$C$3:$F$210,4,0)</f>
        <v>0</v>
      </c>
      <c r="BY389" s="19">
        <f t="shared" si="368"/>
        <v>0</v>
      </c>
      <c r="BZ389" s="16"/>
      <c r="CA389" s="17">
        <f>VLOOKUP(BZ389,'DATABASE F&amp;B'!$C$3:$F$210,2,0)</f>
        <v>0</v>
      </c>
      <c r="CB389" s="18"/>
      <c r="CC389" s="19">
        <f>VLOOKUP(BZ389,'DATABASE F&amp;B'!$C$3:$F$210,4,0)</f>
        <v>0</v>
      </c>
      <c r="CD389" s="19">
        <f t="shared" si="369"/>
        <v>0</v>
      </c>
    </row>
    <row r="390" spans="1:82" ht="13.5" x14ac:dyDescent="0.25">
      <c r="A390" s="32" t="str">
        <f t="shared" si="349"/>
        <v>--20</v>
      </c>
      <c r="B390" s="22">
        <f t="shared" ref="B390:C390" si="373">B389+1</f>
        <v>386</v>
      </c>
      <c r="C390" s="22">
        <f t="shared" si="373"/>
        <v>386</v>
      </c>
      <c r="D390" s="34"/>
      <c r="E390" s="35"/>
      <c r="F390" s="35"/>
      <c r="G390" s="52"/>
      <c r="H390" s="36" t="str">
        <f t="shared" ref="H390:H453" si="374">CONCATENATE("RJ","-",E390,F390,G390,"-",B390)</f>
        <v>RJ--386</v>
      </c>
      <c r="I390" s="36" t="str">
        <f t="shared" si="351"/>
        <v>--20</v>
      </c>
      <c r="J390" s="37" t="e">
        <f>VLOOKUP(D390,Laporan!$C$4:$D$34,2,0)</f>
        <v>#N/A</v>
      </c>
      <c r="K390" s="48"/>
      <c r="L390" s="13"/>
      <c r="M390" s="19">
        <f>SUMIF('DATABASE Room'!$B$3:$B$7,L390,'DATABASE Room'!$D$3:$D$7)</f>
        <v>0</v>
      </c>
      <c r="N390" s="13"/>
      <c r="O390" s="21">
        <f t="shared" si="352"/>
        <v>0</v>
      </c>
      <c r="P390" s="38"/>
      <c r="Q390" s="19">
        <f t="shared" si="353"/>
        <v>0</v>
      </c>
      <c r="R390" s="21">
        <f t="shared" si="354"/>
        <v>0</v>
      </c>
      <c r="S390" s="19">
        <f t="shared" si="355"/>
        <v>2</v>
      </c>
      <c r="T390" s="19">
        <f t="shared" si="356"/>
        <v>0</v>
      </c>
      <c r="U390" s="21">
        <f t="shared" si="357"/>
        <v>0</v>
      </c>
      <c r="V390" s="39"/>
      <c r="W390" s="16"/>
      <c r="X390" s="17">
        <f>VLOOKUP(W390,'DATABASE F&amp;B'!$C$3:$F$216,2,0)</f>
        <v>0</v>
      </c>
      <c r="Y390" s="18"/>
      <c r="Z390" s="19">
        <f>VLOOKUP(W390,'DATABASE F&amp;B'!$C$3:$F$216,4,0)</f>
        <v>0</v>
      </c>
      <c r="AA390" s="19">
        <f t="shared" si="358"/>
        <v>0</v>
      </c>
      <c r="AB390" s="16"/>
      <c r="AC390" s="17">
        <f>VLOOKUP(AB390,'DATABASE F&amp;B'!$C$3:$F$216,2,0)</f>
        <v>0</v>
      </c>
      <c r="AD390" s="18"/>
      <c r="AE390" s="19">
        <f>VLOOKUP(AB390,'DATABASE F&amp;B'!$C$3:$F$216,4,0)</f>
        <v>0</v>
      </c>
      <c r="AF390" s="19">
        <f t="shared" si="359"/>
        <v>0</v>
      </c>
      <c r="AG390" s="16"/>
      <c r="AH390" s="17">
        <f>VLOOKUP(AG390,'DATABASE F&amp;B'!$C$3:$F$216,2,0)</f>
        <v>0</v>
      </c>
      <c r="AI390" s="18"/>
      <c r="AJ390" s="19">
        <f>VLOOKUP(AG390,'DATABASE F&amp;B'!$C$3:$F$216,4,0)</f>
        <v>0</v>
      </c>
      <c r="AK390" s="19">
        <f t="shared" si="360"/>
        <v>0</v>
      </c>
      <c r="AL390" s="16"/>
      <c r="AM390" s="17">
        <f>VLOOKUP(AL390,'DATABASE F&amp;B'!$C$3:$F$216,2,0)</f>
        <v>0</v>
      </c>
      <c r="AN390" s="18">
        <v>1</v>
      </c>
      <c r="AO390" s="19">
        <f>VLOOKUP(AL390,'DATABASE F&amp;B'!$C$3:$F$216,4,0)</f>
        <v>0</v>
      </c>
      <c r="AP390" s="19">
        <f t="shared" si="361"/>
        <v>0</v>
      </c>
      <c r="AQ390" s="16"/>
      <c r="AR390" s="17">
        <f>VLOOKUP(AQ390,'DATABASE F&amp;B'!$C$3:$F$216,2,0)</f>
        <v>0</v>
      </c>
      <c r="AS390" s="18">
        <v>1</v>
      </c>
      <c r="AT390" s="19">
        <f>VLOOKUP(AQ390,'DATABASE F&amp;B'!$C$3:$F$216,4,0)</f>
        <v>0</v>
      </c>
      <c r="AU390" s="19">
        <f t="shared" si="362"/>
        <v>0</v>
      </c>
      <c r="AV390" s="16"/>
      <c r="AW390" s="17">
        <f>VLOOKUP(AV390,'DATABASE F&amp;B'!$C$3:$F$216,2,0)</f>
        <v>0</v>
      </c>
      <c r="AX390" s="18"/>
      <c r="AY390" s="19">
        <f>VLOOKUP(AV390,'DATABASE F&amp;B'!$C$3:$F$216,4,0)</f>
        <v>0</v>
      </c>
      <c r="AZ390" s="19">
        <f t="shared" si="363"/>
        <v>0</v>
      </c>
      <c r="BA390" s="16"/>
      <c r="BB390" s="17">
        <f>VLOOKUP(BA390,'DATABASE F&amp;B'!$C$3:$F$216,2,0)</f>
        <v>0</v>
      </c>
      <c r="BC390" s="18"/>
      <c r="BD390" s="19">
        <f>VLOOKUP(BA390,'DATABASE F&amp;B'!$C$3:$F$216,4,0)</f>
        <v>0</v>
      </c>
      <c r="BE390" s="19">
        <f t="shared" si="364"/>
        <v>0</v>
      </c>
      <c r="BF390" s="16"/>
      <c r="BG390" s="17">
        <f>VLOOKUP(BF390,'DATABASE F&amp;B'!$C$3:$F$216,2,0)</f>
        <v>0</v>
      </c>
      <c r="BH390" s="18"/>
      <c r="BI390" s="19">
        <f>VLOOKUP(BF390,'DATABASE F&amp;B'!$C$3:$F$216,4,0)</f>
        <v>0</v>
      </c>
      <c r="BJ390" s="19">
        <f t="shared" si="365"/>
        <v>0</v>
      </c>
      <c r="BK390" s="16"/>
      <c r="BL390" s="17">
        <f>VLOOKUP(BK390,'DATABASE F&amp;B'!$C$3:$F$210,2,0)</f>
        <v>0</v>
      </c>
      <c r="BM390" s="18"/>
      <c r="BN390" s="19">
        <f>VLOOKUP(BK390,'DATABASE F&amp;B'!$C$3:$F$210,4,0)</f>
        <v>0</v>
      </c>
      <c r="BO390" s="19">
        <f t="shared" si="366"/>
        <v>0</v>
      </c>
      <c r="BP390" s="16"/>
      <c r="BQ390" s="17">
        <f>VLOOKUP(BP390,'DATABASE F&amp;B'!$C$3:$F$210,2,0)</f>
        <v>0</v>
      </c>
      <c r="BR390" s="18"/>
      <c r="BS390" s="19">
        <f>VLOOKUP(BP390,'DATABASE F&amp;B'!$C$3:$F$210,4,0)</f>
        <v>0</v>
      </c>
      <c r="BT390" s="19">
        <f t="shared" si="367"/>
        <v>0</v>
      </c>
      <c r="BU390" s="16"/>
      <c r="BV390" s="17">
        <f>VLOOKUP(BU390,'DATABASE F&amp;B'!$C$3:$F$210,2,0)</f>
        <v>0</v>
      </c>
      <c r="BW390" s="18"/>
      <c r="BX390" s="19">
        <f>VLOOKUP(BU390,'DATABASE F&amp;B'!$C$3:$F$210,4,0)</f>
        <v>0</v>
      </c>
      <c r="BY390" s="19">
        <f t="shared" si="368"/>
        <v>0</v>
      </c>
      <c r="BZ390" s="16"/>
      <c r="CA390" s="17">
        <f>VLOOKUP(BZ390,'DATABASE F&amp;B'!$C$3:$F$210,2,0)</f>
        <v>0</v>
      </c>
      <c r="CB390" s="18"/>
      <c r="CC390" s="19">
        <f>VLOOKUP(BZ390,'DATABASE F&amp;B'!$C$3:$F$210,4,0)</f>
        <v>0</v>
      </c>
      <c r="CD390" s="19">
        <f t="shared" si="369"/>
        <v>0</v>
      </c>
    </row>
    <row r="391" spans="1:82" ht="13.5" x14ac:dyDescent="0.25">
      <c r="A391" s="32" t="str">
        <f t="shared" si="349"/>
        <v>--20</v>
      </c>
      <c r="B391" s="22">
        <f t="shared" ref="B391:C391" si="375">B390+1</f>
        <v>387</v>
      </c>
      <c r="C391" s="22">
        <f t="shared" si="375"/>
        <v>387</v>
      </c>
      <c r="D391" s="34"/>
      <c r="E391" s="35"/>
      <c r="F391" s="35"/>
      <c r="G391" s="52"/>
      <c r="H391" s="36" t="str">
        <f t="shared" si="374"/>
        <v>RJ--387</v>
      </c>
      <c r="I391" s="36" t="str">
        <f t="shared" si="351"/>
        <v>--20</v>
      </c>
      <c r="J391" s="37" t="e">
        <f>VLOOKUP(D391,Laporan!$C$4:$D$34,2,0)</f>
        <v>#N/A</v>
      </c>
      <c r="K391" s="48"/>
      <c r="L391" s="13"/>
      <c r="M391" s="19">
        <f>SUMIF('DATABASE Room'!$B$3:$B$7,L391,'DATABASE Room'!$D$3:$D$7)</f>
        <v>0</v>
      </c>
      <c r="N391" s="13"/>
      <c r="O391" s="21">
        <f t="shared" si="352"/>
        <v>0</v>
      </c>
      <c r="P391" s="38"/>
      <c r="Q391" s="19">
        <f t="shared" si="353"/>
        <v>0</v>
      </c>
      <c r="R391" s="21">
        <f t="shared" si="354"/>
        <v>0</v>
      </c>
      <c r="S391" s="19">
        <f t="shared" si="355"/>
        <v>2</v>
      </c>
      <c r="T391" s="19">
        <f t="shared" si="356"/>
        <v>0</v>
      </c>
      <c r="U391" s="21">
        <f t="shared" si="357"/>
        <v>0</v>
      </c>
      <c r="V391" s="39"/>
      <c r="W391" s="16"/>
      <c r="X391" s="17">
        <f>VLOOKUP(W391,'DATABASE F&amp;B'!$C$3:$F$216,2,0)</f>
        <v>0</v>
      </c>
      <c r="Y391" s="18"/>
      <c r="Z391" s="19">
        <f>VLOOKUP(W391,'DATABASE F&amp;B'!$C$3:$F$216,4,0)</f>
        <v>0</v>
      </c>
      <c r="AA391" s="19">
        <f t="shared" si="358"/>
        <v>0</v>
      </c>
      <c r="AB391" s="16"/>
      <c r="AC391" s="17">
        <f>VLOOKUP(AB391,'DATABASE F&amp;B'!$C$3:$F$216,2,0)</f>
        <v>0</v>
      </c>
      <c r="AD391" s="18"/>
      <c r="AE391" s="19">
        <f>VLOOKUP(AB391,'DATABASE F&amp;B'!$C$3:$F$216,4,0)</f>
        <v>0</v>
      </c>
      <c r="AF391" s="19">
        <f t="shared" si="359"/>
        <v>0</v>
      </c>
      <c r="AG391" s="16"/>
      <c r="AH391" s="17">
        <f>VLOOKUP(AG391,'DATABASE F&amp;B'!$C$3:$F$216,2,0)</f>
        <v>0</v>
      </c>
      <c r="AI391" s="18"/>
      <c r="AJ391" s="19">
        <f>VLOOKUP(AG391,'DATABASE F&amp;B'!$C$3:$F$216,4,0)</f>
        <v>0</v>
      </c>
      <c r="AK391" s="19">
        <f t="shared" si="360"/>
        <v>0</v>
      </c>
      <c r="AL391" s="16"/>
      <c r="AM391" s="17">
        <f>VLOOKUP(AL391,'DATABASE F&amp;B'!$C$3:$F$216,2,0)</f>
        <v>0</v>
      </c>
      <c r="AN391" s="18">
        <v>1</v>
      </c>
      <c r="AO391" s="19">
        <f>VLOOKUP(AL391,'DATABASE F&amp;B'!$C$3:$F$216,4,0)</f>
        <v>0</v>
      </c>
      <c r="AP391" s="19">
        <f t="shared" si="361"/>
        <v>0</v>
      </c>
      <c r="AQ391" s="16"/>
      <c r="AR391" s="17">
        <f>VLOOKUP(AQ391,'DATABASE F&amp;B'!$C$3:$F$216,2,0)</f>
        <v>0</v>
      </c>
      <c r="AS391" s="18">
        <v>1</v>
      </c>
      <c r="AT391" s="19">
        <f>VLOOKUP(AQ391,'DATABASE F&amp;B'!$C$3:$F$216,4,0)</f>
        <v>0</v>
      </c>
      <c r="AU391" s="19">
        <f t="shared" si="362"/>
        <v>0</v>
      </c>
      <c r="AV391" s="16"/>
      <c r="AW391" s="17">
        <f>VLOOKUP(AV391,'DATABASE F&amp;B'!$C$3:$F$216,2,0)</f>
        <v>0</v>
      </c>
      <c r="AX391" s="18"/>
      <c r="AY391" s="19">
        <f>VLOOKUP(AV391,'DATABASE F&amp;B'!$C$3:$F$216,4,0)</f>
        <v>0</v>
      </c>
      <c r="AZ391" s="19">
        <f t="shared" si="363"/>
        <v>0</v>
      </c>
      <c r="BA391" s="16"/>
      <c r="BB391" s="17">
        <f>VLOOKUP(BA391,'DATABASE F&amp;B'!$C$3:$F$216,2,0)</f>
        <v>0</v>
      </c>
      <c r="BC391" s="18"/>
      <c r="BD391" s="19">
        <f>VLOOKUP(BA391,'DATABASE F&amp;B'!$C$3:$F$216,4,0)</f>
        <v>0</v>
      </c>
      <c r="BE391" s="19">
        <f t="shared" si="364"/>
        <v>0</v>
      </c>
      <c r="BF391" s="16"/>
      <c r="BG391" s="17">
        <f>VLOOKUP(BF391,'DATABASE F&amp;B'!$C$3:$F$216,2,0)</f>
        <v>0</v>
      </c>
      <c r="BH391" s="18"/>
      <c r="BI391" s="19">
        <f>VLOOKUP(BF391,'DATABASE F&amp;B'!$C$3:$F$216,4,0)</f>
        <v>0</v>
      </c>
      <c r="BJ391" s="19">
        <f t="shared" si="365"/>
        <v>0</v>
      </c>
      <c r="BK391" s="16"/>
      <c r="BL391" s="17">
        <f>VLOOKUP(BK391,'DATABASE F&amp;B'!$C$3:$F$210,2,0)</f>
        <v>0</v>
      </c>
      <c r="BM391" s="18"/>
      <c r="BN391" s="19">
        <f>VLOOKUP(BK391,'DATABASE F&amp;B'!$C$3:$F$210,4,0)</f>
        <v>0</v>
      </c>
      <c r="BO391" s="19">
        <f t="shared" si="366"/>
        <v>0</v>
      </c>
      <c r="BP391" s="16"/>
      <c r="BQ391" s="17">
        <f>VLOOKUP(BP391,'DATABASE F&amp;B'!$C$3:$F$210,2,0)</f>
        <v>0</v>
      </c>
      <c r="BR391" s="18"/>
      <c r="BS391" s="19">
        <f>VLOOKUP(BP391,'DATABASE F&amp;B'!$C$3:$F$210,4,0)</f>
        <v>0</v>
      </c>
      <c r="BT391" s="19">
        <f t="shared" si="367"/>
        <v>0</v>
      </c>
      <c r="BU391" s="16"/>
      <c r="BV391" s="17">
        <f>VLOOKUP(BU391,'DATABASE F&amp;B'!$C$3:$F$210,2,0)</f>
        <v>0</v>
      </c>
      <c r="BW391" s="18"/>
      <c r="BX391" s="19">
        <f>VLOOKUP(BU391,'DATABASE F&amp;B'!$C$3:$F$210,4,0)</f>
        <v>0</v>
      </c>
      <c r="BY391" s="19">
        <f t="shared" si="368"/>
        <v>0</v>
      </c>
      <c r="BZ391" s="16"/>
      <c r="CA391" s="17">
        <f>VLOOKUP(BZ391,'DATABASE F&amp;B'!$C$3:$F$210,2,0)</f>
        <v>0</v>
      </c>
      <c r="CB391" s="18"/>
      <c r="CC391" s="19">
        <f>VLOOKUP(BZ391,'DATABASE F&amp;B'!$C$3:$F$210,4,0)</f>
        <v>0</v>
      </c>
      <c r="CD391" s="19">
        <f t="shared" si="369"/>
        <v>0</v>
      </c>
    </row>
    <row r="392" spans="1:82" ht="13.5" x14ac:dyDescent="0.25">
      <c r="A392" s="32" t="str">
        <f t="shared" si="349"/>
        <v>--20</v>
      </c>
      <c r="B392" s="22">
        <f t="shared" ref="B392:C392" si="376">B391+1</f>
        <v>388</v>
      </c>
      <c r="C392" s="22">
        <f t="shared" si="376"/>
        <v>388</v>
      </c>
      <c r="D392" s="34"/>
      <c r="E392" s="35"/>
      <c r="F392" s="35"/>
      <c r="G392" s="52"/>
      <c r="H392" s="36" t="str">
        <f t="shared" si="374"/>
        <v>RJ--388</v>
      </c>
      <c r="I392" s="36" t="str">
        <f t="shared" si="351"/>
        <v>--20</v>
      </c>
      <c r="J392" s="37" t="e">
        <f>VLOOKUP(D392,Laporan!$C$4:$D$34,2,0)</f>
        <v>#N/A</v>
      </c>
      <c r="K392" s="48"/>
      <c r="L392" s="13"/>
      <c r="M392" s="19">
        <f>SUMIF('DATABASE Room'!$B$3:$B$7,L392,'DATABASE Room'!$D$3:$D$7)</f>
        <v>0</v>
      </c>
      <c r="N392" s="13"/>
      <c r="O392" s="21">
        <f t="shared" si="352"/>
        <v>0</v>
      </c>
      <c r="P392" s="38"/>
      <c r="Q392" s="19">
        <f t="shared" si="353"/>
        <v>0</v>
      </c>
      <c r="R392" s="21">
        <f t="shared" si="354"/>
        <v>0</v>
      </c>
      <c r="S392" s="19">
        <f t="shared" si="355"/>
        <v>2</v>
      </c>
      <c r="T392" s="19">
        <f t="shared" si="356"/>
        <v>0</v>
      </c>
      <c r="U392" s="21">
        <f t="shared" si="357"/>
        <v>0</v>
      </c>
      <c r="V392" s="39"/>
      <c r="W392" s="16"/>
      <c r="X392" s="17">
        <f>VLOOKUP(W392,'DATABASE F&amp;B'!$C$3:$F$216,2,0)</f>
        <v>0</v>
      </c>
      <c r="Y392" s="18"/>
      <c r="Z392" s="19">
        <f>VLOOKUP(W392,'DATABASE F&amp;B'!$C$3:$F$216,4,0)</f>
        <v>0</v>
      </c>
      <c r="AA392" s="19">
        <f t="shared" si="358"/>
        <v>0</v>
      </c>
      <c r="AB392" s="16"/>
      <c r="AC392" s="17">
        <f>VLOOKUP(AB392,'DATABASE F&amp;B'!$C$3:$F$216,2,0)</f>
        <v>0</v>
      </c>
      <c r="AD392" s="18"/>
      <c r="AE392" s="19">
        <f>VLOOKUP(AB392,'DATABASE F&amp;B'!$C$3:$F$216,4,0)</f>
        <v>0</v>
      </c>
      <c r="AF392" s="19">
        <f t="shared" si="359"/>
        <v>0</v>
      </c>
      <c r="AG392" s="16"/>
      <c r="AH392" s="17">
        <f>VLOOKUP(AG392,'DATABASE F&amp;B'!$C$3:$F$216,2,0)</f>
        <v>0</v>
      </c>
      <c r="AI392" s="18"/>
      <c r="AJ392" s="19">
        <f>VLOOKUP(AG392,'DATABASE F&amp;B'!$C$3:$F$216,4,0)</f>
        <v>0</v>
      </c>
      <c r="AK392" s="19">
        <f t="shared" si="360"/>
        <v>0</v>
      </c>
      <c r="AL392" s="16"/>
      <c r="AM392" s="17">
        <f>VLOOKUP(AL392,'DATABASE F&amp;B'!$C$3:$F$216,2,0)</f>
        <v>0</v>
      </c>
      <c r="AN392" s="18">
        <v>1</v>
      </c>
      <c r="AO392" s="19">
        <f>VLOOKUP(AL392,'DATABASE F&amp;B'!$C$3:$F$216,4,0)</f>
        <v>0</v>
      </c>
      <c r="AP392" s="19">
        <f t="shared" si="361"/>
        <v>0</v>
      </c>
      <c r="AQ392" s="16"/>
      <c r="AR392" s="17">
        <f>VLOOKUP(AQ392,'DATABASE F&amp;B'!$C$3:$F$216,2,0)</f>
        <v>0</v>
      </c>
      <c r="AS392" s="18">
        <v>1</v>
      </c>
      <c r="AT392" s="19">
        <f>VLOOKUP(AQ392,'DATABASE F&amp;B'!$C$3:$F$216,4,0)</f>
        <v>0</v>
      </c>
      <c r="AU392" s="19">
        <f t="shared" si="362"/>
        <v>0</v>
      </c>
      <c r="AV392" s="16"/>
      <c r="AW392" s="17">
        <f>VLOOKUP(AV392,'DATABASE F&amp;B'!$C$3:$F$216,2,0)</f>
        <v>0</v>
      </c>
      <c r="AX392" s="18"/>
      <c r="AY392" s="19">
        <f>VLOOKUP(AV392,'DATABASE F&amp;B'!$C$3:$F$216,4,0)</f>
        <v>0</v>
      </c>
      <c r="AZ392" s="19">
        <f t="shared" si="363"/>
        <v>0</v>
      </c>
      <c r="BA392" s="16"/>
      <c r="BB392" s="17">
        <f>VLOOKUP(BA392,'DATABASE F&amp;B'!$C$3:$F$216,2,0)</f>
        <v>0</v>
      </c>
      <c r="BC392" s="18"/>
      <c r="BD392" s="19">
        <f>VLOOKUP(BA392,'DATABASE F&amp;B'!$C$3:$F$216,4,0)</f>
        <v>0</v>
      </c>
      <c r="BE392" s="19">
        <f t="shared" si="364"/>
        <v>0</v>
      </c>
      <c r="BF392" s="16"/>
      <c r="BG392" s="17">
        <f>VLOOKUP(BF392,'DATABASE F&amp;B'!$C$3:$F$216,2,0)</f>
        <v>0</v>
      </c>
      <c r="BH392" s="18"/>
      <c r="BI392" s="19">
        <f>VLOOKUP(BF392,'DATABASE F&amp;B'!$C$3:$F$216,4,0)</f>
        <v>0</v>
      </c>
      <c r="BJ392" s="19">
        <f t="shared" si="365"/>
        <v>0</v>
      </c>
      <c r="BK392" s="16"/>
      <c r="BL392" s="17">
        <f>VLOOKUP(BK392,'DATABASE F&amp;B'!$C$3:$F$210,2,0)</f>
        <v>0</v>
      </c>
      <c r="BM392" s="18"/>
      <c r="BN392" s="19">
        <f>VLOOKUP(BK392,'DATABASE F&amp;B'!$C$3:$F$210,4,0)</f>
        <v>0</v>
      </c>
      <c r="BO392" s="19">
        <f t="shared" si="366"/>
        <v>0</v>
      </c>
      <c r="BP392" s="16"/>
      <c r="BQ392" s="17">
        <f>VLOOKUP(BP392,'DATABASE F&amp;B'!$C$3:$F$210,2,0)</f>
        <v>0</v>
      </c>
      <c r="BR392" s="18"/>
      <c r="BS392" s="19">
        <f>VLOOKUP(BP392,'DATABASE F&amp;B'!$C$3:$F$210,4,0)</f>
        <v>0</v>
      </c>
      <c r="BT392" s="19">
        <f t="shared" si="367"/>
        <v>0</v>
      </c>
      <c r="BU392" s="16"/>
      <c r="BV392" s="17">
        <f>VLOOKUP(BU392,'DATABASE F&amp;B'!$C$3:$F$210,2,0)</f>
        <v>0</v>
      </c>
      <c r="BW392" s="18"/>
      <c r="BX392" s="19">
        <f>VLOOKUP(BU392,'DATABASE F&amp;B'!$C$3:$F$210,4,0)</f>
        <v>0</v>
      </c>
      <c r="BY392" s="19">
        <f t="shared" si="368"/>
        <v>0</v>
      </c>
      <c r="BZ392" s="16"/>
      <c r="CA392" s="17">
        <f>VLOOKUP(BZ392,'DATABASE F&amp;B'!$C$3:$F$210,2,0)</f>
        <v>0</v>
      </c>
      <c r="CB392" s="18"/>
      <c r="CC392" s="19">
        <f>VLOOKUP(BZ392,'DATABASE F&amp;B'!$C$3:$F$210,4,0)</f>
        <v>0</v>
      </c>
      <c r="CD392" s="19">
        <f t="shared" si="369"/>
        <v>0</v>
      </c>
    </row>
    <row r="393" spans="1:82" ht="13.5" x14ac:dyDescent="0.25">
      <c r="A393" s="32" t="str">
        <f t="shared" si="349"/>
        <v>--20</v>
      </c>
      <c r="B393" s="22">
        <f t="shared" ref="B393:C393" si="377">B392+1</f>
        <v>389</v>
      </c>
      <c r="C393" s="22">
        <f t="shared" si="377"/>
        <v>389</v>
      </c>
      <c r="D393" s="34"/>
      <c r="E393" s="35"/>
      <c r="F393" s="35"/>
      <c r="G393" s="52"/>
      <c r="H393" s="36" t="str">
        <f t="shared" si="374"/>
        <v>RJ--389</v>
      </c>
      <c r="I393" s="36" t="str">
        <f t="shared" si="351"/>
        <v>--20</v>
      </c>
      <c r="J393" s="37" t="e">
        <f>VLOOKUP(D393,Laporan!$C$4:$D$34,2,0)</f>
        <v>#N/A</v>
      </c>
      <c r="K393" s="48"/>
      <c r="L393" s="13"/>
      <c r="M393" s="19">
        <f>SUMIF('DATABASE Room'!$B$3:$B$7,L393,'DATABASE Room'!$D$3:$D$7)</f>
        <v>0</v>
      </c>
      <c r="N393" s="13"/>
      <c r="O393" s="21">
        <f t="shared" si="352"/>
        <v>0</v>
      </c>
      <c r="P393" s="38"/>
      <c r="Q393" s="19">
        <f t="shared" si="353"/>
        <v>0</v>
      </c>
      <c r="R393" s="21">
        <f t="shared" si="354"/>
        <v>0</v>
      </c>
      <c r="S393" s="19">
        <f t="shared" si="355"/>
        <v>2</v>
      </c>
      <c r="T393" s="19">
        <f t="shared" si="356"/>
        <v>0</v>
      </c>
      <c r="U393" s="21">
        <f t="shared" si="357"/>
        <v>0</v>
      </c>
      <c r="V393" s="39"/>
      <c r="W393" s="16"/>
      <c r="X393" s="17">
        <f>VLOOKUP(W393,'DATABASE F&amp;B'!$C$3:$F$216,2,0)</f>
        <v>0</v>
      </c>
      <c r="Y393" s="18"/>
      <c r="Z393" s="19">
        <f>VLOOKUP(W393,'DATABASE F&amp;B'!$C$3:$F$216,4,0)</f>
        <v>0</v>
      </c>
      <c r="AA393" s="19">
        <f t="shared" si="358"/>
        <v>0</v>
      </c>
      <c r="AB393" s="16"/>
      <c r="AC393" s="17">
        <f>VLOOKUP(AB393,'DATABASE F&amp;B'!$C$3:$F$216,2,0)</f>
        <v>0</v>
      </c>
      <c r="AD393" s="18"/>
      <c r="AE393" s="19">
        <f>VLOOKUP(AB393,'DATABASE F&amp;B'!$C$3:$F$216,4,0)</f>
        <v>0</v>
      </c>
      <c r="AF393" s="19">
        <f t="shared" si="359"/>
        <v>0</v>
      </c>
      <c r="AG393" s="16"/>
      <c r="AH393" s="17">
        <f>VLOOKUP(AG393,'DATABASE F&amp;B'!$C$3:$F$216,2,0)</f>
        <v>0</v>
      </c>
      <c r="AI393" s="18"/>
      <c r="AJ393" s="19">
        <f>VLOOKUP(AG393,'DATABASE F&amp;B'!$C$3:$F$216,4,0)</f>
        <v>0</v>
      </c>
      <c r="AK393" s="19">
        <f t="shared" si="360"/>
        <v>0</v>
      </c>
      <c r="AL393" s="16"/>
      <c r="AM393" s="17">
        <f>VLOOKUP(AL393,'DATABASE F&amp;B'!$C$3:$F$216,2,0)</f>
        <v>0</v>
      </c>
      <c r="AN393" s="18">
        <v>1</v>
      </c>
      <c r="AO393" s="19">
        <f>VLOOKUP(AL393,'DATABASE F&amp;B'!$C$3:$F$216,4,0)</f>
        <v>0</v>
      </c>
      <c r="AP393" s="19">
        <f t="shared" si="361"/>
        <v>0</v>
      </c>
      <c r="AQ393" s="16"/>
      <c r="AR393" s="17">
        <f>VLOOKUP(AQ393,'DATABASE F&amp;B'!$C$3:$F$216,2,0)</f>
        <v>0</v>
      </c>
      <c r="AS393" s="18">
        <v>1</v>
      </c>
      <c r="AT393" s="19">
        <f>VLOOKUP(AQ393,'DATABASE F&amp;B'!$C$3:$F$216,4,0)</f>
        <v>0</v>
      </c>
      <c r="AU393" s="19">
        <f t="shared" si="362"/>
        <v>0</v>
      </c>
      <c r="AV393" s="16"/>
      <c r="AW393" s="17">
        <f>VLOOKUP(AV393,'DATABASE F&amp;B'!$C$3:$F$216,2,0)</f>
        <v>0</v>
      </c>
      <c r="AX393" s="18"/>
      <c r="AY393" s="19">
        <f>VLOOKUP(AV393,'DATABASE F&amp;B'!$C$3:$F$216,4,0)</f>
        <v>0</v>
      </c>
      <c r="AZ393" s="19">
        <f t="shared" si="363"/>
        <v>0</v>
      </c>
      <c r="BA393" s="16"/>
      <c r="BB393" s="17">
        <f>VLOOKUP(BA393,'DATABASE F&amp;B'!$C$3:$F$216,2,0)</f>
        <v>0</v>
      </c>
      <c r="BC393" s="18"/>
      <c r="BD393" s="19">
        <f>VLOOKUP(BA393,'DATABASE F&amp;B'!$C$3:$F$216,4,0)</f>
        <v>0</v>
      </c>
      <c r="BE393" s="19">
        <f t="shared" si="364"/>
        <v>0</v>
      </c>
      <c r="BF393" s="16"/>
      <c r="BG393" s="17">
        <f>VLOOKUP(BF393,'DATABASE F&amp;B'!$C$3:$F$216,2,0)</f>
        <v>0</v>
      </c>
      <c r="BH393" s="18"/>
      <c r="BI393" s="19">
        <f>VLOOKUP(BF393,'DATABASE F&amp;B'!$C$3:$F$216,4,0)</f>
        <v>0</v>
      </c>
      <c r="BJ393" s="19">
        <f t="shared" si="365"/>
        <v>0</v>
      </c>
      <c r="BK393" s="16"/>
      <c r="BL393" s="17">
        <f>VLOOKUP(BK393,'DATABASE F&amp;B'!$C$3:$F$210,2,0)</f>
        <v>0</v>
      </c>
      <c r="BM393" s="18"/>
      <c r="BN393" s="19">
        <f>VLOOKUP(BK393,'DATABASE F&amp;B'!$C$3:$F$210,4,0)</f>
        <v>0</v>
      </c>
      <c r="BO393" s="19">
        <f t="shared" si="366"/>
        <v>0</v>
      </c>
      <c r="BP393" s="16"/>
      <c r="BQ393" s="17">
        <f>VLOOKUP(BP393,'DATABASE F&amp;B'!$C$3:$F$210,2,0)</f>
        <v>0</v>
      </c>
      <c r="BR393" s="18"/>
      <c r="BS393" s="19">
        <f>VLOOKUP(BP393,'DATABASE F&amp;B'!$C$3:$F$210,4,0)</f>
        <v>0</v>
      </c>
      <c r="BT393" s="19">
        <f t="shared" si="367"/>
        <v>0</v>
      </c>
      <c r="BU393" s="16"/>
      <c r="BV393" s="17">
        <f>VLOOKUP(BU393,'DATABASE F&amp;B'!$C$3:$F$210,2,0)</f>
        <v>0</v>
      </c>
      <c r="BW393" s="18"/>
      <c r="BX393" s="19">
        <f>VLOOKUP(BU393,'DATABASE F&amp;B'!$C$3:$F$210,4,0)</f>
        <v>0</v>
      </c>
      <c r="BY393" s="19">
        <f t="shared" si="368"/>
        <v>0</v>
      </c>
      <c r="BZ393" s="16"/>
      <c r="CA393" s="17">
        <f>VLOOKUP(BZ393,'DATABASE F&amp;B'!$C$3:$F$210,2,0)</f>
        <v>0</v>
      </c>
      <c r="CB393" s="18"/>
      <c r="CC393" s="19">
        <f>VLOOKUP(BZ393,'DATABASE F&amp;B'!$C$3:$F$210,4,0)</f>
        <v>0</v>
      </c>
      <c r="CD393" s="19">
        <f t="shared" si="369"/>
        <v>0</v>
      </c>
    </row>
    <row r="394" spans="1:82" ht="13.5" x14ac:dyDescent="0.25">
      <c r="A394" s="32" t="str">
        <f t="shared" si="349"/>
        <v>--20</v>
      </c>
      <c r="B394" s="22">
        <f t="shared" ref="B394:C394" si="378">B393+1</f>
        <v>390</v>
      </c>
      <c r="C394" s="22">
        <f t="shared" si="378"/>
        <v>390</v>
      </c>
      <c r="D394" s="34"/>
      <c r="E394" s="35"/>
      <c r="F394" s="35"/>
      <c r="G394" s="52"/>
      <c r="H394" s="36" t="str">
        <f t="shared" si="374"/>
        <v>RJ--390</v>
      </c>
      <c r="I394" s="36" t="str">
        <f t="shared" si="351"/>
        <v>--20</v>
      </c>
      <c r="J394" s="37" t="e">
        <f>VLOOKUP(D394,Laporan!$C$4:$D$34,2,0)</f>
        <v>#N/A</v>
      </c>
      <c r="K394" s="48"/>
      <c r="L394" s="13"/>
      <c r="M394" s="19">
        <f>SUMIF('DATABASE Room'!$B$3:$B$7,L394,'DATABASE Room'!$D$3:$D$7)</f>
        <v>0</v>
      </c>
      <c r="N394" s="13"/>
      <c r="O394" s="21">
        <f t="shared" si="352"/>
        <v>0</v>
      </c>
      <c r="P394" s="38"/>
      <c r="Q394" s="19">
        <f t="shared" si="353"/>
        <v>0</v>
      </c>
      <c r="R394" s="21">
        <f t="shared" si="354"/>
        <v>0</v>
      </c>
      <c r="S394" s="19">
        <f t="shared" si="355"/>
        <v>2</v>
      </c>
      <c r="T394" s="19">
        <f t="shared" si="356"/>
        <v>0</v>
      </c>
      <c r="U394" s="21">
        <f t="shared" si="357"/>
        <v>0</v>
      </c>
      <c r="V394" s="39"/>
      <c r="W394" s="16"/>
      <c r="X394" s="17">
        <f>VLOOKUP(W394,'DATABASE F&amp;B'!$C$3:$F$216,2,0)</f>
        <v>0</v>
      </c>
      <c r="Y394" s="18"/>
      <c r="Z394" s="19">
        <f>VLOOKUP(W394,'DATABASE F&amp;B'!$C$3:$F$216,4,0)</f>
        <v>0</v>
      </c>
      <c r="AA394" s="19">
        <f t="shared" si="358"/>
        <v>0</v>
      </c>
      <c r="AB394" s="16"/>
      <c r="AC394" s="17">
        <f>VLOOKUP(AB394,'DATABASE F&amp;B'!$C$3:$F$216,2,0)</f>
        <v>0</v>
      </c>
      <c r="AD394" s="18"/>
      <c r="AE394" s="19">
        <f>VLOOKUP(AB394,'DATABASE F&amp;B'!$C$3:$F$216,4,0)</f>
        <v>0</v>
      </c>
      <c r="AF394" s="19">
        <f t="shared" si="359"/>
        <v>0</v>
      </c>
      <c r="AG394" s="16"/>
      <c r="AH394" s="17">
        <f>VLOOKUP(AG394,'DATABASE F&amp;B'!$C$3:$F$216,2,0)</f>
        <v>0</v>
      </c>
      <c r="AI394" s="18"/>
      <c r="AJ394" s="19">
        <f>VLOOKUP(AG394,'DATABASE F&amp;B'!$C$3:$F$216,4,0)</f>
        <v>0</v>
      </c>
      <c r="AK394" s="19">
        <f t="shared" si="360"/>
        <v>0</v>
      </c>
      <c r="AL394" s="16"/>
      <c r="AM394" s="17">
        <f>VLOOKUP(AL394,'DATABASE F&amp;B'!$C$3:$F$216,2,0)</f>
        <v>0</v>
      </c>
      <c r="AN394" s="18">
        <v>1</v>
      </c>
      <c r="AO394" s="19">
        <f>VLOOKUP(AL394,'DATABASE F&amp;B'!$C$3:$F$216,4,0)</f>
        <v>0</v>
      </c>
      <c r="AP394" s="19">
        <f t="shared" si="361"/>
        <v>0</v>
      </c>
      <c r="AQ394" s="16"/>
      <c r="AR394" s="17">
        <f>VLOOKUP(AQ394,'DATABASE F&amp;B'!$C$3:$F$216,2,0)</f>
        <v>0</v>
      </c>
      <c r="AS394" s="18">
        <v>1</v>
      </c>
      <c r="AT394" s="19">
        <f>VLOOKUP(AQ394,'DATABASE F&amp;B'!$C$3:$F$216,4,0)</f>
        <v>0</v>
      </c>
      <c r="AU394" s="19">
        <f t="shared" si="362"/>
        <v>0</v>
      </c>
      <c r="AV394" s="16"/>
      <c r="AW394" s="17">
        <f>VLOOKUP(AV394,'DATABASE F&amp;B'!$C$3:$F$216,2,0)</f>
        <v>0</v>
      </c>
      <c r="AX394" s="18"/>
      <c r="AY394" s="19">
        <f>VLOOKUP(AV394,'DATABASE F&amp;B'!$C$3:$F$216,4,0)</f>
        <v>0</v>
      </c>
      <c r="AZ394" s="19">
        <f t="shared" si="363"/>
        <v>0</v>
      </c>
      <c r="BA394" s="16"/>
      <c r="BB394" s="17">
        <f>VLOOKUP(BA394,'DATABASE F&amp;B'!$C$3:$F$216,2,0)</f>
        <v>0</v>
      </c>
      <c r="BC394" s="18"/>
      <c r="BD394" s="19">
        <f>VLOOKUP(BA394,'DATABASE F&amp;B'!$C$3:$F$216,4,0)</f>
        <v>0</v>
      </c>
      <c r="BE394" s="19">
        <f t="shared" si="364"/>
        <v>0</v>
      </c>
      <c r="BF394" s="16"/>
      <c r="BG394" s="17">
        <f>VLOOKUP(BF394,'DATABASE F&amp;B'!$C$3:$F$216,2,0)</f>
        <v>0</v>
      </c>
      <c r="BH394" s="18"/>
      <c r="BI394" s="19">
        <f>VLOOKUP(BF394,'DATABASE F&amp;B'!$C$3:$F$216,4,0)</f>
        <v>0</v>
      </c>
      <c r="BJ394" s="19">
        <f t="shared" si="365"/>
        <v>0</v>
      </c>
      <c r="BK394" s="16"/>
      <c r="BL394" s="17">
        <f>VLOOKUP(BK394,'DATABASE F&amp;B'!$C$3:$F$210,2,0)</f>
        <v>0</v>
      </c>
      <c r="BM394" s="18"/>
      <c r="BN394" s="19">
        <f>VLOOKUP(BK394,'DATABASE F&amp;B'!$C$3:$F$210,4,0)</f>
        <v>0</v>
      </c>
      <c r="BO394" s="19">
        <f t="shared" si="366"/>
        <v>0</v>
      </c>
      <c r="BP394" s="16"/>
      <c r="BQ394" s="17">
        <f>VLOOKUP(BP394,'DATABASE F&amp;B'!$C$3:$F$210,2,0)</f>
        <v>0</v>
      </c>
      <c r="BR394" s="18"/>
      <c r="BS394" s="19">
        <f>VLOOKUP(BP394,'DATABASE F&amp;B'!$C$3:$F$210,4,0)</f>
        <v>0</v>
      </c>
      <c r="BT394" s="19">
        <f t="shared" si="367"/>
        <v>0</v>
      </c>
      <c r="BU394" s="16"/>
      <c r="BV394" s="17">
        <f>VLOOKUP(BU394,'DATABASE F&amp;B'!$C$3:$F$210,2,0)</f>
        <v>0</v>
      </c>
      <c r="BW394" s="18"/>
      <c r="BX394" s="19">
        <f>VLOOKUP(BU394,'DATABASE F&amp;B'!$C$3:$F$210,4,0)</f>
        <v>0</v>
      </c>
      <c r="BY394" s="19">
        <f t="shared" si="368"/>
        <v>0</v>
      </c>
      <c r="BZ394" s="16"/>
      <c r="CA394" s="17">
        <f>VLOOKUP(BZ394,'DATABASE F&amp;B'!$C$3:$F$210,2,0)</f>
        <v>0</v>
      </c>
      <c r="CB394" s="18"/>
      <c r="CC394" s="19">
        <f>VLOOKUP(BZ394,'DATABASE F&amp;B'!$C$3:$F$210,4,0)</f>
        <v>0</v>
      </c>
      <c r="CD394" s="19">
        <f t="shared" si="369"/>
        <v>0</v>
      </c>
    </row>
    <row r="395" spans="1:82" ht="13.5" x14ac:dyDescent="0.25">
      <c r="A395" s="32" t="str">
        <f t="shared" si="349"/>
        <v>--20</v>
      </c>
      <c r="B395" s="22">
        <f t="shared" ref="B395:C395" si="379">B394+1</f>
        <v>391</v>
      </c>
      <c r="C395" s="22">
        <f t="shared" si="379"/>
        <v>391</v>
      </c>
      <c r="D395" s="34"/>
      <c r="E395" s="35"/>
      <c r="F395" s="35"/>
      <c r="G395" s="52"/>
      <c r="H395" s="36" t="str">
        <f t="shared" si="374"/>
        <v>RJ--391</v>
      </c>
      <c r="I395" s="36" t="str">
        <f t="shared" si="351"/>
        <v>--20</v>
      </c>
      <c r="J395" s="37" t="e">
        <f>VLOOKUP(D395,Laporan!$C$4:$D$34,2,0)</f>
        <v>#N/A</v>
      </c>
      <c r="K395" s="48"/>
      <c r="L395" s="13"/>
      <c r="M395" s="19">
        <f>SUMIF('DATABASE Room'!$B$3:$B$7,L395,'DATABASE Room'!$D$3:$D$7)</f>
        <v>0</v>
      </c>
      <c r="N395" s="13"/>
      <c r="O395" s="21">
        <f t="shared" si="352"/>
        <v>0</v>
      </c>
      <c r="P395" s="38"/>
      <c r="Q395" s="19">
        <f t="shared" si="353"/>
        <v>0</v>
      </c>
      <c r="R395" s="21">
        <f t="shared" si="354"/>
        <v>0</v>
      </c>
      <c r="S395" s="19">
        <f t="shared" si="355"/>
        <v>2</v>
      </c>
      <c r="T395" s="19">
        <f t="shared" si="356"/>
        <v>0</v>
      </c>
      <c r="U395" s="21">
        <f t="shared" si="357"/>
        <v>0</v>
      </c>
      <c r="V395" s="39"/>
      <c r="W395" s="16"/>
      <c r="X395" s="17">
        <f>VLOOKUP(W395,'DATABASE F&amp;B'!$C$3:$F$216,2,0)</f>
        <v>0</v>
      </c>
      <c r="Y395" s="18"/>
      <c r="Z395" s="19">
        <f>VLOOKUP(W395,'DATABASE F&amp;B'!$C$3:$F$216,4,0)</f>
        <v>0</v>
      </c>
      <c r="AA395" s="19">
        <f t="shared" si="358"/>
        <v>0</v>
      </c>
      <c r="AB395" s="16"/>
      <c r="AC395" s="17">
        <f>VLOOKUP(AB395,'DATABASE F&amp;B'!$C$3:$F$216,2,0)</f>
        <v>0</v>
      </c>
      <c r="AD395" s="18"/>
      <c r="AE395" s="19">
        <f>VLOOKUP(AB395,'DATABASE F&amp;B'!$C$3:$F$216,4,0)</f>
        <v>0</v>
      </c>
      <c r="AF395" s="19">
        <f t="shared" si="359"/>
        <v>0</v>
      </c>
      <c r="AG395" s="16"/>
      <c r="AH395" s="17">
        <f>VLOOKUP(AG395,'DATABASE F&amp;B'!$C$3:$F$216,2,0)</f>
        <v>0</v>
      </c>
      <c r="AI395" s="18"/>
      <c r="AJ395" s="19">
        <f>VLOOKUP(AG395,'DATABASE F&amp;B'!$C$3:$F$216,4,0)</f>
        <v>0</v>
      </c>
      <c r="AK395" s="19">
        <f t="shared" si="360"/>
        <v>0</v>
      </c>
      <c r="AL395" s="16"/>
      <c r="AM395" s="17">
        <f>VLOOKUP(AL395,'DATABASE F&amp;B'!$C$3:$F$216,2,0)</f>
        <v>0</v>
      </c>
      <c r="AN395" s="18">
        <v>1</v>
      </c>
      <c r="AO395" s="19">
        <f>VLOOKUP(AL395,'DATABASE F&amp;B'!$C$3:$F$216,4,0)</f>
        <v>0</v>
      </c>
      <c r="AP395" s="19">
        <f t="shared" si="361"/>
        <v>0</v>
      </c>
      <c r="AQ395" s="16"/>
      <c r="AR395" s="17">
        <f>VLOOKUP(AQ395,'DATABASE F&amp;B'!$C$3:$F$216,2,0)</f>
        <v>0</v>
      </c>
      <c r="AS395" s="18">
        <v>1</v>
      </c>
      <c r="AT395" s="19">
        <f>VLOOKUP(AQ395,'DATABASE F&amp;B'!$C$3:$F$216,4,0)</f>
        <v>0</v>
      </c>
      <c r="AU395" s="19">
        <f t="shared" si="362"/>
        <v>0</v>
      </c>
      <c r="AV395" s="16"/>
      <c r="AW395" s="17">
        <f>VLOOKUP(AV395,'DATABASE F&amp;B'!$C$3:$F$216,2,0)</f>
        <v>0</v>
      </c>
      <c r="AX395" s="18"/>
      <c r="AY395" s="19">
        <f>VLOOKUP(AV395,'DATABASE F&amp;B'!$C$3:$F$216,4,0)</f>
        <v>0</v>
      </c>
      <c r="AZ395" s="19">
        <f t="shared" si="363"/>
        <v>0</v>
      </c>
      <c r="BA395" s="16"/>
      <c r="BB395" s="17">
        <f>VLOOKUP(BA395,'DATABASE F&amp;B'!$C$3:$F$216,2,0)</f>
        <v>0</v>
      </c>
      <c r="BC395" s="18"/>
      <c r="BD395" s="19">
        <f>VLOOKUP(BA395,'DATABASE F&amp;B'!$C$3:$F$216,4,0)</f>
        <v>0</v>
      </c>
      <c r="BE395" s="19">
        <f t="shared" si="364"/>
        <v>0</v>
      </c>
      <c r="BF395" s="16"/>
      <c r="BG395" s="17">
        <f>VLOOKUP(BF395,'DATABASE F&amp;B'!$C$3:$F$216,2,0)</f>
        <v>0</v>
      </c>
      <c r="BH395" s="18"/>
      <c r="BI395" s="19">
        <f>VLOOKUP(BF395,'DATABASE F&amp;B'!$C$3:$F$216,4,0)</f>
        <v>0</v>
      </c>
      <c r="BJ395" s="19">
        <f t="shared" si="365"/>
        <v>0</v>
      </c>
      <c r="BK395" s="16"/>
      <c r="BL395" s="17">
        <f>VLOOKUP(BK395,'DATABASE F&amp;B'!$C$3:$F$210,2,0)</f>
        <v>0</v>
      </c>
      <c r="BM395" s="18"/>
      <c r="BN395" s="19">
        <f>VLOOKUP(BK395,'DATABASE F&amp;B'!$C$3:$F$210,4,0)</f>
        <v>0</v>
      </c>
      <c r="BO395" s="19">
        <f t="shared" si="366"/>
        <v>0</v>
      </c>
      <c r="BP395" s="16"/>
      <c r="BQ395" s="17">
        <f>VLOOKUP(BP395,'DATABASE F&amp;B'!$C$3:$F$210,2,0)</f>
        <v>0</v>
      </c>
      <c r="BR395" s="18"/>
      <c r="BS395" s="19">
        <f>VLOOKUP(BP395,'DATABASE F&amp;B'!$C$3:$F$210,4,0)</f>
        <v>0</v>
      </c>
      <c r="BT395" s="19">
        <f t="shared" si="367"/>
        <v>0</v>
      </c>
      <c r="BU395" s="16"/>
      <c r="BV395" s="17">
        <f>VLOOKUP(BU395,'DATABASE F&amp;B'!$C$3:$F$210,2,0)</f>
        <v>0</v>
      </c>
      <c r="BW395" s="18"/>
      <c r="BX395" s="19">
        <f>VLOOKUP(BU395,'DATABASE F&amp;B'!$C$3:$F$210,4,0)</f>
        <v>0</v>
      </c>
      <c r="BY395" s="19">
        <f t="shared" si="368"/>
        <v>0</v>
      </c>
      <c r="BZ395" s="16"/>
      <c r="CA395" s="17">
        <f>VLOOKUP(BZ395,'DATABASE F&amp;B'!$C$3:$F$210,2,0)</f>
        <v>0</v>
      </c>
      <c r="CB395" s="18"/>
      <c r="CC395" s="19">
        <f>VLOOKUP(BZ395,'DATABASE F&amp;B'!$C$3:$F$210,4,0)</f>
        <v>0</v>
      </c>
      <c r="CD395" s="19">
        <f t="shared" si="369"/>
        <v>0</v>
      </c>
    </row>
    <row r="396" spans="1:82" ht="13.5" x14ac:dyDescent="0.25">
      <c r="A396" s="32" t="str">
        <f t="shared" si="349"/>
        <v>--20</v>
      </c>
      <c r="B396" s="22">
        <f t="shared" ref="B396:C396" si="380">B395+1</f>
        <v>392</v>
      </c>
      <c r="C396" s="22">
        <f t="shared" si="380"/>
        <v>392</v>
      </c>
      <c r="D396" s="34"/>
      <c r="E396" s="35"/>
      <c r="F396" s="35"/>
      <c r="G396" s="52"/>
      <c r="H396" s="36" t="str">
        <f t="shared" si="374"/>
        <v>RJ--392</v>
      </c>
      <c r="I396" s="36" t="str">
        <f t="shared" si="351"/>
        <v>--20</v>
      </c>
      <c r="J396" s="37" t="e">
        <f>VLOOKUP(D396,Laporan!$C$4:$D$34,2,0)</f>
        <v>#N/A</v>
      </c>
      <c r="K396" s="48"/>
      <c r="L396" s="13"/>
      <c r="M396" s="19">
        <f>SUMIF('DATABASE Room'!$B$3:$B$7,L396,'DATABASE Room'!$D$3:$D$7)</f>
        <v>0</v>
      </c>
      <c r="N396" s="13"/>
      <c r="O396" s="21">
        <f t="shared" si="352"/>
        <v>0</v>
      </c>
      <c r="P396" s="38"/>
      <c r="Q396" s="19">
        <f t="shared" si="353"/>
        <v>0</v>
      </c>
      <c r="R396" s="21">
        <f t="shared" si="354"/>
        <v>0</v>
      </c>
      <c r="S396" s="19">
        <f t="shared" si="355"/>
        <v>2</v>
      </c>
      <c r="T396" s="19">
        <f t="shared" si="356"/>
        <v>0</v>
      </c>
      <c r="U396" s="21">
        <f t="shared" si="357"/>
        <v>0</v>
      </c>
      <c r="V396" s="39"/>
      <c r="W396" s="16"/>
      <c r="X396" s="17">
        <f>VLOOKUP(W396,'DATABASE F&amp;B'!$C$3:$F$216,2,0)</f>
        <v>0</v>
      </c>
      <c r="Y396" s="18"/>
      <c r="Z396" s="19">
        <f>VLOOKUP(W396,'DATABASE F&amp;B'!$C$3:$F$216,4,0)</f>
        <v>0</v>
      </c>
      <c r="AA396" s="19">
        <f t="shared" si="358"/>
        <v>0</v>
      </c>
      <c r="AB396" s="16"/>
      <c r="AC396" s="17">
        <f>VLOOKUP(AB396,'DATABASE F&amp;B'!$C$3:$F$216,2,0)</f>
        <v>0</v>
      </c>
      <c r="AD396" s="18"/>
      <c r="AE396" s="19">
        <f>VLOOKUP(AB396,'DATABASE F&amp;B'!$C$3:$F$216,4,0)</f>
        <v>0</v>
      </c>
      <c r="AF396" s="19">
        <f t="shared" si="359"/>
        <v>0</v>
      </c>
      <c r="AG396" s="16"/>
      <c r="AH396" s="17">
        <f>VLOOKUP(AG396,'DATABASE F&amp;B'!$C$3:$F$216,2,0)</f>
        <v>0</v>
      </c>
      <c r="AI396" s="18"/>
      <c r="AJ396" s="19">
        <f>VLOOKUP(AG396,'DATABASE F&amp;B'!$C$3:$F$216,4,0)</f>
        <v>0</v>
      </c>
      <c r="AK396" s="19">
        <f t="shared" si="360"/>
        <v>0</v>
      </c>
      <c r="AL396" s="16"/>
      <c r="AM396" s="17">
        <f>VLOOKUP(AL396,'DATABASE F&amp;B'!$C$3:$F$216,2,0)</f>
        <v>0</v>
      </c>
      <c r="AN396" s="18">
        <v>1</v>
      </c>
      <c r="AO396" s="19">
        <f>VLOOKUP(AL396,'DATABASE F&amp;B'!$C$3:$F$216,4,0)</f>
        <v>0</v>
      </c>
      <c r="AP396" s="19">
        <f t="shared" si="361"/>
        <v>0</v>
      </c>
      <c r="AQ396" s="16"/>
      <c r="AR396" s="17">
        <f>VLOOKUP(AQ396,'DATABASE F&amp;B'!$C$3:$F$216,2,0)</f>
        <v>0</v>
      </c>
      <c r="AS396" s="18">
        <v>1</v>
      </c>
      <c r="AT396" s="19">
        <f>VLOOKUP(AQ396,'DATABASE F&amp;B'!$C$3:$F$216,4,0)</f>
        <v>0</v>
      </c>
      <c r="AU396" s="19">
        <f t="shared" si="362"/>
        <v>0</v>
      </c>
      <c r="AV396" s="16"/>
      <c r="AW396" s="17">
        <f>VLOOKUP(AV396,'DATABASE F&amp;B'!$C$3:$F$216,2,0)</f>
        <v>0</v>
      </c>
      <c r="AX396" s="18"/>
      <c r="AY396" s="19">
        <f>VLOOKUP(AV396,'DATABASE F&amp;B'!$C$3:$F$216,4,0)</f>
        <v>0</v>
      </c>
      <c r="AZ396" s="19">
        <f t="shared" si="363"/>
        <v>0</v>
      </c>
      <c r="BA396" s="16"/>
      <c r="BB396" s="17">
        <f>VLOOKUP(BA396,'DATABASE F&amp;B'!$C$3:$F$216,2,0)</f>
        <v>0</v>
      </c>
      <c r="BC396" s="18"/>
      <c r="BD396" s="19">
        <f>VLOOKUP(BA396,'DATABASE F&amp;B'!$C$3:$F$216,4,0)</f>
        <v>0</v>
      </c>
      <c r="BE396" s="19">
        <f t="shared" si="364"/>
        <v>0</v>
      </c>
      <c r="BF396" s="16"/>
      <c r="BG396" s="17">
        <f>VLOOKUP(BF396,'DATABASE F&amp;B'!$C$3:$F$216,2,0)</f>
        <v>0</v>
      </c>
      <c r="BH396" s="18"/>
      <c r="BI396" s="19">
        <f>VLOOKUP(BF396,'DATABASE F&amp;B'!$C$3:$F$216,4,0)</f>
        <v>0</v>
      </c>
      <c r="BJ396" s="19">
        <f t="shared" si="365"/>
        <v>0</v>
      </c>
      <c r="BK396" s="16"/>
      <c r="BL396" s="17">
        <f>VLOOKUP(BK396,'DATABASE F&amp;B'!$C$3:$F$210,2,0)</f>
        <v>0</v>
      </c>
      <c r="BM396" s="18"/>
      <c r="BN396" s="19">
        <f>VLOOKUP(BK396,'DATABASE F&amp;B'!$C$3:$F$210,4,0)</f>
        <v>0</v>
      </c>
      <c r="BO396" s="19">
        <f t="shared" si="366"/>
        <v>0</v>
      </c>
      <c r="BP396" s="16"/>
      <c r="BQ396" s="17">
        <f>VLOOKUP(BP396,'DATABASE F&amp;B'!$C$3:$F$210,2,0)</f>
        <v>0</v>
      </c>
      <c r="BR396" s="18"/>
      <c r="BS396" s="19">
        <f>VLOOKUP(BP396,'DATABASE F&amp;B'!$C$3:$F$210,4,0)</f>
        <v>0</v>
      </c>
      <c r="BT396" s="19">
        <f t="shared" si="367"/>
        <v>0</v>
      </c>
      <c r="BU396" s="16"/>
      <c r="BV396" s="17">
        <f>VLOOKUP(BU396,'DATABASE F&amp;B'!$C$3:$F$210,2,0)</f>
        <v>0</v>
      </c>
      <c r="BW396" s="18"/>
      <c r="BX396" s="19">
        <f>VLOOKUP(BU396,'DATABASE F&amp;B'!$C$3:$F$210,4,0)</f>
        <v>0</v>
      </c>
      <c r="BY396" s="19">
        <f t="shared" si="368"/>
        <v>0</v>
      </c>
      <c r="BZ396" s="16"/>
      <c r="CA396" s="17">
        <f>VLOOKUP(BZ396,'DATABASE F&amp;B'!$C$3:$F$210,2,0)</f>
        <v>0</v>
      </c>
      <c r="CB396" s="18"/>
      <c r="CC396" s="19">
        <f>VLOOKUP(BZ396,'DATABASE F&amp;B'!$C$3:$F$210,4,0)</f>
        <v>0</v>
      </c>
      <c r="CD396" s="19">
        <f t="shared" si="369"/>
        <v>0</v>
      </c>
    </row>
    <row r="397" spans="1:82" ht="13.5" x14ac:dyDescent="0.25">
      <c r="A397" s="32" t="str">
        <f t="shared" si="349"/>
        <v>--20</v>
      </c>
      <c r="B397" s="22">
        <f t="shared" ref="B397:C397" si="381">B396+1</f>
        <v>393</v>
      </c>
      <c r="C397" s="22">
        <f t="shared" si="381"/>
        <v>393</v>
      </c>
      <c r="D397" s="34"/>
      <c r="E397" s="35"/>
      <c r="F397" s="35"/>
      <c r="G397" s="52"/>
      <c r="H397" s="36" t="str">
        <f t="shared" si="374"/>
        <v>RJ--393</v>
      </c>
      <c r="I397" s="36" t="str">
        <f t="shared" si="351"/>
        <v>--20</v>
      </c>
      <c r="J397" s="37" t="e">
        <f>VLOOKUP(D397,Laporan!$C$4:$D$34,2,0)</f>
        <v>#N/A</v>
      </c>
      <c r="K397" s="48"/>
      <c r="L397" s="13"/>
      <c r="M397" s="19">
        <f>SUMIF('DATABASE Room'!$B$3:$B$7,L397,'DATABASE Room'!$D$3:$D$7)</f>
        <v>0</v>
      </c>
      <c r="N397" s="13"/>
      <c r="O397" s="21">
        <f t="shared" si="352"/>
        <v>0</v>
      </c>
      <c r="P397" s="38"/>
      <c r="Q397" s="19">
        <f t="shared" si="353"/>
        <v>0</v>
      </c>
      <c r="R397" s="21">
        <f t="shared" si="354"/>
        <v>0</v>
      </c>
      <c r="S397" s="19">
        <f t="shared" si="355"/>
        <v>2</v>
      </c>
      <c r="T397" s="19">
        <f t="shared" si="356"/>
        <v>0</v>
      </c>
      <c r="U397" s="21">
        <f t="shared" si="357"/>
        <v>0</v>
      </c>
      <c r="V397" s="39"/>
      <c r="W397" s="16"/>
      <c r="X397" s="17">
        <f>VLOOKUP(W397,'DATABASE F&amp;B'!$C$3:$F$216,2,0)</f>
        <v>0</v>
      </c>
      <c r="Y397" s="18"/>
      <c r="Z397" s="19">
        <f>VLOOKUP(W397,'DATABASE F&amp;B'!$C$3:$F$216,4,0)</f>
        <v>0</v>
      </c>
      <c r="AA397" s="19">
        <f t="shared" si="358"/>
        <v>0</v>
      </c>
      <c r="AB397" s="16"/>
      <c r="AC397" s="17">
        <f>VLOOKUP(AB397,'DATABASE F&amp;B'!$C$3:$F$216,2,0)</f>
        <v>0</v>
      </c>
      <c r="AD397" s="18"/>
      <c r="AE397" s="19">
        <f>VLOOKUP(AB397,'DATABASE F&amp;B'!$C$3:$F$216,4,0)</f>
        <v>0</v>
      </c>
      <c r="AF397" s="19">
        <f t="shared" si="359"/>
        <v>0</v>
      </c>
      <c r="AG397" s="16"/>
      <c r="AH397" s="17">
        <f>VLOOKUP(AG397,'DATABASE F&amp;B'!$C$3:$F$216,2,0)</f>
        <v>0</v>
      </c>
      <c r="AI397" s="18"/>
      <c r="AJ397" s="19">
        <f>VLOOKUP(AG397,'DATABASE F&amp;B'!$C$3:$F$216,4,0)</f>
        <v>0</v>
      </c>
      <c r="AK397" s="19">
        <f t="shared" si="360"/>
        <v>0</v>
      </c>
      <c r="AL397" s="16"/>
      <c r="AM397" s="17">
        <f>VLOOKUP(AL397,'DATABASE F&amp;B'!$C$3:$F$216,2,0)</f>
        <v>0</v>
      </c>
      <c r="AN397" s="18">
        <v>1</v>
      </c>
      <c r="AO397" s="19">
        <f>VLOOKUP(AL397,'DATABASE F&amp;B'!$C$3:$F$216,4,0)</f>
        <v>0</v>
      </c>
      <c r="AP397" s="19">
        <f t="shared" si="361"/>
        <v>0</v>
      </c>
      <c r="AQ397" s="16"/>
      <c r="AR397" s="17">
        <f>VLOOKUP(AQ397,'DATABASE F&amp;B'!$C$3:$F$216,2,0)</f>
        <v>0</v>
      </c>
      <c r="AS397" s="18">
        <v>1</v>
      </c>
      <c r="AT397" s="19">
        <f>VLOOKUP(AQ397,'DATABASE F&amp;B'!$C$3:$F$216,4,0)</f>
        <v>0</v>
      </c>
      <c r="AU397" s="19">
        <f t="shared" si="362"/>
        <v>0</v>
      </c>
      <c r="AV397" s="16"/>
      <c r="AW397" s="17">
        <f>VLOOKUP(AV397,'DATABASE F&amp;B'!$C$3:$F$216,2,0)</f>
        <v>0</v>
      </c>
      <c r="AX397" s="18"/>
      <c r="AY397" s="19">
        <f>VLOOKUP(AV397,'DATABASE F&amp;B'!$C$3:$F$216,4,0)</f>
        <v>0</v>
      </c>
      <c r="AZ397" s="19">
        <f t="shared" si="363"/>
        <v>0</v>
      </c>
      <c r="BA397" s="16"/>
      <c r="BB397" s="17">
        <f>VLOOKUP(BA397,'DATABASE F&amp;B'!$C$3:$F$216,2,0)</f>
        <v>0</v>
      </c>
      <c r="BC397" s="18"/>
      <c r="BD397" s="19">
        <f>VLOOKUP(BA397,'DATABASE F&amp;B'!$C$3:$F$216,4,0)</f>
        <v>0</v>
      </c>
      <c r="BE397" s="19">
        <f t="shared" si="364"/>
        <v>0</v>
      </c>
      <c r="BF397" s="16"/>
      <c r="BG397" s="17">
        <f>VLOOKUP(BF397,'DATABASE F&amp;B'!$C$3:$F$216,2,0)</f>
        <v>0</v>
      </c>
      <c r="BH397" s="18"/>
      <c r="BI397" s="19">
        <f>VLOOKUP(BF397,'DATABASE F&amp;B'!$C$3:$F$216,4,0)</f>
        <v>0</v>
      </c>
      <c r="BJ397" s="19">
        <f t="shared" si="365"/>
        <v>0</v>
      </c>
      <c r="BK397" s="16"/>
      <c r="BL397" s="17">
        <f>VLOOKUP(BK397,'DATABASE F&amp;B'!$C$3:$F$210,2,0)</f>
        <v>0</v>
      </c>
      <c r="BM397" s="18"/>
      <c r="BN397" s="19">
        <f>VLOOKUP(BK397,'DATABASE F&amp;B'!$C$3:$F$210,4,0)</f>
        <v>0</v>
      </c>
      <c r="BO397" s="19">
        <f t="shared" si="366"/>
        <v>0</v>
      </c>
      <c r="BP397" s="16"/>
      <c r="BQ397" s="17">
        <f>VLOOKUP(BP397,'DATABASE F&amp;B'!$C$3:$F$210,2,0)</f>
        <v>0</v>
      </c>
      <c r="BR397" s="18"/>
      <c r="BS397" s="19">
        <f>VLOOKUP(BP397,'DATABASE F&amp;B'!$C$3:$F$210,4,0)</f>
        <v>0</v>
      </c>
      <c r="BT397" s="19">
        <f t="shared" si="367"/>
        <v>0</v>
      </c>
      <c r="BU397" s="16"/>
      <c r="BV397" s="17">
        <f>VLOOKUP(BU397,'DATABASE F&amp;B'!$C$3:$F$210,2,0)</f>
        <v>0</v>
      </c>
      <c r="BW397" s="18"/>
      <c r="BX397" s="19">
        <f>VLOOKUP(BU397,'DATABASE F&amp;B'!$C$3:$F$210,4,0)</f>
        <v>0</v>
      </c>
      <c r="BY397" s="19">
        <f t="shared" si="368"/>
        <v>0</v>
      </c>
      <c r="BZ397" s="16"/>
      <c r="CA397" s="17">
        <f>VLOOKUP(BZ397,'DATABASE F&amp;B'!$C$3:$F$210,2,0)</f>
        <v>0</v>
      </c>
      <c r="CB397" s="18"/>
      <c r="CC397" s="19">
        <f>VLOOKUP(BZ397,'DATABASE F&amp;B'!$C$3:$F$210,4,0)</f>
        <v>0</v>
      </c>
      <c r="CD397" s="19">
        <f t="shared" si="369"/>
        <v>0</v>
      </c>
    </row>
    <row r="398" spans="1:82" ht="13.5" x14ac:dyDescent="0.25">
      <c r="A398" s="32" t="str">
        <f t="shared" si="349"/>
        <v>--20</v>
      </c>
      <c r="B398" s="22">
        <f t="shared" ref="B398:C398" si="382">B397+1</f>
        <v>394</v>
      </c>
      <c r="C398" s="22">
        <f t="shared" si="382"/>
        <v>394</v>
      </c>
      <c r="D398" s="34"/>
      <c r="E398" s="35"/>
      <c r="F398" s="35"/>
      <c r="G398" s="52"/>
      <c r="H398" s="36" t="str">
        <f t="shared" si="374"/>
        <v>RJ--394</v>
      </c>
      <c r="I398" s="36" t="str">
        <f t="shared" si="351"/>
        <v>--20</v>
      </c>
      <c r="J398" s="37" t="e">
        <f>VLOOKUP(D398,Laporan!$C$4:$D$34,2,0)</f>
        <v>#N/A</v>
      </c>
      <c r="K398" s="48"/>
      <c r="L398" s="13"/>
      <c r="M398" s="19">
        <f>SUMIF('DATABASE Room'!$B$3:$B$7,L398,'DATABASE Room'!$D$3:$D$7)</f>
        <v>0</v>
      </c>
      <c r="N398" s="13"/>
      <c r="O398" s="21">
        <f t="shared" si="352"/>
        <v>0</v>
      </c>
      <c r="P398" s="38"/>
      <c r="Q398" s="19">
        <f t="shared" si="353"/>
        <v>0</v>
      </c>
      <c r="R398" s="21">
        <f t="shared" si="354"/>
        <v>0</v>
      </c>
      <c r="S398" s="19">
        <f t="shared" si="355"/>
        <v>2</v>
      </c>
      <c r="T398" s="19">
        <f t="shared" si="356"/>
        <v>0</v>
      </c>
      <c r="U398" s="21">
        <f t="shared" si="357"/>
        <v>0</v>
      </c>
      <c r="V398" s="39"/>
      <c r="W398" s="16"/>
      <c r="X398" s="17">
        <f>VLOOKUP(W398,'DATABASE F&amp;B'!$C$3:$F$216,2,0)</f>
        <v>0</v>
      </c>
      <c r="Y398" s="18"/>
      <c r="Z398" s="19">
        <f>VLOOKUP(W398,'DATABASE F&amp;B'!$C$3:$F$216,4,0)</f>
        <v>0</v>
      </c>
      <c r="AA398" s="19">
        <f t="shared" si="358"/>
        <v>0</v>
      </c>
      <c r="AB398" s="16"/>
      <c r="AC398" s="17">
        <f>VLOOKUP(AB398,'DATABASE F&amp;B'!$C$3:$F$216,2,0)</f>
        <v>0</v>
      </c>
      <c r="AD398" s="18"/>
      <c r="AE398" s="19">
        <f>VLOOKUP(AB398,'DATABASE F&amp;B'!$C$3:$F$216,4,0)</f>
        <v>0</v>
      </c>
      <c r="AF398" s="19">
        <f t="shared" si="359"/>
        <v>0</v>
      </c>
      <c r="AG398" s="16"/>
      <c r="AH398" s="17">
        <f>VLOOKUP(AG398,'DATABASE F&amp;B'!$C$3:$F$216,2,0)</f>
        <v>0</v>
      </c>
      <c r="AI398" s="18"/>
      <c r="AJ398" s="19">
        <f>VLOOKUP(AG398,'DATABASE F&amp;B'!$C$3:$F$216,4,0)</f>
        <v>0</v>
      </c>
      <c r="AK398" s="19">
        <f t="shared" si="360"/>
        <v>0</v>
      </c>
      <c r="AL398" s="16"/>
      <c r="AM398" s="17">
        <f>VLOOKUP(AL398,'DATABASE F&amp;B'!$C$3:$F$216,2,0)</f>
        <v>0</v>
      </c>
      <c r="AN398" s="18">
        <v>1</v>
      </c>
      <c r="AO398" s="19">
        <f>VLOOKUP(AL398,'DATABASE F&amp;B'!$C$3:$F$216,4,0)</f>
        <v>0</v>
      </c>
      <c r="AP398" s="19">
        <f t="shared" si="361"/>
        <v>0</v>
      </c>
      <c r="AQ398" s="16"/>
      <c r="AR398" s="17">
        <f>VLOOKUP(AQ398,'DATABASE F&amp;B'!$C$3:$F$216,2,0)</f>
        <v>0</v>
      </c>
      <c r="AS398" s="18">
        <v>1</v>
      </c>
      <c r="AT398" s="19">
        <f>VLOOKUP(AQ398,'DATABASE F&amp;B'!$C$3:$F$216,4,0)</f>
        <v>0</v>
      </c>
      <c r="AU398" s="19">
        <f t="shared" si="362"/>
        <v>0</v>
      </c>
      <c r="AV398" s="16"/>
      <c r="AW398" s="17">
        <f>VLOOKUP(AV398,'DATABASE F&amp;B'!$C$3:$F$216,2,0)</f>
        <v>0</v>
      </c>
      <c r="AX398" s="18"/>
      <c r="AY398" s="19">
        <f>VLOOKUP(AV398,'DATABASE F&amp;B'!$C$3:$F$216,4,0)</f>
        <v>0</v>
      </c>
      <c r="AZ398" s="19">
        <f t="shared" si="363"/>
        <v>0</v>
      </c>
      <c r="BA398" s="16"/>
      <c r="BB398" s="17">
        <f>VLOOKUP(BA398,'DATABASE F&amp;B'!$C$3:$F$216,2,0)</f>
        <v>0</v>
      </c>
      <c r="BC398" s="18"/>
      <c r="BD398" s="19">
        <f>VLOOKUP(BA398,'DATABASE F&amp;B'!$C$3:$F$216,4,0)</f>
        <v>0</v>
      </c>
      <c r="BE398" s="19">
        <f t="shared" si="364"/>
        <v>0</v>
      </c>
      <c r="BF398" s="16"/>
      <c r="BG398" s="17">
        <f>VLOOKUP(BF398,'DATABASE F&amp;B'!$C$3:$F$216,2,0)</f>
        <v>0</v>
      </c>
      <c r="BH398" s="18"/>
      <c r="BI398" s="19">
        <f>VLOOKUP(BF398,'DATABASE F&amp;B'!$C$3:$F$216,4,0)</f>
        <v>0</v>
      </c>
      <c r="BJ398" s="19">
        <f t="shared" si="365"/>
        <v>0</v>
      </c>
      <c r="BK398" s="16"/>
      <c r="BL398" s="17">
        <f>VLOOKUP(BK398,'DATABASE F&amp;B'!$C$3:$F$210,2,0)</f>
        <v>0</v>
      </c>
      <c r="BM398" s="18"/>
      <c r="BN398" s="19">
        <f>VLOOKUP(BK398,'DATABASE F&amp;B'!$C$3:$F$210,4,0)</f>
        <v>0</v>
      </c>
      <c r="BO398" s="19">
        <f t="shared" si="366"/>
        <v>0</v>
      </c>
      <c r="BP398" s="16"/>
      <c r="BQ398" s="17">
        <f>VLOOKUP(BP398,'DATABASE F&amp;B'!$C$3:$F$210,2,0)</f>
        <v>0</v>
      </c>
      <c r="BR398" s="18"/>
      <c r="BS398" s="19">
        <f>VLOOKUP(BP398,'DATABASE F&amp;B'!$C$3:$F$210,4,0)</f>
        <v>0</v>
      </c>
      <c r="BT398" s="19">
        <f t="shared" si="367"/>
        <v>0</v>
      </c>
      <c r="BU398" s="16"/>
      <c r="BV398" s="17">
        <f>VLOOKUP(BU398,'DATABASE F&amp;B'!$C$3:$F$210,2,0)</f>
        <v>0</v>
      </c>
      <c r="BW398" s="18"/>
      <c r="BX398" s="19">
        <f>VLOOKUP(BU398,'DATABASE F&amp;B'!$C$3:$F$210,4,0)</f>
        <v>0</v>
      </c>
      <c r="BY398" s="19">
        <f t="shared" si="368"/>
        <v>0</v>
      </c>
      <c r="BZ398" s="16"/>
      <c r="CA398" s="17">
        <f>VLOOKUP(BZ398,'DATABASE F&amp;B'!$C$3:$F$210,2,0)</f>
        <v>0</v>
      </c>
      <c r="CB398" s="18"/>
      <c r="CC398" s="19">
        <f>VLOOKUP(BZ398,'DATABASE F&amp;B'!$C$3:$F$210,4,0)</f>
        <v>0</v>
      </c>
      <c r="CD398" s="19">
        <f t="shared" si="369"/>
        <v>0</v>
      </c>
    </row>
    <row r="399" spans="1:82" ht="13.5" x14ac:dyDescent="0.25">
      <c r="A399" s="32" t="str">
        <f t="shared" si="349"/>
        <v>--20</v>
      </c>
      <c r="B399" s="22">
        <f t="shared" ref="B399:C399" si="383">B398+1</f>
        <v>395</v>
      </c>
      <c r="C399" s="22">
        <f t="shared" si="383"/>
        <v>395</v>
      </c>
      <c r="D399" s="34"/>
      <c r="E399" s="35"/>
      <c r="F399" s="35"/>
      <c r="G399" s="52"/>
      <c r="H399" s="36" t="str">
        <f t="shared" si="374"/>
        <v>RJ--395</v>
      </c>
      <c r="I399" s="36" t="str">
        <f t="shared" si="351"/>
        <v>--20</v>
      </c>
      <c r="J399" s="37" t="e">
        <f>VLOOKUP(D399,Laporan!$C$4:$D$34,2,0)</f>
        <v>#N/A</v>
      </c>
      <c r="K399" s="48"/>
      <c r="L399" s="13"/>
      <c r="M399" s="19">
        <f>SUMIF('DATABASE Room'!$B$3:$B$7,L399,'DATABASE Room'!$D$3:$D$7)</f>
        <v>0</v>
      </c>
      <c r="N399" s="13"/>
      <c r="O399" s="21">
        <f t="shared" si="352"/>
        <v>0</v>
      </c>
      <c r="P399" s="38"/>
      <c r="Q399" s="19">
        <f t="shared" si="353"/>
        <v>0</v>
      </c>
      <c r="R399" s="21">
        <f t="shared" si="354"/>
        <v>0</v>
      </c>
      <c r="S399" s="19">
        <f t="shared" si="355"/>
        <v>2</v>
      </c>
      <c r="T399" s="19">
        <f t="shared" si="356"/>
        <v>0</v>
      </c>
      <c r="U399" s="21">
        <f t="shared" si="357"/>
        <v>0</v>
      </c>
      <c r="V399" s="39"/>
      <c r="W399" s="16"/>
      <c r="X399" s="17">
        <f>VLOOKUP(W399,'DATABASE F&amp;B'!$C$3:$F$216,2,0)</f>
        <v>0</v>
      </c>
      <c r="Y399" s="18"/>
      <c r="Z399" s="19">
        <f>VLOOKUP(W399,'DATABASE F&amp;B'!$C$3:$F$216,4,0)</f>
        <v>0</v>
      </c>
      <c r="AA399" s="19">
        <f t="shared" si="358"/>
        <v>0</v>
      </c>
      <c r="AB399" s="16"/>
      <c r="AC399" s="17">
        <f>VLOOKUP(AB399,'DATABASE F&amp;B'!$C$3:$F$216,2,0)</f>
        <v>0</v>
      </c>
      <c r="AD399" s="18"/>
      <c r="AE399" s="19">
        <f>VLOOKUP(AB399,'DATABASE F&amp;B'!$C$3:$F$216,4,0)</f>
        <v>0</v>
      </c>
      <c r="AF399" s="19">
        <f t="shared" si="359"/>
        <v>0</v>
      </c>
      <c r="AG399" s="16"/>
      <c r="AH399" s="17">
        <f>VLOOKUP(AG399,'DATABASE F&amp;B'!$C$3:$F$216,2,0)</f>
        <v>0</v>
      </c>
      <c r="AI399" s="18"/>
      <c r="AJ399" s="19">
        <f>VLOOKUP(AG399,'DATABASE F&amp;B'!$C$3:$F$216,4,0)</f>
        <v>0</v>
      </c>
      <c r="AK399" s="19">
        <f t="shared" si="360"/>
        <v>0</v>
      </c>
      <c r="AL399" s="16"/>
      <c r="AM399" s="17">
        <f>VLOOKUP(AL399,'DATABASE F&amp;B'!$C$3:$F$216,2,0)</f>
        <v>0</v>
      </c>
      <c r="AN399" s="18">
        <v>1</v>
      </c>
      <c r="AO399" s="19">
        <f>VLOOKUP(AL399,'DATABASE F&amp;B'!$C$3:$F$216,4,0)</f>
        <v>0</v>
      </c>
      <c r="AP399" s="19">
        <f t="shared" si="361"/>
        <v>0</v>
      </c>
      <c r="AQ399" s="16"/>
      <c r="AR399" s="17">
        <f>VLOOKUP(AQ399,'DATABASE F&amp;B'!$C$3:$F$216,2,0)</f>
        <v>0</v>
      </c>
      <c r="AS399" s="18">
        <v>1</v>
      </c>
      <c r="AT399" s="19">
        <f>VLOOKUP(AQ399,'DATABASE F&amp;B'!$C$3:$F$216,4,0)</f>
        <v>0</v>
      </c>
      <c r="AU399" s="19">
        <f t="shared" si="362"/>
        <v>0</v>
      </c>
      <c r="AV399" s="16"/>
      <c r="AW399" s="17">
        <f>VLOOKUP(AV399,'DATABASE F&amp;B'!$C$3:$F$216,2,0)</f>
        <v>0</v>
      </c>
      <c r="AX399" s="18"/>
      <c r="AY399" s="19">
        <f>VLOOKUP(AV399,'DATABASE F&amp;B'!$C$3:$F$216,4,0)</f>
        <v>0</v>
      </c>
      <c r="AZ399" s="19">
        <f t="shared" si="363"/>
        <v>0</v>
      </c>
      <c r="BA399" s="16"/>
      <c r="BB399" s="17">
        <f>VLOOKUP(BA399,'DATABASE F&amp;B'!$C$3:$F$216,2,0)</f>
        <v>0</v>
      </c>
      <c r="BC399" s="18"/>
      <c r="BD399" s="19">
        <f>VLOOKUP(BA399,'DATABASE F&amp;B'!$C$3:$F$216,4,0)</f>
        <v>0</v>
      </c>
      <c r="BE399" s="19">
        <f t="shared" si="364"/>
        <v>0</v>
      </c>
      <c r="BF399" s="16"/>
      <c r="BG399" s="17">
        <f>VLOOKUP(BF399,'DATABASE F&amp;B'!$C$3:$F$216,2,0)</f>
        <v>0</v>
      </c>
      <c r="BH399" s="18"/>
      <c r="BI399" s="19">
        <f>VLOOKUP(BF399,'DATABASE F&amp;B'!$C$3:$F$216,4,0)</f>
        <v>0</v>
      </c>
      <c r="BJ399" s="19">
        <f t="shared" si="365"/>
        <v>0</v>
      </c>
      <c r="BK399" s="16"/>
      <c r="BL399" s="17">
        <f>VLOOKUP(BK399,'DATABASE F&amp;B'!$C$3:$F$210,2,0)</f>
        <v>0</v>
      </c>
      <c r="BM399" s="18"/>
      <c r="BN399" s="19">
        <f>VLOOKUP(BK399,'DATABASE F&amp;B'!$C$3:$F$210,4,0)</f>
        <v>0</v>
      </c>
      <c r="BO399" s="19">
        <f t="shared" si="366"/>
        <v>0</v>
      </c>
      <c r="BP399" s="16"/>
      <c r="BQ399" s="17">
        <f>VLOOKUP(BP399,'DATABASE F&amp;B'!$C$3:$F$210,2,0)</f>
        <v>0</v>
      </c>
      <c r="BR399" s="18"/>
      <c r="BS399" s="19">
        <f>VLOOKUP(BP399,'DATABASE F&amp;B'!$C$3:$F$210,4,0)</f>
        <v>0</v>
      </c>
      <c r="BT399" s="19">
        <f t="shared" si="367"/>
        <v>0</v>
      </c>
      <c r="BU399" s="16"/>
      <c r="BV399" s="17">
        <f>VLOOKUP(BU399,'DATABASE F&amp;B'!$C$3:$F$210,2,0)</f>
        <v>0</v>
      </c>
      <c r="BW399" s="18"/>
      <c r="BX399" s="19">
        <f>VLOOKUP(BU399,'DATABASE F&amp;B'!$C$3:$F$210,4,0)</f>
        <v>0</v>
      </c>
      <c r="BY399" s="19">
        <f t="shared" si="368"/>
        <v>0</v>
      </c>
      <c r="BZ399" s="16"/>
      <c r="CA399" s="17">
        <f>VLOOKUP(BZ399,'DATABASE F&amp;B'!$C$3:$F$210,2,0)</f>
        <v>0</v>
      </c>
      <c r="CB399" s="18"/>
      <c r="CC399" s="19">
        <f>VLOOKUP(BZ399,'DATABASE F&amp;B'!$C$3:$F$210,4,0)</f>
        <v>0</v>
      </c>
      <c r="CD399" s="19">
        <f t="shared" si="369"/>
        <v>0</v>
      </c>
    </row>
    <row r="400" spans="1:82" ht="13.5" x14ac:dyDescent="0.25">
      <c r="A400" s="32" t="str">
        <f t="shared" si="349"/>
        <v>--20</v>
      </c>
      <c r="B400" s="22">
        <f t="shared" ref="B400:C400" si="384">B399+1</f>
        <v>396</v>
      </c>
      <c r="C400" s="22">
        <f t="shared" si="384"/>
        <v>396</v>
      </c>
      <c r="D400" s="34"/>
      <c r="E400" s="35"/>
      <c r="F400" s="35"/>
      <c r="G400" s="52"/>
      <c r="H400" s="36" t="str">
        <f t="shared" si="374"/>
        <v>RJ--396</v>
      </c>
      <c r="I400" s="36" t="str">
        <f t="shared" si="351"/>
        <v>--20</v>
      </c>
      <c r="J400" s="37" t="e">
        <f>VLOOKUP(D400,Laporan!$C$4:$D$34,2,0)</f>
        <v>#N/A</v>
      </c>
      <c r="K400" s="48"/>
      <c r="L400" s="13"/>
      <c r="M400" s="19">
        <f>SUMIF('DATABASE Room'!$B$3:$B$7,L400,'DATABASE Room'!$D$3:$D$7)</f>
        <v>0</v>
      </c>
      <c r="N400" s="13"/>
      <c r="O400" s="21">
        <f t="shared" si="352"/>
        <v>0</v>
      </c>
      <c r="P400" s="38"/>
      <c r="Q400" s="19">
        <f t="shared" si="353"/>
        <v>0</v>
      </c>
      <c r="R400" s="21">
        <f t="shared" si="354"/>
        <v>0</v>
      </c>
      <c r="S400" s="19">
        <f t="shared" si="355"/>
        <v>2</v>
      </c>
      <c r="T400" s="19">
        <f t="shared" si="356"/>
        <v>0</v>
      </c>
      <c r="U400" s="21">
        <f t="shared" si="357"/>
        <v>0</v>
      </c>
      <c r="V400" s="39"/>
      <c r="W400" s="16"/>
      <c r="X400" s="17">
        <f>VLOOKUP(W400,'DATABASE F&amp;B'!$C$3:$F$216,2,0)</f>
        <v>0</v>
      </c>
      <c r="Y400" s="18"/>
      <c r="Z400" s="19">
        <f>VLOOKUP(W400,'DATABASE F&amp;B'!$C$3:$F$216,4,0)</f>
        <v>0</v>
      </c>
      <c r="AA400" s="19">
        <f t="shared" si="358"/>
        <v>0</v>
      </c>
      <c r="AB400" s="16"/>
      <c r="AC400" s="17">
        <f>VLOOKUP(AB400,'DATABASE F&amp;B'!$C$3:$F$216,2,0)</f>
        <v>0</v>
      </c>
      <c r="AD400" s="18"/>
      <c r="AE400" s="19">
        <f>VLOOKUP(AB400,'DATABASE F&amp;B'!$C$3:$F$216,4,0)</f>
        <v>0</v>
      </c>
      <c r="AF400" s="19">
        <f t="shared" si="359"/>
        <v>0</v>
      </c>
      <c r="AG400" s="16"/>
      <c r="AH400" s="17">
        <f>VLOOKUP(AG400,'DATABASE F&amp;B'!$C$3:$F$216,2,0)</f>
        <v>0</v>
      </c>
      <c r="AI400" s="18"/>
      <c r="AJ400" s="19">
        <f>VLOOKUP(AG400,'DATABASE F&amp;B'!$C$3:$F$216,4,0)</f>
        <v>0</v>
      </c>
      <c r="AK400" s="19">
        <f t="shared" si="360"/>
        <v>0</v>
      </c>
      <c r="AL400" s="16"/>
      <c r="AM400" s="17">
        <f>VLOOKUP(AL400,'DATABASE F&amp;B'!$C$3:$F$216,2,0)</f>
        <v>0</v>
      </c>
      <c r="AN400" s="18">
        <v>1</v>
      </c>
      <c r="AO400" s="19">
        <f>VLOOKUP(AL400,'DATABASE F&amp;B'!$C$3:$F$216,4,0)</f>
        <v>0</v>
      </c>
      <c r="AP400" s="19">
        <f t="shared" si="361"/>
        <v>0</v>
      </c>
      <c r="AQ400" s="16"/>
      <c r="AR400" s="17">
        <f>VLOOKUP(AQ400,'DATABASE F&amp;B'!$C$3:$F$216,2,0)</f>
        <v>0</v>
      </c>
      <c r="AS400" s="18">
        <v>1</v>
      </c>
      <c r="AT400" s="19">
        <f>VLOOKUP(AQ400,'DATABASE F&amp;B'!$C$3:$F$216,4,0)</f>
        <v>0</v>
      </c>
      <c r="AU400" s="19">
        <f t="shared" si="362"/>
        <v>0</v>
      </c>
      <c r="AV400" s="16"/>
      <c r="AW400" s="17">
        <f>VLOOKUP(AV400,'DATABASE F&amp;B'!$C$3:$F$216,2,0)</f>
        <v>0</v>
      </c>
      <c r="AX400" s="18"/>
      <c r="AY400" s="19">
        <f>VLOOKUP(AV400,'DATABASE F&amp;B'!$C$3:$F$216,4,0)</f>
        <v>0</v>
      </c>
      <c r="AZ400" s="19">
        <f t="shared" si="363"/>
        <v>0</v>
      </c>
      <c r="BA400" s="16"/>
      <c r="BB400" s="17">
        <f>VLOOKUP(BA400,'DATABASE F&amp;B'!$C$3:$F$216,2,0)</f>
        <v>0</v>
      </c>
      <c r="BC400" s="18"/>
      <c r="BD400" s="19">
        <f>VLOOKUP(BA400,'DATABASE F&amp;B'!$C$3:$F$216,4,0)</f>
        <v>0</v>
      </c>
      <c r="BE400" s="19">
        <f t="shared" si="364"/>
        <v>0</v>
      </c>
      <c r="BF400" s="16"/>
      <c r="BG400" s="17">
        <f>VLOOKUP(BF400,'DATABASE F&amp;B'!$C$3:$F$216,2,0)</f>
        <v>0</v>
      </c>
      <c r="BH400" s="18"/>
      <c r="BI400" s="19">
        <f>VLOOKUP(BF400,'DATABASE F&amp;B'!$C$3:$F$216,4,0)</f>
        <v>0</v>
      </c>
      <c r="BJ400" s="19">
        <f t="shared" si="365"/>
        <v>0</v>
      </c>
      <c r="BK400" s="16"/>
      <c r="BL400" s="17">
        <f>VLOOKUP(BK400,'DATABASE F&amp;B'!$C$3:$F$210,2,0)</f>
        <v>0</v>
      </c>
      <c r="BM400" s="18"/>
      <c r="BN400" s="19">
        <f>VLOOKUP(BK400,'DATABASE F&amp;B'!$C$3:$F$210,4,0)</f>
        <v>0</v>
      </c>
      <c r="BO400" s="19">
        <f t="shared" si="366"/>
        <v>0</v>
      </c>
      <c r="BP400" s="16"/>
      <c r="BQ400" s="17">
        <f>VLOOKUP(BP400,'DATABASE F&amp;B'!$C$3:$F$210,2,0)</f>
        <v>0</v>
      </c>
      <c r="BR400" s="18"/>
      <c r="BS400" s="19">
        <f>VLOOKUP(BP400,'DATABASE F&amp;B'!$C$3:$F$210,4,0)</f>
        <v>0</v>
      </c>
      <c r="BT400" s="19">
        <f t="shared" si="367"/>
        <v>0</v>
      </c>
      <c r="BU400" s="16"/>
      <c r="BV400" s="17">
        <f>VLOOKUP(BU400,'DATABASE F&amp;B'!$C$3:$F$210,2,0)</f>
        <v>0</v>
      </c>
      <c r="BW400" s="18"/>
      <c r="BX400" s="19">
        <f>VLOOKUP(BU400,'DATABASE F&amp;B'!$C$3:$F$210,4,0)</f>
        <v>0</v>
      </c>
      <c r="BY400" s="19">
        <f t="shared" si="368"/>
        <v>0</v>
      </c>
      <c r="BZ400" s="16"/>
      <c r="CA400" s="17">
        <f>VLOOKUP(BZ400,'DATABASE F&amp;B'!$C$3:$F$210,2,0)</f>
        <v>0</v>
      </c>
      <c r="CB400" s="18"/>
      <c r="CC400" s="19">
        <f>VLOOKUP(BZ400,'DATABASE F&amp;B'!$C$3:$F$210,4,0)</f>
        <v>0</v>
      </c>
      <c r="CD400" s="19">
        <f t="shared" si="369"/>
        <v>0</v>
      </c>
    </row>
    <row r="401" spans="1:82" ht="13.5" x14ac:dyDescent="0.25">
      <c r="A401" s="32" t="str">
        <f t="shared" si="349"/>
        <v>--20</v>
      </c>
      <c r="B401" s="22">
        <f t="shared" ref="B401:C401" si="385">B400+1</f>
        <v>397</v>
      </c>
      <c r="C401" s="22">
        <f t="shared" si="385"/>
        <v>397</v>
      </c>
      <c r="D401" s="34"/>
      <c r="E401" s="35"/>
      <c r="F401" s="35"/>
      <c r="G401" s="52"/>
      <c r="H401" s="36" t="str">
        <f t="shared" si="374"/>
        <v>RJ--397</v>
      </c>
      <c r="I401" s="36" t="str">
        <f t="shared" si="351"/>
        <v>--20</v>
      </c>
      <c r="J401" s="37" t="e">
        <f>VLOOKUP(D401,Laporan!$C$4:$D$34,2,0)</f>
        <v>#N/A</v>
      </c>
      <c r="K401" s="48"/>
      <c r="L401" s="13"/>
      <c r="M401" s="19">
        <f>SUMIF('DATABASE Room'!$B$3:$B$7,L401,'DATABASE Room'!$D$3:$D$7)</f>
        <v>0</v>
      </c>
      <c r="N401" s="13"/>
      <c r="O401" s="21">
        <f t="shared" si="352"/>
        <v>0</v>
      </c>
      <c r="P401" s="38"/>
      <c r="Q401" s="19">
        <f t="shared" si="353"/>
        <v>0</v>
      </c>
      <c r="R401" s="21">
        <f t="shared" si="354"/>
        <v>0</v>
      </c>
      <c r="S401" s="19">
        <f t="shared" si="355"/>
        <v>2</v>
      </c>
      <c r="T401" s="19">
        <f t="shared" si="356"/>
        <v>0</v>
      </c>
      <c r="U401" s="21">
        <f t="shared" si="357"/>
        <v>0</v>
      </c>
      <c r="V401" s="39"/>
      <c r="W401" s="16"/>
      <c r="X401" s="17">
        <f>VLOOKUP(W401,'DATABASE F&amp;B'!$C$3:$F$216,2,0)</f>
        <v>0</v>
      </c>
      <c r="Y401" s="18"/>
      <c r="Z401" s="19">
        <f>VLOOKUP(W401,'DATABASE F&amp;B'!$C$3:$F$216,4,0)</f>
        <v>0</v>
      </c>
      <c r="AA401" s="19">
        <f t="shared" si="358"/>
        <v>0</v>
      </c>
      <c r="AB401" s="16"/>
      <c r="AC401" s="17">
        <f>VLOOKUP(AB401,'DATABASE F&amp;B'!$C$3:$F$216,2,0)</f>
        <v>0</v>
      </c>
      <c r="AD401" s="18"/>
      <c r="AE401" s="19">
        <f>VLOOKUP(AB401,'DATABASE F&amp;B'!$C$3:$F$216,4,0)</f>
        <v>0</v>
      </c>
      <c r="AF401" s="19">
        <f t="shared" si="359"/>
        <v>0</v>
      </c>
      <c r="AG401" s="16"/>
      <c r="AH401" s="17">
        <f>VLOOKUP(AG401,'DATABASE F&amp;B'!$C$3:$F$216,2,0)</f>
        <v>0</v>
      </c>
      <c r="AI401" s="18"/>
      <c r="AJ401" s="19">
        <f>VLOOKUP(AG401,'DATABASE F&amp;B'!$C$3:$F$216,4,0)</f>
        <v>0</v>
      </c>
      <c r="AK401" s="19">
        <f t="shared" si="360"/>
        <v>0</v>
      </c>
      <c r="AL401" s="16"/>
      <c r="AM401" s="17">
        <f>VLOOKUP(AL401,'DATABASE F&amp;B'!$C$3:$F$216,2,0)</f>
        <v>0</v>
      </c>
      <c r="AN401" s="18">
        <v>1</v>
      </c>
      <c r="AO401" s="19">
        <f>VLOOKUP(AL401,'DATABASE F&amp;B'!$C$3:$F$216,4,0)</f>
        <v>0</v>
      </c>
      <c r="AP401" s="19">
        <f t="shared" si="361"/>
        <v>0</v>
      </c>
      <c r="AQ401" s="16"/>
      <c r="AR401" s="17">
        <f>VLOOKUP(AQ401,'DATABASE F&amp;B'!$C$3:$F$216,2,0)</f>
        <v>0</v>
      </c>
      <c r="AS401" s="18">
        <v>1</v>
      </c>
      <c r="AT401" s="19">
        <f>VLOOKUP(AQ401,'DATABASE F&amp;B'!$C$3:$F$216,4,0)</f>
        <v>0</v>
      </c>
      <c r="AU401" s="19">
        <f t="shared" si="362"/>
        <v>0</v>
      </c>
      <c r="AV401" s="16"/>
      <c r="AW401" s="17">
        <f>VLOOKUP(AV401,'DATABASE F&amp;B'!$C$3:$F$216,2,0)</f>
        <v>0</v>
      </c>
      <c r="AX401" s="18"/>
      <c r="AY401" s="19">
        <f>VLOOKUP(AV401,'DATABASE F&amp;B'!$C$3:$F$216,4,0)</f>
        <v>0</v>
      </c>
      <c r="AZ401" s="19">
        <f t="shared" si="363"/>
        <v>0</v>
      </c>
      <c r="BA401" s="16"/>
      <c r="BB401" s="17">
        <f>VLOOKUP(BA401,'DATABASE F&amp;B'!$C$3:$F$216,2,0)</f>
        <v>0</v>
      </c>
      <c r="BC401" s="18"/>
      <c r="BD401" s="19">
        <f>VLOOKUP(BA401,'DATABASE F&amp;B'!$C$3:$F$216,4,0)</f>
        <v>0</v>
      </c>
      <c r="BE401" s="19">
        <f t="shared" si="364"/>
        <v>0</v>
      </c>
      <c r="BF401" s="16"/>
      <c r="BG401" s="17">
        <f>VLOOKUP(BF401,'DATABASE F&amp;B'!$C$3:$F$216,2,0)</f>
        <v>0</v>
      </c>
      <c r="BH401" s="18"/>
      <c r="BI401" s="19">
        <f>VLOOKUP(BF401,'DATABASE F&amp;B'!$C$3:$F$216,4,0)</f>
        <v>0</v>
      </c>
      <c r="BJ401" s="19">
        <f t="shared" si="365"/>
        <v>0</v>
      </c>
      <c r="BK401" s="16"/>
      <c r="BL401" s="17">
        <f>VLOOKUP(BK401,'DATABASE F&amp;B'!$C$3:$F$210,2,0)</f>
        <v>0</v>
      </c>
      <c r="BM401" s="18"/>
      <c r="BN401" s="19">
        <f>VLOOKUP(BK401,'DATABASE F&amp;B'!$C$3:$F$210,4,0)</f>
        <v>0</v>
      </c>
      <c r="BO401" s="19">
        <f t="shared" si="366"/>
        <v>0</v>
      </c>
      <c r="BP401" s="16"/>
      <c r="BQ401" s="17">
        <f>VLOOKUP(BP401,'DATABASE F&amp;B'!$C$3:$F$210,2,0)</f>
        <v>0</v>
      </c>
      <c r="BR401" s="18"/>
      <c r="BS401" s="19">
        <f>VLOOKUP(BP401,'DATABASE F&amp;B'!$C$3:$F$210,4,0)</f>
        <v>0</v>
      </c>
      <c r="BT401" s="19">
        <f t="shared" si="367"/>
        <v>0</v>
      </c>
      <c r="BU401" s="16"/>
      <c r="BV401" s="17">
        <f>VLOOKUP(BU401,'DATABASE F&amp;B'!$C$3:$F$210,2,0)</f>
        <v>0</v>
      </c>
      <c r="BW401" s="18"/>
      <c r="BX401" s="19">
        <f>VLOOKUP(BU401,'DATABASE F&amp;B'!$C$3:$F$210,4,0)</f>
        <v>0</v>
      </c>
      <c r="BY401" s="19">
        <f t="shared" si="368"/>
        <v>0</v>
      </c>
      <c r="BZ401" s="16"/>
      <c r="CA401" s="17">
        <f>VLOOKUP(BZ401,'DATABASE F&amp;B'!$C$3:$F$210,2,0)</f>
        <v>0</v>
      </c>
      <c r="CB401" s="18"/>
      <c r="CC401" s="19">
        <f>VLOOKUP(BZ401,'DATABASE F&amp;B'!$C$3:$F$210,4,0)</f>
        <v>0</v>
      </c>
      <c r="CD401" s="19">
        <f t="shared" si="369"/>
        <v>0</v>
      </c>
    </row>
    <row r="402" spans="1:82" ht="13.5" x14ac:dyDescent="0.25">
      <c r="A402" s="32" t="str">
        <f t="shared" si="349"/>
        <v>--20</v>
      </c>
      <c r="B402" s="22">
        <f t="shared" ref="B402:C402" si="386">B401+1</f>
        <v>398</v>
      </c>
      <c r="C402" s="22">
        <f t="shared" si="386"/>
        <v>398</v>
      </c>
      <c r="D402" s="34"/>
      <c r="E402" s="35"/>
      <c r="F402" s="35"/>
      <c r="G402" s="52"/>
      <c r="H402" s="36" t="str">
        <f t="shared" si="374"/>
        <v>RJ--398</v>
      </c>
      <c r="I402" s="36" t="str">
        <f t="shared" si="351"/>
        <v>--20</v>
      </c>
      <c r="J402" s="37" t="e">
        <f>VLOOKUP(D402,Laporan!$C$4:$D$34,2,0)</f>
        <v>#N/A</v>
      </c>
      <c r="K402" s="48"/>
      <c r="L402" s="13"/>
      <c r="M402" s="19">
        <f>SUMIF('DATABASE Room'!$B$3:$B$7,L402,'DATABASE Room'!$D$3:$D$7)</f>
        <v>0</v>
      </c>
      <c r="N402" s="13"/>
      <c r="O402" s="21">
        <f t="shared" si="352"/>
        <v>0</v>
      </c>
      <c r="P402" s="38"/>
      <c r="Q402" s="19">
        <f t="shared" si="353"/>
        <v>0</v>
      </c>
      <c r="R402" s="21">
        <f t="shared" si="354"/>
        <v>0</v>
      </c>
      <c r="S402" s="19">
        <f t="shared" si="355"/>
        <v>2</v>
      </c>
      <c r="T402" s="19">
        <f t="shared" si="356"/>
        <v>0</v>
      </c>
      <c r="U402" s="21">
        <f t="shared" si="357"/>
        <v>0</v>
      </c>
      <c r="V402" s="39"/>
      <c r="W402" s="16"/>
      <c r="X402" s="17">
        <f>VLOOKUP(W402,'DATABASE F&amp;B'!$C$3:$F$216,2,0)</f>
        <v>0</v>
      </c>
      <c r="Y402" s="18"/>
      <c r="Z402" s="19">
        <f>VLOOKUP(W402,'DATABASE F&amp;B'!$C$3:$F$216,4,0)</f>
        <v>0</v>
      </c>
      <c r="AA402" s="19">
        <f t="shared" si="358"/>
        <v>0</v>
      </c>
      <c r="AB402" s="16"/>
      <c r="AC402" s="17">
        <f>VLOOKUP(AB402,'DATABASE F&amp;B'!$C$3:$F$216,2,0)</f>
        <v>0</v>
      </c>
      <c r="AD402" s="18"/>
      <c r="AE402" s="19">
        <f>VLOOKUP(AB402,'DATABASE F&amp;B'!$C$3:$F$216,4,0)</f>
        <v>0</v>
      </c>
      <c r="AF402" s="19">
        <f t="shared" si="359"/>
        <v>0</v>
      </c>
      <c r="AG402" s="16"/>
      <c r="AH402" s="17">
        <f>VLOOKUP(AG402,'DATABASE F&amp;B'!$C$3:$F$216,2,0)</f>
        <v>0</v>
      </c>
      <c r="AI402" s="18"/>
      <c r="AJ402" s="19">
        <f>VLOOKUP(AG402,'DATABASE F&amp;B'!$C$3:$F$216,4,0)</f>
        <v>0</v>
      </c>
      <c r="AK402" s="19">
        <f t="shared" si="360"/>
        <v>0</v>
      </c>
      <c r="AL402" s="16"/>
      <c r="AM402" s="17">
        <f>VLOOKUP(AL402,'DATABASE F&amp;B'!$C$3:$F$216,2,0)</f>
        <v>0</v>
      </c>
      <c r="AN402" s="18">
        <v>1</v>
      </c>
      <c r="AO402" s="19">
        <f>VLOOKUP(AL402,'DATABASE F&amp;B'!$C$3:$F$216,4,0)</f>
        <v>0</v>
      </c>
      <c r="AP402" s="19">
        <f t="shared" si="361"/>
        <v>0</v>
      </c>
      <c r="AQ402" s="16"/>
      <c r="AR402" s="17">
        <f>VLOOKUP(AQ402,'DATABASE F&amp;B'!$C$3:$F$216,2,0)</f>
        <v>0</v>
      </c>
      <c r="AS402" s="18">
        <v>1</v>
      </c>
      <c r="AT402" s="19">
        <f>VLOOKUP(AQ402,'DATABASE F&amp;B'!$C$3:$F$216,4,0)</f>
        <v>0</v>
      </c>
      <c r="AU402" s="19">
        <f t="shared" si="362"/>
        <v>0</v>
      </c>
      <c r="AV402" s="16"/>
      <c r="AW402" s="17">
        <f>VLOOKUP(AV402,'DATABASE F&amp;B'!$C$3:$F$216,2,0)</f>
        <v>0</v>
      </c>
      <c r="AX402" s="18"/>
      <c r="AY402" s="19">
        <f>VLOOKUP(AV402,'DATABASE F&amp;B'!$C$3:$F$216,4,0)</f>
        <v>0</v>
      </c>
      <c r="AZ402" s="19">
        <f t="shared" si="363"/>
        <v>0</v>
      </c>
      <c r="BA402" s="16"/>
      <c r="BB402" s="17">
        <f>VLOOKUP(BA402,'DATABASE F&amp;B'!$C$3:$F$216,2,0)</f>
        <v>0</v>
      </c>
      <c r="BC402" s="18"/>
      <c r="BD402" s="19">
        <f>VLOOKUP(BA402,'DATABASE F&amp;B'!$C$3:$F$216,4,0)</f>
        <v>0</v>
      </c>
      <c r="BE402" s="19">
        <f t="shared" si="364"/>
        <v>0</v>
      </c>
      <c r="BF402" s="16"/>
      <c r="BG402" s="17">
        <f>VLOOKUP(BF402,'DATABASE F&amp;B'!$C$3:$F$216,2,0)</f>
        <v>0</v>
      </c>
      <c r="BH402" s="18"/>
      <c r="BI402" s="19">
        <f>VLOOKUP(BF402,'DATABASE F&amp;B'!$C$3:$F$216,4,0)</f>
        <v>0</v>
      </c>
      <c r="BJ402" s="19">
        <f t="shared" si="365"/>
        <v>0</v>
      </c>
      <c r="BK402" s="16"/>
      <c r="BL402" s="17">
        <f>VLOOKUP(BK402,'DATABASE F&amp;B'!$C$3:$F$210,2,0)</f>
        <v>0</v>
      </c>
      <c r="BM402" s="18"/>
      <c r="BN402" s="19">
        <f>VLOOKUP(BK402,'DATABASE F&amp;B'!$C$3:$F$210,4,0)</f>
        <v>0</v>
      </c>
      <c r="BO402" s="19">
        <f t="shared" si="366"/>
        <v>0</v>
      </c>
      <c r="BP402" s="16"/>
      <c r="BQ402" s="17">
        <f>VLOOKUP(BP402,'DATABASE F&amp;B'!$C$3:$F$210,2,0)</f>
        <v>0</v>
      </c>
      <c r="BR402" s="18"/>
      <c r="BS402" s="19">
        <f>VLOOKUP(BP402,'DATABASE F&amp;B'!$C$3:$F$210,4,0)</f>
        <v>0</v>
      </c>
      <c r="BT402" s="19">
        <f t="shared" si="367"/>
        <v>0</v>
      </c>
      <c r="BU402" s="16"/>
      <c r="BV402" s="17">
        <f>VLOOKUP(BU402,'DATABASE F&amp;B'!$C$3:$F$210,2,0)</f>
        <v>0</v>
      </c>
      <c r="BW402" s="18"/>
      <c r="BX402" s="19">
        <f>VLOOKUP(BU402,'DATABASE F&amp;B'!$C$3:$F$210,4,0)</f>
        <v>0</v>
      </c>
      <c r="BY402" s="19">
        <f t="shared" si="368"/>
        <v>0</v>
      </c>
      <c r="BZ402" s="16"/>
      <c r="CA402" s="17">
        <f>VLOOKUP(BZ402,'DATABASE F&amp;B'!$C$3:$F$210,2,0)</f>
        <v>0</v>
      </c>
      <c r="CB402" s="18"/>
      <c r="CC402" s="19">
        <f>VLOOKUP(BZ402,'DATABASE F&amp;B'!$C$3:$F$210,4,0)</f>
        <v>0</v>
      </c>
      <c r="CD402" s="19">
        <f t="shared" si="369"/>
        <v>0</v>
      </c>
    </row>
    <row r="403" spans="1:82" ht="13.5" x14ac:dyDescent="0.25">
      <c r="A403" s="32" t="str">
        <f t="shared" si="349"/>
        <v>--20</v>
      </c>
      <c r="B403" s="22">
        <f t="shared" ref="B403:C403" si="387">B402+1</f>
        <v>399</v>
      </c>
      <c r="C403" s="22">
        <f t="shared" si="387"/>
        <v>399</v>
      </c>
      <c r="D403" s="34"/>
      <c r="E403" s="35"/>
      <c r="F403" s="35"/>
      <c r="G403" s="52"/>
      <c r="H403" s="36" t="str">
        <f t="shared" si="374"/>
        <v>RJ--399</v>
      </c>
      <c r="I403" s="36" t="str">
        <f t="shared" si="351"/>
        <v>--20</v>
      </c>
      <c r="J403" s="37" t="e">
        <f>VLOOKUP(D403,Laporan!$C$4:$D$34,2,0)</f>
        <v>#N/A</v>
      </c>
      <c r="K403" s="48"/>
      <c r="L403" s="13"/>
      <c r="M403" s="19">
        <f>SUMIF('DATABASE Room'!$B$3:$B$7,L403,'DATABASE Room'!$D$3:$D$7)</f>
        <v>0</v>
      </c>
      <c r="N403" s="13"/>
      <c r="O403" s="21">
        <f t="shared" si="352"/>
        <v>0</v>
      </c>
      <c r="P403" s="38"/>
      <c r="Q403" s="19">
        <f t="shared" si="353"/>
        <v>0</v>
      </c>
      <c r="R403" s="21">
        <f t="shared" si="354"/>
        <v>0</v>
      </c>
      <c r="S403" s="19">
        <f t="shared" si="355"/>
        <v>2</v>
      </c>
      <c r="T403" s="19">
        <f t="shared" si="356"/>
        <v>0</v>
      </c>
      <c r="U403" s="21">
        <f t="shared" si="357"/>
        <v>0</v>
      </c>
      <c r="V403" s="39"/>
      <c r="W403" s="16"/>
      <c r="X403" s="17">
        <f>VLOOKUP(W403,'DATABASE F&amp;B'!$C$3:$F$216,2,0)</f>
        <v>0</v>
      </c>
      <c r="Y403" s="18"/>
      <c r="Z403" s="19">
        <f>VLOOKUP(W403,'DATABASE F&amp;B'!$C$3:$F$216,4,0)</f>
        <v>0</v>
      </c>
      <c r="AA403" s="19">
        <f t="shared" si="358"/>
        <v>0</v>
      </c>
      <c r="AB403" s="16"/>
      <c r="AC403" s="17">
        <f>VLOOKUP(AB403,'DATABASE F&amp;B'!$C$3:$F$216,2,0)</f>
        <v>0</v>
      </c>
      <c r="AD403" s="18"/>
      <c r="AE403" s="19">
        <f>VLOOKUP(AB403,'DATABASE F&amp;B'!$C$3:$F$216,4,0)</f>
        <v>0</v>
      </c>
      <c r="AF403" s="19">
        <f t="shared" si="359"/>
        <v>0</v>
      </c>
      <c r="AG403" s="16"/>
      <c r="AH403" s="17">
        <f>VLOOKUP(AG403,'DATABASE F&amp;B'!$C$3:$F$216,2,0)</f>
        <v>0</v>
      </c>
      <c r="AI403" s="18"/>
      <c r="AJ403" s="19">
        <f>VLOOKUP(AG403,'DATABASE F&amp;B'!$C$3:$F$216,4,0)</f>
        <v>0</v>
      </c>
      <c r="AK403" s="19">
        <f t="shared" si="360"/>
        <v>0</v>
      </c>
      <c r="AL403" s="16"/>
      <c r="AM403" s="17">
        <f>VLOOKUP(AL403,'DATABASE F&amp;B'!$C$3:$F$216,2,0)</f>
        <v>0</v>
      </c>
      <c r="AN403" s="18">
        <v>1</v>
      </c>
      <c r="AO403" s="19">
        <f>VLOOKUP(AL403,'DATABASE F&amp;B'!$C$3:$F$216,4,0)</f>
        <v>0</v>
      </c>
      <c r="AP403" s="19">
        <f t="shared" si="361"/>
        <v>0</v>
      </c>
      <c r="AQ403" s="16"/>
      <c r="AR403" s="17">
        <f>VLOOKUP(AQ403,'DATABASE F&amp;B'!$C$3:$F$216,2,0)</f>
        <v>0</v>
      </c>
      <c r="AS403" s="18">
        <v>1</v>
      </c>
      <c r="AT403" s="19">
        <f>VLOOKUP(AQ403,'DATABASE F&amp;B'!$C$3:$F$216,4,0)</f>
        <v>0</v>
      </c>
      <c r="AU403" s="19">
        <f t="shared" si="362"/>
        <v>0</v>
      </c>
      <c r="AV403" s="16"/>
      <c r="AW403" s="17">
        <f>VLOOKUP(AV403,'DATABASE F&amp;B'!$C$3:$F$216,2,0)</f>
        <v>0</v>
      </c>
      <c r="AX403" s="18"/>
      <c r="AY403" s="19">
        <f>VLOOKUP(AV403,'DATABASE F&amp;B'!$C$3:$F$216,4,0)</f>
        <v>0</v>
      </c>
      <c r="AZ403" s="19">
        <f t="shared" si="363"/>
        <v>0</v>
      </c>
      <c r="BA403" s="16"/>
      <c r="BB403" s="17">
        <f>VLOOKUP(BA403,'DATABASE F&amp;B'!$C$3:$F$216,2,0)</f>
        <v>0</v>
      </c>
      <c r="BC403" s="18"/>
      <c r="BD403" s="19">
        <f>VLOOKUP(BA403,'DATABASE F&amp;B'!$C$3:$F$216,4,0)</f>
        <v>0</v>
      </c>
      <c r="BE403" s="19">
        <f t="shared" si="364"/>
        <v>0</v>
      </c>
      <c r="BF403" s="16"/>
      <c r="BG403" s="17">
        <f>VLOOKUP(BF403,'DATABASE F&amp;B'!$C$3:$F$216,2,0)</f>
        <v>0</v>
      </c>
      <c r="BH403" s="18"/>
      <c r="BI403" s="19">
        <f>VLOOKUP(BF403,'DATABASE F&amp;B'!$C$3:$F$216,4,0)</f>
        <v>0</v>
      </c>
      <c r="BJ403" s="19">
        <f t="shared" si="365"/>
        <v>0</v>
      </c>
      <c r="BK403" s="16"/>
      <c r="BL403" s="17">
        <f>VLOOKUP(BK403,'DATABASE F&amp;B'!$C$3:$F$210,2,0)</f>
        <v>0</v>
      </c>
      <c r="BM403" s="18"/>
      <c r="BN403" s="19">
        <f>VLOOKUP(BK403,'DATABASE F&amp;B'!$C$3:$F$210,4,0)</f>
        <v>0</v>
      </c>
      <c r="BO403" s="19">
        <f t="shared" si="366"/>
        <v>0</v>
      </c>
      <c r="BP403" s="16"/>
      <c r="BQ403" s="17">
        <f>VLOOKUP(BP403,'DATABASE F&amp;B'!$C$3:$F$210,2,0)</f>
        <v>0</v>
      </c>
      <c r="BR403" s="18"/>
      <c r="BS403" s="19">
        <f>VLOOKUP(BP403,'DATABASE F&amp;B'!$C$3:$F$210,4,0)</f>
        <v>0</v>
      </c>
      <c r="BT403" s="19">
        <f t="shared" si="367"/>
        <v>0</v>
      </c>
      <c r="BU403" s="16"/>
      <c r="BV403" s="17">
        <f>VLOOKUP(BU403,'DATABASE F&amp;B'!$C$3:$F$210,2,0)</f>
        <v>0</v>
      </c>
      <c r="BW403" s="18"/>
      <c r="BX403" s="19">
        <f>VLOOKUP(BU403,'DATABASE F&amp;B'!$C$3:$F$210,4,0)</f>
        <v>0</v>
      </c>
      <c r="BY403" s="19">
        <f t="shared" si="368"/>
        <v>0</v>
      </c>
      <c r="BZ403" s="16"/>
      <c r="CA403" s="17">
        <f>VLOOKUP(BZ403,'DATABASE F&amp;B'!$C$3:$F$210,2,0)</f>
        <v>0</v>
      </c>
      <c r="CB403" s="18"/>
      <c r="CC403" s="19">
        <f>VLOOKUP(BZ403,'DATABASE F&amp;B'!$C$3:$F$210,4,0)</f>
        <v>0</v>
      </c>
      <c r="CD403" s="19">
        <f t="shared" si="369"/>
        <v>0</v>
      </c>
    </row>
    <row r="404" spans="1:82" ht="13.5" x14ac:dyDescent="0.25">
      <c r="A404" s="32" t="str">
        <f t="shared" si="349"/>
        <v>--20</v>
      </c>
      <c r="B404" s="22">
        <f t="shared" ref="B404:C404" si="388">B403+1</f>
        <v>400</v>
      </c>
      <c r="C404" s="22">
        <f t="shared" si="388"/>
        <v>400</v>
      </c>
      <c r="D404" s="34"/>
      <c r="E404" s="35"/>
      <c r="F404" s="35"/>
      <c r="G404" s="52"/>
      <c r="H404" s="36" t="str">
        <f t="shared" si="374"/>
        <v>RJ--400</v>
      </c>
      <c r="I404" s="36" t="str">
        <f t="shared" si="351"/>
        <v>--20</v>
      </c>
      <c r="J404" s="37" t="e">
        <f>VLOOKUP(D404,Laporan!$C$4:$D$34,2,0)</f>
        <v>#N/A</v>
      </c>
      <c r="K404" s="48"/>
      <c r="L404" s="13"/>
      <c r="M404" s="19">
        <f>SUMIF('DATABASE Room'!$B$3:$B$7,L404,'DATABASE Room'!$D$3:$D$7)</f>
        <v>0</v>
      </c>
      <c r="N404" s="13"/>
      <c r="O404" s="21">
        <f t="shared" si="352"/>
        <v>0</v>
      </c>
      <c r="P404" s="38"/>
      <c r="Q404" s="19">
        <f t="shared" si="353"/>
        <v>0</v>
      </c>
      <c r="R404" s="21">
        <f t="shared" si="354"/>
        <v>0</v>
      </c>
      <c r="S404" s="19">
        <f t="shared" si="355"/>
        <v>2</v>
      </c>
      <c r="T404" s="19">
        <f t="shared" si="356"/>
        <v>0</v>
      </c>
      <c r="U404" s="21">
        <f t="shared" si="357"/>
        <v>0</v>
      </c>
      <c r="V404" s="39"/>
      <c r="W404" s="16"/>
      <c r="X404" s="17">
        <f>VLOOKUP(W404,'DATABASE F&amp;B'!$C$3:$F$216,2,0)</f>
        <v>0</v>
      </c>
      <c r="Y404" s="18"/>
      <c r="Z404" s="19">
        <f>VLOOKUP(W404,'DATABASE F&amp;B'!$C$3:$F$216,4,0)</f>
        <v>0</v>
      </c>
      <c r="AA404" s="19">
        <f t="shared" si="358"/>
        <v>0</v>
      </c>
      <c r="AB404" s="16"/>
      <c r="AC404" s="17">
        <f>VLOOKUP(AB404,'DATABASE F&amp;B'!$C$3:$F$216,2,0)</f>
        <v>0</v>
      </c>
      <c r="AD404" s="18"/>
      <c r="AE404" s="19">
        <f>VLOOKUP(AB404,'DATABASE F&amp;B'!$C$3:$F$216,4,0)</f>
        <v>0</v>
      </c>
      <c r="AF404" s="19">
        <f t="shared" si="359"/>
        <v>0</v>
      </c>
      <c r="AG404" s="16"/>
      <c r="AH404" s="17">
        <f>VLOOKUP(AG404,'DATABASE F&amp;B'!$C$3:$F$216,2,0)</f>
        <v>0</v>
      </c>
      <c r="AI404" s="18"/>
      <c r="AJ404" s="19">
        <f>VLOOKUP(AG404,'DATABASE F&amp;B'!$C$3:$F$216,4,0)</f>
        <v>0</v>
      </c>
      <c r="AK404" s="19">
        <f t="shared" si="360"/>
        <v>0</v>
      </c>
      <c r="AL404" s="16"/>
      <c r="AM404" s="17">
        <f>VLOOKUP(AL404,'DATABASE F&amp;B'!$C$3:$F$216,2,0)</f>
        <v>0</v>
      </c>
      <c r="AN404" s="18">
        <v>1</v>
      </c>
      <c r="AO404" s="19">
        <f>VLOOKUP(AL404,'DATABASE F&amp;B'!$C$3:$F$216,4,0)</f>
        <v>0</v>
      </c>
      <c r="AP404" s="19">
        <f t="shared" si="361"/>
        <v>0</v>
      </c>
      <c r="AQ404" s="16"/>
      <c r="AR404" s="17">
        <f>VLOOKUP(AQ404,'DATABASE F&amp;B'!$C$3:$F$216,2,0)</f>
        <v>0</v>
      </c>
      <c r="AS404" s="18">
        <v>1</v>
      </c>
      <c r="AT404" s="19">
        <f>VLOOKUP(AQ404,'DATABASE F&amp;B'!$C$3:$F$216,4,0)</f>
        <v>0</v>
      </c>
      <c r="AU404" s="19">
        <f t="shared" si="362"/>
        <v>0</v>
      </c>
      <c r="AV404" s="16"/>
      <c r="AW404" s="17">
        <f>VLOOKUP(AV404,'DATABASE F&amp;B'!$C$3:$F$216,2,0)</f>
        <v>0</v>
      </c>
      <c r="AX404" s="18"/>
      <c r="AY404" s="19">
        <f>VLOOKUP(AV404,'DATABASE F&amp;B'!$C$3:$F$216,4,0)</f>
        <v>0</v>
      </c>
      <c r="AZ404" s="19">
        <f t="shared" si="363"/>
        <v>0</v>
      </c>
      <c r="BA404" s="16"/>
      <c r="BB404" s="17">
        <f>VLOOKUP(BA404,'DATABASE F&amp;B'!$C$3:$F$216,2,0)</f>
        <v>0</v>
      </c>
      <c r="BC404" s="18"/>
      <c r="BD404" s="19">
        <f>VLOOKUP(BA404,'DATABASE F&amp;B'!$C$3:$F$216,4,0)</f>
        <v>0</v>
      </c>
      <c r="BE404" s="19">
        <f t="shared" si="364"/>
        <v>0</v>
      </c>
      <c r="BF404" s="16"/>
      <c r="BG404" s="17">
        <f>VLOOKUP(BF404,'DATABASE F&amp;B'!$C$3:$F$216,2,0)</f>
        <v>0</v>
      </c>
      <c r="BH404" s="18"/>
      <c r="BI404" s="19">
        <f>VLOOKUP(BF404,'DATABASE F&amp;B'!$C$3:$F$216,4,0)</f>
        <v>0</v>
      </c>
      <c r="BJ404" s="19">
        <f t="shared" si="365"/>
        <v>0</v>
      </c>
      <c r="BK404" s="16"/>
      <c r="BL404" s="17">
        <f>VLOOKUP(BK404,'DATABASE F&amp;B'!$C$3:$F$210,2,0)</f>
        <v>0</v>
      </c>
      <c r="BM404" s="18"/>
      <c r="BN404" s="19">
        <f>VLOOKUP(BK404,'DATABASE F&amp;B'!$C$3:$F$210,4,0)</f>
        <v>0</v>
      </c>
      <c r="BO404" s="19">
        <f t="shared" si="366"/>
        <v>0</v>
      </c>
      <c r="BP404" s="16"/>
      <c r="BQ404" s="17">
        <f>VLOOKUP(BP404,'DATABASE F&amp;B'!$C$3:$F$210,2,0)</f>
        <v>0</v>
      </c>
      <c r="BR404" s="18"/>
      <c r="BS404" s="19">
        <f>VLOOKUP(BP404,'DATABASE F&amp;B'!$C$3:$F$210,4,0)</f>
        <v>0</v>
      </c>
      <c r="BT404" s="19">
        <f t="shared" si="367"/>
        <v>0</v>
      </c>
      <c r="BU404" s="16"/>
      <c r="BV404" s="17">
        <f>VLOOKUP(BU404,'DATABASE F&amp;B'!$C$3:$F$210,2,0)</f>
        <v>0</v>
      </c>
      <c r="BW404" s="18"/>
      <c r="BX404" s="19">
        <f>VLOOKUP(BU404,'DATABASE F&amp;B'!$C$3:$F$210,4,0)</f>
        <v>0</v>
      </c>
      <c r="BY404" s="19">
        <f t="shared" si="368"/>
        <v>0</v>
      </c>
      <c r="BZ404" s="16"/>
      <c r="CA404" s="17">
        <f>VLOOKUP(BZ404,'DATABASE F&amp;B'!$C$3:$F$210,2,0)</f>
        <v>0</v>
      </c>
      <c r="CB404" s="18"/>
      <c r="CC404" s="19">
        <f>VLOOKUP(BZ404,'DATABASE F&amp;B'!$C$3:$F$210,4,0)</f>
        <v>0</v>
      </c>
      <c r="CD404" s="19">
        <f t="shared" si="369"/>
        <v>0</v>
      </c>
    </row>
    <row r="405" spans="1:82" ht="13.5" x14ac:dyDescent="0.25">
      <c r="A405" s="32" t="str">
        <f t="shared" si="349"/>
        <v>--20</v>
      </c>
      <c r="B405" s="22">
        <f t="shared" ref="B405:C405" si="389">B404+1</f>
        <v>401</v>
      </c>
      <c r="C405" s="22">
        <f t="shared" si="389"/>
        <v>401</v>
      </c>
      <c r="D405" s="34"/>
      <c r="E405" s="35"/>
      <c r="F405" s="35"/>
      <c r="G405" s="52"/>
      <c r="H405" s="36" t="str">
        <f t="shared" si="374"/>
        <v>RJ--401</v>
      </c>
      <c r="I405" s="36" t="str">
        <f t="shared" si="351"/>
        <v>--20</v>
      </c>
      <c r="J405" s="37" t="e">
        <f>VLOOKUP(D405,Laporan!$C$4:$D$34,2,0)</f>
        <v>#N/A</v>
      </c>
      <c r="K405" s="48"/>
      <c r="L405" s="13"/>
      <c r="M405" s="19">
        <f>SUMIF('DATABASE Room'!$B$3:$B$7,L405,'DATABASE Room'!$D$3:$D$7)</f>
        <v>0</v>
      </c>
      <c r="N405" s="13"/>
      <c r="O405" s="21">
        <f t="shared" si="352"/>
        <v>0</v>
      </c>
      <c r="P405" s="38"/>
      <c r="Q405" s="19">
        <f t="shared" si="353"/>
        <v>0</v>
      </c>
      <c r="R405" s="21">
        <f t="shared" si="354"/>
        <v>0</v>
      </c>
      <c r="S405" s="19">
        <f t="shared" si="355"/>
        <v>2</v>
      </c>
      <c r="T405" s="19">
        <f t="shared" si="356"/>
        <v>0</v>
      </c>
      <c r="U405" s="21">
        <f t="shared" si="357"/>
        <v>0</v>
      </c>
      <c r="V405" s="39"/>
      <c r="W405" s="16"/>
      <c r="X405" s="17">
        <f>VLOOKUP(W405,'DATABASE F&amp;B'!$C$3:$F$216,2,0)</f>
        <v>0</v>
      </c>
      <c r="Y405" s="18"/>
      <c r="Z405" s="19">
        <f>VLOOKUP(W405,'DATABASE F&amp;B'!$C$3:$F$216,4,0)</f>
        <v>0</v>
      </c>
      <c r="AA405" s="19">
        <f t="shared" si="358"/>
        <v>0</v>
      </c>
      <c r="AB405" s="16"/>
      <c r="AC405" s="17">
        <f>VLOOKUP(AB405,'DATABASE F&amp;B'!$C$3:$F$216,2,0)</f>
        <v>0</v>
      </c>
      <c r="AD405" s="18"/>
      <c r="AE405" s="19">
        <f>VLOOKUP(AB405,'DATABASE F&amp;B'!$C$3:$F$216,4,0)</f>
        <v>0</v>
      </c>
      <c r="AF405" s="19">
        <f t="shared" si="359"/>
        <v>0</v>
      </c>
      <c r="AG405" s="16"/>
      <c r="AH405" s="17">
        <f>VLOOKUP(AG405,'DATABASE F&amp;B'!$C$3:$F$216,2,0)</f>
        <v>0</v>
      </c>
      <c r="AI405" s="18"/>
      <c r="AJ405" s="19">
        <f>VLOOKUP(AG405,'DATABASE F&amp;B'!$C$3:$F$216,4,0)</f>
        <v>0</v>
      </c>
      <c r="AK405" s="19">
        <f t="shared" si="360"/>
        <v>0</v>
      </c>
      <c r="AL405" s="16"/>
      <c r="AM405" s="17">
        <f>VLOOKUP(AL405,'DATABASE F&amp;B'!$C$3:$F$216,2,0)</f>
        <v>0</v>
      </c>
      <c r="AN405" s="18">
        <v>1</v>
      </c>
      <c r="AO405" s="19">
        <f>VLOOKUP(AL405,'DATABASE F&amp;B'!$C$3:$F$216,4,0)</f>
        <v>0</v>
      </c>
      <c r="AP405" s="19">
        <f t="shared" si="361"/>
        <v>0</v>
      </c>
      <c r="AQ405" s="16"/>
      <c r="AR405" s="17">
        <f>VLOOKUP(AQ405,'DATABASE F&amp;B'!$C$3:$F$216,2,0)</f>
        <v>0</v>
      </c>
      <c r="AS405" s="18">
        <v>1</v>
      </c>
      <c r="AT405" s="19">
        <f>VLOOKUP(AQ405,'DATABASE F&amp;B'!$C$3:$F$216,4,0)</f>
        <v>0</v>
      </c>
      <c r="AU405" s="19">
        <f t="shared" si="362"/>
        <v>0</v>
      </c>
      <c r="AV405" s="16"/>
      <c r="AW405" s="17">
        <f>VLOOKUP(AV405,'DATABASE F&amp;B'!$C$3:$F$216,2,0)</f>
        <v>0</v>
      </c>
      <c r="AX405" s="18"/>
      <c r="AY405" s="19">
        <f>VLOOKUP(AV405,'DATABASE F&amp;B'!$C$3:$F$216,4,0)</f>
        <v>0</v>
      </c>
      <c r="AZ405" s="19">
        <f t="shared" si="363"/>
        <v>0</v>
      </c>
      <c r="BA405" s="16"/>
      <c r="BB405" s="17">
        <f>VLOOKUP(BA405,'DATABASE F&amp;B'!$C$3:$F$216,2,0)</f>
        <v>0</v>
      </c>
      <c r="BC405" s="18"/>
      <c r="BD405" s="19">
        <f>VLOOKUP(BA405,'DATABASE F&amp;B'!$C$3:$F$216,4,0)</f>
        <v>0</v>
      </c>
      <c r="BE405" s="19">
        <f t="shared" si="364"/>
        <v>0</v>
      </c>
      <c r="BF405" s="16"/>
      <c r="BG405" s="17">
        <f>VLOOKUP(BF405,'DATABASE F&amp;B'!$C$3:$F$216,2,0)</f>
        <v>0</v>
      </c>
      <c r="BH405" s="18"/>
      <c r="BI405" s="19">
        <f>VLOOKUP(BF405,'DATABASE F&amp;B'!$C$3:$F$216,4,0)</f>
        <v>0</v>
      </c>
      <c r="BJ405" s="19">
        <f t="shared" si="365"/>
        <v>0</v>
      </c>
      <c r="BK405" s="16"/>
      <c r="BL405" s="17">
        <f>VLOOKUP(BK405,'DATABASE F&amp;B'!$C$3:$F$210,2,0)</f>
        <v>0</v>
      </c>
      <c r="BM405" s="18"/>
      <c r="BN405" s="19">
        <f>VLOOKUP(BK405,'DATABASE F&amp;B'!$C$3:$F$210,4,0)</f>
        <v>0</v>
      </c>
      <c r="BO405" s="19">
        <f t="shared" si="366"/>
        <v>0</v>
      </c>
      <c r="BP405" s="16"/>
      <c r="BQ405" s="17">
        <f>VLOOKUP(BP405,'DATABASE F&amp;B'!$C$3:$F$210,2,0)</f>
        <v>0</v>
      </c>
      <c r="BR405" s="18"/>
      <c r="BS405" s="19">
        <f>VLOOKUP(BP405,'DATABASE F&amp;B'!$C$3:$F$210,4,0)</f>
        <v>0</v>
      </c>
      <c r="BT405" s="19">
        <f t="shared" si="367"/>
        <v>0</v>
      </c>
      <c r="BU405" s="16"/>
      <c r="BV405" s="17">
        <f>VLOOKUP(BU405,'DATABASE F&amp;B'!$C$3:$F$210,2,0)</f>
        <v>0</v>
      </c>
      <c r="BW405" s="18"/>
      <c r="BX405" s="19">
        <f>VLOOKUP(BU405,'DATABASE F&amp;B'!$C$3:$F$210,4,0)</f>
        <v>0</v>
      </c>
      <c r="BY405" s="19">
        <f t="shared" si="368"/>
        <v>0</v>
      </c>
      <c r="BZ405" s="16"/>
      <c r="CA405" s="17">
        <f>VLOOKUP(BZ405,'DATABASE F&amp;B'!$C$3:$F$210,2,0)</f>
        <v>0</v>
      </c>
      <c r="CB405" s="18"/>
      <c r="CC405" s="19">
        <f>VLOOKUP(BZ405,'DATABASE F&amp;B'!$C$3:$F$210,4,0)</f>
        <v>0</v>
      </c>
      <c r="CD405" s="19">
        <f t="shared" si="369"/>
        <v>0</v>
      </c>
    </row>
    <row r="406" spans="1:82" ht="13.5" x14ac:dyDescent="0.25">
      <c r="A406" s="32" t="str">
        <f t="shared" si="349"/>
        <v>--20</v>
      </c>
      <c r="B406" s="22">
        <f t="shared" ref="B406:C406" si="390">B405+1</f>
        <v>402</v>
      </c>
      <c r="C406" s="22">
        <f t="shared" si="390"/>
        <v>402</v>
      </c>
      <c r="D406" s="34"/>
      <c r="E406" s="35"/>
      <c r="F406" s="35"/>
      <c r="G406" s="52"/>
      <c r="H406" s="36" t="str">
        <f t="shared" si="374"/>
        <v>RJ--402</v>
      </c>
      <c r="I406" s="36" t="str">
        <f t="shared" si="351"/>
        <v>--20</v>
      </c>
      <c r="J406" s="37" t="e">
        <f>VLOOKUP(D406,Laporan!$C$4:$D$34,2,0)</f>
        <v>#N/A</v>
      </c>
      <c r="K406" s="48"/>
      <c r="L406" s="13"/>
      <c r="M406" s="19">
        <f>SUMIF('DATABASE Room'!$B$3:$B$7,L406,'DATABASE Room'!$D$3:$D$7)</f>
        <v>0</v>
      </c>
      <c r="N406" s="13"/>
      <c r="O406" s="21">
        <f t="shared" si="352"/>
        <v>0</v>
      </c>
      <c r="P406" s="38"/>
      <c r="Q406" s="19">
        <f t="shared" si="353"/>
        <v>0</v>
      </c>
      <c r="R406" s="21">
        <f t="shared" si="354"/>
        <v>0</v>
      </c>
      <c r="S406" s="19">
        <f t="shared" si="355"/>
        <v>2</v>
      </c>
      <c r="T406" s="19">
        <f t="shared" si="356"/>
        <v>0</v>
      </c>
      <c r="U406" s="21">
        <f t="shared" si="357"/>
        <v>0</v>
      </c>
      <c r="V406" s="39"/>
      <c r="W406" s="16"/>
      <c r="X406" s="17">
        <f>VLOOKUP(W406,'DATABASE F&amp;B'!$C$3:$F$216,2,0)</f>
        <v>0</v>
      </c>
      <c r="Y406" s="18"/>
      <c r="Z406" s="19">
        <f>VLOOKUP(W406,'DATABASE F&amp;B'!$C$3:$F$216,4,0)</f>
        <v>0</v>
      </c>
      <c r="AA406" s="19">
        <f t="shared" si="358"/>
        <v>0</v>
      </c>
      <c r="AB406" s="16"/>
      <c r="AC406" s="17">
        <f>VLOOKUP(AB406,'DATABASE F&amp;B'!$C$3:$F$216,2,0)</f>
        <v>0</v>
      </c>
      <c r="AD406" s="18"/>
      <c r="AE406" s="19">
        <f>VLOOKUP(AB406,'DATABASE F&amp;B'!$C$3:$F$216,4,0)</f>
        <v>0</v>
      </c>
      <c r="AF406" s="19">
        <f t="shared" si="359"/>
        <v>0</v>
      </c>
      <c r="AG406" s="16"/>
      <c r="AH406" s="17">
        <f>VLOOKUP(AG406,'DATABASE F&amp;B'!$C$3:$F$216,2,0)</f>
        <v>0</v>
      </c>
      <c r="AI406" s="18"/>
      <c r="AJ406" s="19">
        <f>VLOOKUP(AG406,'DATABASE F&amp;B'!$C$3:$F$216,4,0)</f>
        <v>0</v>
      </c>
      <c r="AK406" s="19">
        <f t="shared" si="360"/>
        <v>0</v>
      </c>
      <c r="AL406" s="16"/>
      <c r="AM406" s="17">
        <f>VLOOKUP(AL406,'DATABASE F&amp;B'!$C$3:$F$216,2,0)</f>
        <v>0</v>
      </c>
      <c r="AN406" s="18">
        <v>1</v>
      </c>
      <c r="AO406" s="19">
        <f>VLOOKUP(AL406,'DATABASE F&amp;B'!$C$3:$F$216,4,0)</f>
        <v>0</v>
      </c>
      <c r="AP406" s="19">
        <f t="shared" si="361"/>
        <v>0</v>
      </c>
      <c r="AQ406" s="16"/>
      <c r="AR406" s="17">
        <f>VLOOKUP(AQ406,'DATABASE F&amp;B'!$C$3:$F$216,2,0)</f>
        <v>0</v>
      </c>
      <c r="AS406" s="18">
        <v>1</v>
      </c>
      <c r="AT406" s="19">
        <f>VLOOKUP(AQ406,'DATABASE F&amp;B'!$C$3:$F$216,4,0)</f>
        <v>0</v>
      </c>
      <c r="AU406" s="19">
        <f t="shared" si="362"/>
        <v>0</v>
      </c>
      <c r="AV406" s="16"/>
      <c r="AW406" s="17">
        <f>VLOOKUP(AV406,'DATABASE F&amp;B'!$C$3:$F$216,2,0)</f>
        <v>0</v>
      </c>
      <c r="AX406" s="18"/>
      <c r="AY406" s="19">
        <f>VLOOKUP(AV406,'DATABASE F&amp;B'!$C$3:$F$216,4,0)</f>
        <v>0</v>
      </c>
      <c r="AZ406" s="19">
        <f t="shared" si="363"/>
        <v>0</v>
      </c>
      <c r="BA406" s="16"/>
      <c r="BB406" s="17">
        <f>VLOOKUP(BA406,'DATABASE F&amp;B'!$C$3:$F$216,2,0)</f>
        <v>0</v>
      </c>
      <c r="BC406" s="18"/>
      <c r="BD406" s="19">
        <f>VLOOKUP(BA406,'DATABASE F&amp;B'!$C$3:$F$216,4,0)</f>
        <v>0</v>
      </c>
      <c r="BE406" s="19">
        <f t="shared" si="364"/>
        <v>0</v>
      </c>
      <c r="BF406" s="16"/>
      <c r="BG406" s="17">
        <f>VLOOKUP(BF406,'DATABASE F&amp;B'!$C$3:$F$216,2,0)</f>
        <v>0</v>
      </c>
      <c r="BH406" s="18"/>
      <c r="BI406" s="19">
        <f>VLOOKUP(BF406,'DATABASE F&amp;B'!$C$3:$F$216,4,0)</f>
        <v>0</v>
      </c>
      <c r="BJ406" s="19">
        <f t="shared" si="365"/>
        <v>0</v>
      </c>
      <c r="BK406" s="16"/>
      <c r="BL406" s="17">
        <f>VLOOKUP(BK406,'DATABASE F&amp;B'!$C$3:$F$210,2,0)</f>
        <v>0</v>
      </c>
      <c r="BM406" s="18"/>
      <c r="BN406" s="19">
        <f>VLOOKUP(BK406,'DATABASE F&amp;B'!$C$3:$F$210,4,0)</f>
        <v>0</v>
      </c>
      <c r="BO406" s="19">
        <f t="shared" si="366"/>
        <v>0</v>
      </c>
      <c r="BP406" s="16"/>
      <c r="BQ406" s="17">
        <f>VLOOKUP(BP406,'DATABASE F&amp;B'!$C$3:$F$210,2,0)</f>
        <v>0</v>
      </c>
      <c r="BR406" s="18"/>
      <c r="BS406" s="19">
        <f>VLOOKUP(BP406,'DATABASE F&amp;B'!$C$3:$F$210,4,0)</f>
        <v>0</v>
      </c>
      <c r="BT406" s="19">
        <f t="shared" si="367"/>
        <v>0</v>
      </c>
      <c r="BU406" s="16"/>
      <c r="BV406" s="17">
        <f>VLOOKUP(BU406,'DATABASE F&amp;B'!$C$3:$F$210,2,0)</f>
        <v>0</v>
      </c>
      <c r="BW406" s="18"/>
      <c r="BX406" s="19">
        <f>VLOOKUP(BU406,'DATABASE F&amp;B'!$C$3:$F$210,4,0)</f>
        <v>0</v>
      </c>
      <c r="BY406" s="19">
        <f t="shared" si="368"/>
        <v>0</v>
      </c>
      <c r="BZ406" s="16"/>
      <c r="CA406" s="17">
        <f>VLOOKUP(BZ406,'DATABASE F&amp;B'!$C$3:$F$210,2,0)</f>
        <v>0</v>
      </c>
      <c r="CB406" s="18"/>
      <c r="CC406" s="19">
        <f>VLOOKUP(BZ406,'DATABASE F&amp;B'!$C$3:$F$210,4,0)</f>
        <v>0</v>
      </c>
      <c r="CD406" s="19">
        <f t="shared" si="369"/>
        <v>0</v>
      </c>
    </row>
    <row r="407" spans="1:82" ht="13.5" x14ac:dyDescent="0.25">
      <c r="A407" s="32" t="str">
        <f t="shared" si="349"/>
        <v>--20</v>
      </c>
      <c r="B407" s="22">
        <f t="shared" ref="B407:C407" si="391">B406+1</f>
        <v>403</v>
      </c>
      <c r="C407" s="22">
        <f t="shared" si="391"/>
        <v>403</v>
      </c>
      <c r="D407" s="34"/>
      <c r="E407" s="35"/>
      <c r="F407" s="35"/>
      <c r="G407" s="52"/>
      <c r="H407" s="36" t="str">
        <f t="shared" si="374"/>
        <v>RJ--403</v>
      </c>
      <c r="I407" s="36" t="str">
        <f t="shared" si="351"/>
        <v>--20</v>
      </c>
      <c r="J407" s="37" t="e">
        <f>VLOOKUP(D407,Laporan!$C$4:$D$34,2,0)</f>
        <v>#N/A</v>
      </c>
      <c r="K407" s="48"/>
      <c r="L407" s="13"/>
      <c r="M407" s="19">
        <f>SUMIF('DATABASE Room'!$B$3:$B$7,L407,'DATABASE Room'!$D$3:$D$7)</f>
        <v>0</v>
      </c>
      <c r="N407" s="13"/>
      <c r="O407" s="21">
        <f t="shared" si="352"/>
        <v>0</v>
      </c>
      <c r="P407" s="38"/>
      <c r="Q407" s="19">
        <f t="shared" si="353"/>
        <v>0</v>
      </c>
      <c r="R407" s="21">
        <f t="shared" si="354"/>
        <v>0</v>
      </c>
      <c r="S407" s="19">
        <f t="shared" si="355"/>
        <v>2</v>
      </c>
      <c r="T407" s="19">
        <f t="shared" si="356"/>
        <v>0</v>
      </c>
      <c r="U407" s="21">
        <f t="shared" si="357"/>
        <v>0</v>
      </c>
      <c r="V407" s="39"/>
      <c r="W407" s="16"/>
      <c r="X407" s="17">
        <f>VLOOKUP(W407,'DATABASE F&amp;B'!$C$3:$F$216,2,0)</f>
        <v>0</v>
      </c>
      <c r="Y407" s="18"/>
      <c r="Z407" s="19">
        <f>VLOOKUP(W407,'DATABASE F&amp;B'!$C$3:$F$216,4,0)</f>
        <v>0</v>
      </c>
      <c r="AA407" s="19">
        <f t="shared" si="358"/>
        <v>0</v>
      </c>
      <c r="AB407" s="16"/>
      <c r="AC407" s="17">
        <f>VLOOKUP(AB407,'DATABASE F&amp;B'!$C$3:$F$216,2,0)</f>
        <v>0</v>
      </c>
      <c r="AD407" s="18"/>
      <c r="AE407" s="19">
        <f>VLOOKUP(AB407,'DATABASE F&amp;B'!$C$3:$F$216,4,0)</f>
        <v>0</v>
      </c>
      <c r="AF407" s="19">
        <f t="shared" si="359"/>
        <v>0</v>
      </c>
      <c r="AG407" s="16"/>
      <c r="AH407" s="17">
        <f>VLOOKUP(AG407,'DATABASE F&amp;B'!$C$3:$F$216,2,0)</f>
        <v>0</v>
      </c>
      <c r="AI407" s="18"/>
      <c r="AJ407" s="19">
        <f>VLOOKUP(AG407,'DATABASE F&amp;B'!$C$3:$F$216,4,0)</f>
        <v>0</v>
      </c>
      <c r="AK407" s="19">
        <f t="shared" si="360"/>
        <v>0</v>
      </c>
      <c r="AL407" s="16"/>
      <c r="AM407" s="17">
        <f>VLOOKUP(AL407,'DATABASE F&amp;B'!$C$3:$F$216,2,0)</f>
        <v>0</v>
      </c>
      <c r="AN407" s="18">
        <v>1</v>
      </c>
      <c r="AO407" s="19">
        <f>VLOOKUP(AL407,'DATABASE F&amp;B'!$C$3:$F$216,4,0)</f>
        <v>0</v>
      </c>
      <c r="AP407" s="19">
        <f t="shared" si="361"/>
        <v>0</v>
      </c>
      <c r="AQ407" s="16"/>
      <c r="AR407" s="17">
        <f>VLOOKUP(AQ407,'DATABASE F&amp;B'!$C$3:$F$216,2,0)</f>
        <v>0</v>
      </c>
      <c r="AS407" s="18">
        <v>1</v>
      </c>
      <c r="AT407" s="19">
        <f>VLOOKUP(AQ407,'DATABASE F&amp;B'!$C$3:$F$216,4,0)</f>
        <v>0</v>
      </c>
      <c r="AU407" s="19">
        <f t="shared" si="362"/>
        <v>0</v>
      </c>
      <c r="AV407" s="16"/>
      <c r="AW407" s="17">
        <f>VLOOKUP(AV407,'DATABASE F&amp;B'!$C$3:$F$216,2,0)</f>
        <v>0</v>
      </c>
      <c r="AX407" s="18"/>
      <c r="AY407" s="19">
        <f>VLOOKUP(AV407,'DATABASE F&amp;B'!$C$3:$F$216,4,0)</f>
        <v>0</v>
      </c>
      <c r="AZ407" s="19">
        <f t="shared" si="363"/>
        <v>0</v>
      </c>
      <c r="BA407" s="16"/>
      <c r="BB407" s="17">
        <f>VLOOKUP(BA407,'DATABASE F&amp;B'!$C$3:$F$216,2,0)</f>
        <v>0</v>
      </c>
      <c r="BC407" s="18"/>
      <c r="BD407" s="19">
        <f>VLOOKUP(BA407,'DATABASE F&amp;B'!$C$3:$F$216,4,0)</f>
        <v>0</v>
      </c>
      <c r="BE407" s="19">
        <f t="shared" si="364"/>
        <v>0</v>
      </c>
      <c r="BF407" s="16"/>
      <c r="BG407" s="17">
        <f>VLOOKUP(BF407,'DATABASE F&amp;B'!$C$3:$F$216,2,0)</f>
        <v>0</v>
      </c>
      <c r="BH407" s="18"/>
      <c r="BI407" s="19">
        <f>VLOOKUP(BF407,'DATABASE F&amp;B'!$C$3:$F$216,4,0)</f>
        <v>0</v>
      </c>
      <c r="BJ407" s="19">
        <f t="shared" si="365"/>
        <v>0</v>
      </c>
      <c r="BK407" s="16"/>
      <c r="BL407" s="17">
        <f>VLOOKUP(BK407,'DATABASE F&amp;B'!$C$3:$F$210,2,0)</f>
        <v>0</v>
      </c>
      <c r="BM407" s="18"/>
      <c r="BN407" s="19">
        <f>VLOOKUP(BK407,'DATABASE F&amp;B'!$C$3:$F$210,4,0)</f>
        <v>0</v>
      </c>
      <c r="BO407" s="19">
        <f t="shared" si="366"/>
        <v>0</v>
      </c>
      <c r="BP407" s="16"/>
      <c r="BQ407" s="17">
        <f>VLOOKUP(BP407,'DATABASE F&amp;B'!$C$3:$F$210,2,0)</f>
        <v>0</v>
      </c>
      <c r="BR407" s="18"/>
      <c r="BS407" s="19">
        <f>VLOOKUP(BP407,'DATABASE F&amp;B'!$C$3:$F$210,4,0)</f>
        <v>0</v>
      </c>
      <c r="BT407" s="19">
        <f t="shared" si="367"/>
        <v>0</v>
      </c>
      <c r="BU407" s="16"/>
      <c r="BV407" s="17">
        <f>VLOOKUP(BU407,'DATABASE F&amp;B'!$C$3:$F$210,2,0)</f>
        <v>0</v>
      </c>
      <c r="BW407" s="18"/>
      <c r="BX407" s="19">
        <f>VLOOKUP(BU407,'DATABASE F&amp;B'!$C$3:$F$210,4,0)</f>
        <v>0</v>
      </c>
      <c r="BY407" s="19">
        <f t="shared" si="368"/>
        <v>0</v>
      </c>
      <c r="BZ407" s="16"/>
      <c r="CA407" s="17">
        <f>VLOOKUP(BZ407,'DATABASE F&amp;B'!$C$3:$F$210,2,0)</f>
        <v>0</v>
      </c>
      <c r="CB407" s="18"/>
      <c r="CC407" s="19">
        <f>VLOOKUP(BZ407,'DATABASE F&amp;B'!$C$3:$F$210,4,0)</f>
        <v>0</v>
      </c>
      <c r="CD407" s="19">
        <f t="shared" si="369"/>
        <v>0</v>
      </c>
    </row>
    <row r="408" spans="1:82" ht="13.5" x14ac:dyDescent="0.25">
      <c r="A408" s="32" t="str">
        <f t="shared" si="349"/>
        <v>--20</v>
      </c>
      <c r="B408" s="22">
        <f t="shared" ref="B408:C408" si="392">B407+1</f>
        <v>404</v>
      </c>
      <c r="C408" s="22">
        <f t="shared" si="392"/>
        <v>404</v>
      </c>
      <c r="D408" s="34"/>
      <c r="E408" s="35"/>
      <c r="F408" s="35"/>
      <c r="G408" s="52"/>
      <c r="H408" s="36" t="str">
        <f t="shared" si="374"/>
        <v>RJ--404</v>
      </c>
      <c r="I408" s="36" t="str">
        <f t="shared" si="351"/>
        <v>--20</v>
      </c>
      <c r="J408" s="37" t="e">
        <f>VLOOKUP(D408,Laporan!$C$4:$D$34,2,0)</f>
        <v>#N/A</v>
      </c>
      <c r="K408" s="48"/>
      <c r="L408" s="13"/>
      <c r="M408" s="19">
        <f>SUMIF('DATABASE Room'!$B$3:$B$7,L408,'DATABASE Room'!$D$3:$D$7)</f>
        <v>0</v>
      </c>
      <c r="N408" s="13"/>
      <c r="O408" s="21">
        <f t="shared" si="352"/>
        <v>0</v>
      </c>
      <c r="P408" s="38"/>
      <c r="Q408" s="19">
        <f t="shared" si="353"/>
        <v>0</v>
      </c>
      <c r="R408" s="21">
        <f t="shared" si="354"/>
        <v>0</v>
      </c>
      <c r="S408" s="19">
        <f t="shared" si="355"/>
        <v>2</v>
      </c>
      <c r="T408" s="19">
        <f t="shared" si="356"/>
        <v>0</v>
      </c>
      <c r="U408" s="21">
        <f t="shared" si="357"/>
        <v>0</v>
      </c>
      <c r="V408" s="39"/>
      <c r="W408" s="16"/>
      <c r="X408" s="17">
        <f>VLOOKUP(W408,'DATABASE F&amp;B'!$C$3:$F$216,2,0)</f>
        <v>0</v>
      </c>
      <c r="Y408" s="18"/>
      <c r="Z408" s="19">
        <f>VLOOKUP(W408,'DATABASE F&amp;B'!$C$3:$F$216,4,0)</f>
        <v>0</v>
      </c>
      <c r="AA408" s="19">
        <f t="shared" si="358"/>
        <v>0</v>
      </c>
      <c r="AB408" s="16"/>
      <c r="AC408" s="17">
        <f>VLOOKUP(AB408,'DATABASE F&amp;B'!$C$3:$F$216,2,0)</f>
        <v>0</v>
      </c>
      <c r="AD408" s="18"/>
      <c r="AE408" s="19">
        <f>VLOOKUP(AB408,'DATABASE F&amp;B'!$C$3:$F$216,4,0)</f>
        <v>0</v>
      </c>
      <c r="AF408" s="19">
        <f t="shared" si="359"/>
        <v>0</v>
      </c>
      <c r="AG408" s="16"/>
      <c r="AH408" s="17">
        <f>VLOOKUP(AG408,'DATABASE F&amp;B'!$C$3:$F$216,2,0)</f>
        <v>0</v>
      </c>
      <c r="AI408" s="18"/>
      <c r="AJ408" s="19">
        <f>VLOOKUP(AG408,'DATABASE F&amp;B'!$C$3:$F$216,4,0)</f>
        <v>0</v>
      </c>
      <c r="AK408" s="19">
        <f t="shared" si="360"/>
        <v>0</v>
      </c>
      <c r="AL408" s="16"/>
      <c r="AM408" s="17">
        <f>VLOOKUP(AL408,'DATABASE F&amp;B'!$C$3:$F$216,2,0)</f>
        <v>0</v>
      </c>
      <c r="AN408" s="18">
        <v>1</v>
      </c>
      <c r="AO408" s="19">
        <f>VLOOKUP(AL408,'DATABASE F&amp;B'!$C$3:$F$216,4,0)</f>
        <v>0</v>
      </c>
      <c r="AP408" s="19">
        <f t="shared" si="361"/>
        <v>0</v>
      </c>
      <c r="AQ408" s="16"/>
      <c r="AR408" s="17">
        <f>VLOOKUP(AQ408,'DATABASE F&amp;B'!$C$3:$F$216,2,0)</f>
        <v>0</v>
      </c>
      <c r="AS408" s="18">
        <v>1</v>
      </c>
      <c r="AT408" s="19">
        <f>VLOOKUP(AQ408,'DATABASE F&amp;B'!$C$3:$F$216,4,0)</f>
        <v>0</v>
      </c>
      <c r="AU408" s="19">
        <f t="shared" si="362"/>
        <v>0</v>
      </c>
      <c r="AV408" s="16"/>
      <c r="AW408" s="17">
        <f>VLOOKUP(AV408,'DATABASE F&amp;B'!$C$3:$F$216,2,0)</f>
        <v>0</v>
      </c>
      <c r="AX408" s="18"/>
      <c r="AY408" s="19">
        <f>VLOOKUP(AV408,'DATABASE F&amp;B'!$C$3:$F$216,4,0)</f>
        <v>0</v>
      </c>
      <c r="AZ408" s="19">
        <f t="shared" si="363"/>
        <v>0</v>
      </c>
      <c r="BA408" s="16"/>
      <c r="BB408" s="17">
        <f>VLOOKUP(BA408,'DATABASE F&amp;B'!$C$3:$F$216,2,0)</f>
        <v>0</v>
      </c>
      <c r="BC408" s="18"/>
      <c r="BD408" s="19">
        <f>VLOOKUP(BA408,'DATABASE F&amp;B'!$C$3:$F$216,4,0)</f>
        <v>0</v>
      </c>
      <c r="BE408" s="19">
        <f t="shared" si="364"/>
        <v>0</v>
      </c>
      <c r="BF408" s="16"/>
      <c r="BG408" s="17">
        <f>VLOOKUP(BF408,'DATABASE F&amp;B'!$C$3:$F$216,2,0)</f>
        <v>0</v>
      </c>
      <c r="BH408" s="18"/>
      <c r="BI408" s="19">
        <f>VLOOKUP(BF408,'DATABASE F&amp;B'!$C$3:$F$216,4,0)</f>
        <v>0</v>
      </c>
      <c r="BJ408" s="19">
        <f t="shared" si="365"/>
        <v>0</v>
      </c>
      <c r="BK408" s="16"/>
      <c r="BL408" s="17">
        <f>VLOOKUP(BK408,'DATABASE F&amp;B'!$C$3:$F$210,2,0)</f>
        <v>0</v>
      </c>
      <c r="BM408" s="18"/>
      <c r="BN408" s="19">
        <f>VLOOKUP(BK408,'DATABASE F&amp;B'!$C$3:$F$210,4,0)</f>
        <v>0</v>
      </c>
      <c r="BO408" s="19">
        <f t="shared" si="366"/>
        <v>0</v>
      </c>
      <c r="BP408" s="16"/>
      <c r="BQ408" s="17">
        <f>VLOOKUP(BP408,'DATABASE F&amp;B'!$C$3:$F$210,2,0)</f>
        <v>0</v>
      </c>
      <c r="BR408" s="18"/>
      <c r="BS408" s="19">
        <f>VLOOKUP(BP408,'DATABASE F&amp;B'!$C$3:$F$210,4,0)</f>
        <v>0</v>
      </c>
      <c r="BT408" s="19">
        <f t="shared" si="367"/>
        <v>0</v>
      </c>
      <c r="BU408" s="16"/>
      <c r="BV408" s="17">
        <f>VLOOKUP(BU408,'DATABASE F&amp;B'!$C$3:$F$210,2,0)</f>
        <v>0</v>
      </c>
      <c r="BW408" s="18"/>
      <c r="BX408" s="19">
        <f>VLOOKUP(BU408,'DATABASE F&amp;B'!$C$3:$F$210,4,0)</f>
        <v>0</v>
      </c>
      <c r="BY408" s="19">
        <f t="shared" si="368"/>
        <v>0</v>
      </c>
      <c r="BZ408" s="16"/>
      <c r="CA408" s="17">
        <f>VLOOKUP(BZ408,'DATABASE F&amp;B'!$C$3:$F$210,2,0)</f>
        <v>0</v>
      </c>
      <c r="CB408" s="18"/>
      <c r="CC408" s="19">
        <f>VLOOKUP(BZ408,'DATABASE F&amp;B'!$C$3:$F$210,4,0)</f>
        <v>0</v>
      </c>
      <c r="CD408" s="19">
        <f t="shared" si="369"/>
        <v>0</v>
      </c>
    </row>
    <row r="409" spans="1:82" ht="13.5" x14ac:dyDescent="0.25">
      <c r="A409" s="32" t="str">
        <f t="shared" si="349"/>
        <v>--20</v>
      </c>
      <c r="B409" s="22">
        <f t="shared" ref="B409:C409" si="393">B408+1</f>
        <v>405</v>
      </c>
      <c r="C409" s="22">
        <f t="shared" si="393"/>
        <v>405</v>
      </c>
      <c r="D409" s="34"/>
      <c r="E409" s="35"/>
      <c r="F409" s="35"/>
      <c r="G409" s="52"/>
      <c r="H409" s="36" t="str">
        <f t="shared" si="374"/>
        <v>RJ--405</v>
      </c>
      <c r="I409" s="36" t="str">
        <f t="shared" si="351"/>
        <v>--20</v>
      </c>
      <c r="J409" s="37" t="e">
        <f>VLOOKUP(D409,Laporan!$C$4:$D$34,2,0)</f>
        <v>#N/A</v>
      </c>
      <c r="K409" s="48"/>
      <c r="L409" s="13"/>
      <c r="M409" s="19">
        <f>SUMIF('DATABASE Room'!$B$3:$B$7,L409,'DATABASE Room'!$D$3:$D$7)</f>
        <v>0</v>
      </c>
      <c r="N409" s="13"/>
      <c r="O409" s="21">
        <f t="shared" si="352"/>
        <v>0</v>
      </c>
      <c r="P409" s="38"/>
      <c r="Q409" s="19">
        <f t="shared" si="353"/>
        <v>0</v>
      </c>
      <c r="R409" s="21">
        <f t="shared" si="354"/>
        <v>0</v>
      </c>
      <c r="S409" s="19">
        <f t="shared" si="355"/>
        <v>2</v>
      </c>
      <c r="T409" s="19">
        <f t="shared" si="356"/>
        <v>0</v>
      </c>
      <c r="U409" s="21">
        <f t="shared" si="357"/>
        <v>0</v>
      </c>
      <c r="V409" s="39"/>
      <c r="W409" s="16"/>
      <c r="X409" s="17">
        <f>VLOOKUP(W409,'DATABASE F&amp;B'!$C$3:$F$216,2,0)</f>
        <v>0</v>
      </c>
      <c r="Y409" s="18"/>
      <c r="Z409" s="19">
        <f>VLOOKUP(W409,'DATABASE F&amp;B'!$C$3:$F$216,4,0)</f>
        <v>0</v>
      </c>
      <c r="AA409" s="19">
        <f t="shared" si="358"/>
        <v>0</v>
      </c>
      <c r="AB409" s="16"/>
      <c r="AC409" s="17">
        <f>VLOOKUP(AB409,'DATABASE F&amp;B'!$C$3:$F$216,2,0)</f>
        <v>0</v>
      </c>
      <c r="AD409" s="18"/>
      <c r="AE409" s="19">
        <f>VLOOKUP(AB409,'DATABASE F&amp;B'!$C$3:$F$216,4,0)</f>
        <v>0</v>
      </c>
      <c r="AF409" s="19">
        <f t="shared" si="359"/>
        <v>0</v>
      </c>
      <c r="AG409" s="16"/>
      <c r="AH409" s="17">
        <f>VLOOKUP(AG409,'DATABASE F&amp;B'!$C$3:$F$216,2,0)</f>
        <v>0</v>
      </c>
      <c r="AI409" s="18"/>
      <c r="AJ409" s="19">
        <f>VLOOKUP(AG409,'DATABASE F&amp;B'!$C$3:$F$216,4,0)</f>
        <v>0</v>
      </c>
      <c r="AK409" s="19">
        <f t="shared" si="360"/>
        <v>0</v>
      </c>
      <c r="AL409" s="16"/>
      <c r="AM409" s="17">
        <f>VLOOKUP(AL409,'DATABASE F&amp;B'!$C$3:$F$216,2,0)</f>
        <v>0</v>
      </c>
      <c r="AN409" s="18">
        <v>1</v>
      </c>
      <c r="AO409" s="19">
        <f>VLOOKUP(AL409,'DATABASE F&amp;B'!$C$3:$F$216,4,0)</f>
        <v>0</v>
      </c>
      <c r="AP409" s="19">
        <f t="shared" si="361"/>
        <v>0</v>
      </c>
      <c r="AQ409" s="16"/>
      <c r="AR409" s="17">
        <f>VLOOKUP(AQ409,'DATABASE F&amp;B'!$C$3:$F$216,2,0)</f>
        <v>0</v>
      </c>
      <c r="AS409" s="18">
        <v>1</v>
      </c>
      <c r="AT409" s="19">
        <f>VLOOKUP(AQ409,'DATABASE F&amp;B'!$C$3:$F$216,4,0)</f>
        <v>0</v>
      </c>
      <c r="AU409" s="19">
        <f t="shared" si="362"/>
        <v>0</v>
      </c>
      <c r="AV409" s="16"/>
      <c r="AW409" s="17">
        <f>VLOOKUP(AV409,'DATABASE F&amp;B'!$C$3:$F$216,2,0)</f>
        <v>0</v>
      </c>
      <c r="AX409" s="18"/>
      <c r="AY409" s="19">
        <f>VLOOKUP(AV409,'DATABASE F&amp;B'!$C$3:$F$216,4,0)</f>
        <v>0</v>
      </c>
      <c r="AZ409" s="19">
        <f t="shared" si="363"/>
        <v>0</v>
      </c>
      <c r="BA409" s="16"/>
      <c r="BB409" s="17">
        <f>VLOOKUP(BA409,'DATABASE F&amp;B'!$C$3:$F$216,2,0)</f>
        <v>0</v>
      </c>
      <c r="BC409" s="18"/>
      <c r="BD409" s="19">
        <f>VLOOKUP(BA409,'DATABASE F&amp;B'!$C$3:$F$216,4,0)</f>
        <v>0</v>
      </c>
      <c r="BE409" s="19">
        <f t="shared" si="364"/>
        <v>0</v>
      </c>
      <c r="BF409" s="16"/>
      <c r="BG409" s="17">
        <f>VLOOKUP(BF409,'DATABASE F&amp;B'!$C$3:$F$216,2,0)</f>
        <v>0</v>
      </c>
      <c r="BH409" s="18"/>
      <c r="BI409" s="19">
        <f>VLOOKUP(BF409,'DATABASE F&amp;B'!$C$3:$F$216,4,0)</f>
        <v>0</v>
      </c>
      <c r="BJ409" s="19">
        <f t="shared" si="365"/>
        <v>0</v>
      </c>
      <c r="BK409" s="16"/>
      <c r="BL409" s="17">
        <f>VLOOKUP(BK409,'DATABASE F&amp;B'!$C$3:$F$210,2,0)</f>
        <v>0</v>
      </c>
      <c r="BM409" s="18"/>
      <c r="BN409" s="19">
        <f>VLOOKUP(BK409,'DATABASE F&amp;B'!$C$3:$F$210,4,0)</f>
        <v>0</v>
      </c>
      <c r="BO409" s="19">
        <f t="shared" si="366"/>
        <v>0</v>
      </c>
      <c r="BP409" s="16"/>
      <c r="BQ409" s="17">
        <f>VLOOKUP(BP409,'DATABASE F&amp;B'!$C$3:$F$210,2,0)</f>
        <v>0</v>
      </c>
      <c r="BR409" s="18"/>
      <c r="BS409" s="19">
        <f>VLOOKUP(BP409,'DATABASE F&amp;B'!$C$3:$F$210,4,0)</f>
        <v>0</v>
      </c>
      <c r="BT409" s="19">
        <f t="shared" si="367"/>
        <v>0</v>
      </c>
      <c r="BU409" s="16"/>
      <c r="BV409" s="17">
        <f>VLOOKUP(BU409,'DATABASE F&amp;B'!$C$3:$F$210,2,0)</f>
        <v>0</v>
      </c>
      <c r="BW409" s="18"/>
      <c r="BX409" s="19">
        <f>VLOOKUP(BU409,'DATABASE F&amp;B'!$C$3:$F$210,4,0)</f>
        <v>0</v>
      </c>
      <c r="BY409" s="19">
        <f t="shared" si="368"/>
        <v>0</v>
      </c>
      <c r="BZ409" s="16"/>
      <c r="CA409" s="17">
        <f>VLOOKUP(BZ409,'DATABASE F&amp;B'!$C$3:$F$210,2,0)</f>
        <v>0</v>
      </c>
      <c r="CB409" s="18"/>
      <c r="CC409" s="19">
        <f>VLOOKUP(BZ409,'DATABASE F&amp;B'!$C$3:$F$210,4,0)</f>
        <v>0</v>
      </c>
      <c r="CD409" s="19">
        <f t="shared" si="369"/>
        <v>0</v>
      </c>
    </row>
    <row r="410" spans="1:82" ht="13.5" x14ac:dyDescent="0.25">
      <c r="A410" s="32" t="str">
        <f t="shared" si="349"/>
        <v>--20</v>
      </c>
      <c r="B410" s="22">
        <f t="shared" ref="B410:C410" si="394">B409+1</f>
        <v>406</v>
      </c>
      <c r="C410" s="22">
        <f t="shared" si="394"/>
        <v>406</v>
      </c>
      <c r="D410" s="34"/>
      <c r="E410" s="35"/>
      <c r="F410" s="35"/>
      <c r="G410" s="52"/>
      <c r="H410" s="36" t="str">
        <f t="shared" si="374"/>
        <v>RJ--406</v>
      </c>
      <c r="I410" s="36" t="str">
        <f t="shared" si="351"/>
        <v>--20</v>
      </c>
      <c r="J410" s="37" t="e">
        <f>VLOOKUP(D410,Laporan!$C$4:$D$34,2,0)</f>
        <v>#N/A</v>
      </c>
      <c r="K410" s="48"/>
      <c r="L410" s="13"/>
      <c r="M410" s="19">
        <f>SUMIF('DATABASE Room'!$B$3:$B$7,L410,'DATABASE Room'!$D$3:$D$7)</f>
        <v>0</v>
      </c>
      <c r="N410" s="13"/>
      <c r="O410" s="21">
        <f t="shared" si="352"/>
        <v>0</v>
      </c>
      <c r="P410" s="38"/>
      <c r="Q410" s="19">
        <f t="shared" si="353"/>
        <v>0</v>
      </c>
      <c r="R410" s="21">
        <f t="shared" si="354"/>
        <v>0</v>
      </c>
      <c r="S410" s="19">
        <f t="shared" si="355"/>
        <v>2</v>
      </c>
      <c r="T410" s="19">
        <f t="shared" si="356"/>
        <v>0</v>
      </c>
      <c r="U410" s="21">
        <f t="shared" si="357"/>
        <v>0</v>
      </c>
      <c r="V410" s="39"/>
      <c r="W410" s="16"/>
      <c r="X410" s="17">
        <f>VLOOKUP(W410,'DATABASE F&amp;B'!$C$3:$F$216,2,0)</f>
        <v>0</v>
      </c>
      <c r="Y410" s="18"/>
      <c r="Z410" s="19">
        <f>VLOOKUP(W410,'DATABASE F&amp;B'!$C$3:$F$216,4,0)</f>
        <v>0</v>
      </c>
      <c r="AA410" s="19">
        <f t="shared" si="358"/>
        <v>0</v>
      </c>
      <c r="AB410" s="16"/>
      <c r="AC410" s="17">
        <f>VLOOKUP(AB410,'DATABASE F&amp;B'!$C$3:$F$216,2,0)</f>
        <v>0</v>
      </c>
      <c r="AD410" s="18"/>
      <c r="AE410" s="19">
        <f>VLOOKUP(AB410,'DATABASE F&amp;B'!$C$3:$F$216,4,0)</f>
        <v>0</v>
      </c>
      <c r="AF410" s="19">
        <f t="shared" si="359"/>
        <v>0</v>
      </c>
      <c r="AG410" s="16"/>
      <c r="AH410" s="17">
        <f>VLOOKUP(AG410,'DATABASE F&amp;B'!$C$3:$F$216,2,0)</f>
        <v>0</v>
      </c>
      <c r="AI410" s="18"/>
      <c r="AJ410" s="19">
        <f>VLOOKUP(AG410,'DATABASE F&amp;B'!$C$3:$F$216,4,0)</f>
        <v>0</v>
      </c>
      <c r="AK410" s="19">
        <f t="shared" si="360"/>
        <v>0</v>
      </c>
      <c r="AL410" s="16"/>
      <c r="AM410" s="17">
        <f>VLOOKUP(AL410,'DATABASE F&amp;B'!$C$3:$F$216,2,0)</f>
        <v>0</v>
      </c>
      <c r="AN410" s="18">
        <v>1</v>
      </c>
      <c r="AO410" s="19">
        <f>VLOOKUP(AL410,'DATABASE F&amp;B'!$C$3:$F$216,4,0)</f>
        <v>0</v>
      </c>
      <c r="AP410" s="19">
        <f t="shared" si="361"/>
        <v>0</v>
      </c>
      <c r="AQ410" s="16"/>
      <c r="AR410" s="17">
        <f>VLOOKUP(AQ410,'DATABASE F&amp;B'!$C$3:$F$216,2,0)</f>
        <v>0</v>
      </c>
      <c r="AS410" s="18">
        <v>1</v>
      </c>
      <c r="AT410" s="19">
        <f>VLOOKUP(AQ410,'DATABASE F&amp;B'!$C$3:$F$216,4,0)</f>
        <v>0</v>
      </c>
      <c r="AU410" s="19">
        <f t="shared" si="362"/>
        <v>0</v>
      </c>
      <c r="AV410" s="16"/>
      <c r="AW410" s="17">
        <f>VLOOKUP(AV410,'DATABASE F&amp;B'!$C$3:$F$216,2,0)</f>
        <v>0</v>
      </c>
      <c r="AX410" s="18"/>
      <c r="AY410" s="19">
        <f>VLOOKUP(AV410,'DATABASE F&amp;B'!$C$3:$F$216,4,0)</f>
        <v>0</v>
      </c>
      <c r="AZ410" s="19">
        <f t="shared" si="363"/>
        <v>0</v>
      </c>
      <c r="BA410" s="16"/>
      <c r="BB410" s="17">
        <f>VLOOKUP(BA410,'DATABASE F&amp;B'!$C$3:$F$216,2,0)</f>
        <v>0</v>
      </c>
      <c r="BC410" s="18"/>
      <c r="BD410" s="19">
        <f>VLOOKUP(BA410,'DATABASE F&amp;B'!$C$3:$F$216,4,0)</f>
        <v>0</v>
      </c>
      <c r="BE410" s="19">
        <f t="shared" si="364"/>
        <v>0</v>
      </c>
      <c r="BF410" s="16"/>
      <c r="BG410" s="17">
        <f>VLOOKUP(BF410,'DATABASE F&amp;B'!$C$3:$F$216,2,0)</f>
        <v>0</v>
      </c>
      <c r="BH410" s="18"/>
      <c r="BI410" s="19">
        <f>VLOOKUP(BF410,'DATABASE F&amp;B'!$C$3:$F$216,4,0)</f>
        <v>0</v>
      </c>
      <c r="BJ410" s="19">
        <f t="shared" si="365"/>
        <v>0</v>
      </c>
      <c r="BK410" s="16"/>
      <c r="BL410" s="17">
        <f>VLOOKUP(BK410,'DATABASE F&amp;B'!$C$3:$F$210,2,0)</f>
        <v>0</v>
      </c>
      <c r="BM410" s="18"/>
      <c r="BN410" s="19">
        <f>VLOOKUP(BK410,'DATABASE F&amp;B'!$C$3:$F$210,4,0)</f>
        <v>0</v>
      </c>
      <c r="BO410" s="19">
        <f t="shared" si="366"/>
        <v>0</v>
      </c>
      <c r="BP410" s="16"/>
      <c r="BQ410" s="17">
        <f>VLOOKUP(BP410,'DATABASE F&amp;B'!$C$3:$F$210,2,0)</f>
        <v>0</v>
      </c>
      <c r="BR410" s="18"/>
      <c r="BS410" s="19">
        <f>VLOOKUP(BP410,'DATABASE F&amp;B'!$C$3:$F$210,4,0)</f>
        <v>0</v>
      </c>
      <c r="BT410" s="19">
        <f t="shared" si="367"/>
        <v>0</v>
      </c>
      <c r="BU410" s="16"/>
      <c r="BV410" s="17">
        <f>VLOOKUP(BU410,'DATABASE F&amp;B'!$C$3:$F$210,2,0)</f>
        <v>0</v>
      </c>
      <c r="BW410" s="18"/>
      <c r="BX410" s="19">
        <f>VLOOKUP(BU410,'DATABASE F&amp;B'!$C$3:$F$210,4,0)</f>
        <v>0</v>
      </c>
      <c r="BY410" s="19">
        <f t="shared" si="368"/>
        <v>0</v>
      </c>
      <c r="BZ410" s="16"/>
      <c r="CA410" s="17">
        <f>VLOOKUP(BZ410,'DATABASE F&amp;B'!$C$3:$F$210,2,0)</f>
        <v>0</v>
      </c>
      <c r="CB410" s="18"/>
      <c r="CC410" s="19">
        <f>VLOOKUP(BZ410,'DATABASE F&amp;B'!$C$3:$F$210,4,0)</f>
        <v>0</v>
      </c>
      <c r="CD410" s="19">
        <f t="shared" si="369"/>
        <v>0</v>
      </c>
    </row>
    <row r="411" spans="1:82" ht="13.5" x14ac:dyDescent="0.25">
      <c r="A411" s="32" t="str">
        <f t="shared" si="349"/>
        <v>--20</v>
      </c>
      <c r="B411" s="22">
        <f t="shared" ref="B411:C411" si="395">B410+1</f>
        <v>407</v>
      </c>
      <c r="C411" s="22">
        <f t="shared" si="395"/>
        <v>407</v>
      </c>
      <c r="D411" s="34"/>
      <c r="E411" s="35"/>
      <c r="F411" s="35"/>
      <c r="G411" s="52"/>
      <c r="H411" s="36" t="str">
        <f t="shared" si="374"/>
        <v>RJ--407</v>
      </c>
      <c r="I411" s="36" t="str">
        <f t="shared" si="351"/>
        <v>--20</v>
      </c>
      <c r="J411" s="37" t="e">
        <f>VLOOKUP(D411,Laporan!$C$4:$D$34,2,0)</f>
        <v>#N/A</v>
      </c>
      <c r="K411" s="48"/>
      <c r="L411" s="13"/>
      <c r="M411" s="19">
        <f>SUMIF('DATABASE Room'!$B$3:$B$7,L411,'DATABASE Room'!$D$3:$D$7)</f>
        <v>0</v>
      </c>
      <c r="N411" s="13"/>
      <c r="O411" s="21">
        <f t="shared" si="352"/>
        <v>0</v>
      </c>
      <c r="P411" s="38"/>
      <c r="Q411" s="19">
        <f t="shared" si="353"/>
        <v>0</v>
      </c>
      <c r="R411" s="21">
        <f t="shared" si="354"/>
        <v>0</v>
      </c>
      <c r="S411" s="19">
        <f t="shared" si="355"/>
        <v>2</v>
      </c>
      <c r="T411" s="19">
        <f t="shared" si="356"/>
        <v>0</v>
      </c>
      <c r="U411" s="21">
        <f t="shared" si="357"/>
        <v>0</v>
      </c>
      <c r="V411" s="39"/>
      <c r="W411" s="16"/>
      <c r="X411" s="17">
        <f>VLOOKUP(W411,'DATABASE F&amp;B'!$C$3:$F$216,2,0)</f>
        <v>0</v>
      </c>
      <c r="Y411" s="18"/>
      <c r="Z411" s="19">
        <f>VLOOKUP(W411,'DATABASE F&amp;B'!$C$3:$F$216,4,0)</f>
        <v>0</v>
      </c>
      <c r="AA411" s="19">
        <f t="shared" si="358"/>
        <v>0</v>
      </c>
      <c r="AB411" s="16"/>
      <c r="AC411" s="17">
        <f>VLOOKUP(AB411,'DATABASE F&amp;B'!$C$3:$F$216,2,0)</f>
        <v>0</v>
      </c>
      <c r="AD411" s="18"/>
      <c r="AE411" s="19">
        <f>VLOOKUP(AB411,'DATABASE F&amp;B'!$C$3:$F$216,4,0)</f>
        <v>0</v>
      </c>
      <c r="AF411" s="19">
        <f t="shared" si="359"/>
        <v>0</v>
      </c>
      <c r="AG411" s="16"/>
      <c r="AH411" s="17">
        <f>VLOOKUP(AG411,'DATABASE F&amp;B'!$C$3:$F$216,2,0)</f>
        <v>0</v>
      </c>
      <c r="AI411" s="18"/>
      <c r="AJ411" s="19">
        <f>VLOOKUP(AG411,'DATABASE F&amp;B'!$C$3:$F$216,4,0)</f>
        <v>0</v>
      </c>
      <c r="AK411" s="19">
        <f t="shared" si="360"/>
        <v>0</v>
      </c>
      <c r="AL411" s="16"/>
      <c r="AM411" s="17">
        <f>VLOOKUP(AL411,'DATABASE F&amp;B'!$C$3:$F$216,2,0)</f>
        <v>0</v>
      </c>
      <c r="AN411" s="18">
        <v>1</v>
      </c>
      <c r="AO411" s="19">
        <f>VLOOKUP(AL411,'DATABASE F&amp;B'!$C$3:$F$216,4,0)</f>
        <v>0</v>
      </c>
      <c r="AP411" s="19">
        <f t="shared" si="361"/>
        <v>0</v>
      </c>
      <c r="AQ411" s="16"/>
      <c r="AR411" s="17">
        <f>VLOOKUP(AQ411,'DATABASE F&amp;B'!$C$3:$F$216,2,0)</f>
        <v>0</v>
      </c>
      <c r="AS411" s="18">
        <v>1</v>
      </c>
      <c r="AT411" s="19">
        <f>VLOOKUP(AQ411,'DATABASE F&amp;B'!$C$3:$F$216,4,0)</f>
        <v>0</v>
      </c>
      <c r="AU411" s="19">
        <f t="shared" si="362"/>
        <v>0</v>
      </c>
      <c r="AV411" s="16"/>
      <c r="AW411" s="17">
        <f>VLOOKUP(AV411,'DATABASE F&amp;B'!$C$3:$F$216,2,0)</f>
        <v>0</v>
      </c>
      <c r="AX411" s="18"/>
      <c r="AY411" s="19">
        <f>VLOOKUP(AV411,'DATABASE F&amp;B'!$C$3:$F$216,4,0)</f>
        <v>0</v>
      </c>
      <c r="AZ411" s="19">
        <f t="shared" si="363"/>
        <v>0</v>
      </c>
      <c r="BA411" s="16"/>
      <c r="BB411" s="17">
        <f>VLOOKUP(BA411,'DATABASE F&amp;B'!$C$3:$F$216,2,0)</f>
        <v>0</v>
      </c>
      <c r="BC411" s="18"/>
      <c r="BD411" s="19">
        <f>VLOOKUP(BA411,'DATABASE F&amp;B'!$C$3:$F$216,4,0)</f>
        <v>0</v>
      </c>
      <c r="BE411" s="19">
        <f t="shared" si="364"/>
        <v>0</v>
      </c>
      <c r="BF411" s="16"/>
      <c r="BG411" s="17">
        <f>VLOOKUP(BF411,'DATABASE F&amp;B'!$C$3:$F$216,2,0)</f>
        <v>0</v>
      </c>
      <c r="BH411" s="18"/>
      <c r="BI411" s="19">
        <f>VLOOKUP(BF411,'DATABASE F&amp;B'!$C$3:$F$216,4,0)</f>
        <v>0</v>
      </c>
      <c r="BJ411" s="19">
        <f t="shared" si="365"/>
        <v>0</v>
      </c>
      <c r="BK411" s="16"/>
      <c r="BL411" s="17">
        <f>VLOOKUP(BK411,'DATABASE F&amp;B'!$C$3:$F$210,2,0)</f>
        <v>0</v>
      </c>
      <c r="BM411" s="18"/>
      <c r="BN411" s="19">
        <f>VLOOKUP(BK411,'DATABASE F&amp;B'!$C$3:$F$210,4,0)</f>
        <v>0</v>
      </c>
      <c r="BO411" s="19">
        <f t="shared" si="366"/>
        <v>0</v>
      </c>
      <c r="BP411" s="16"/>
      <c r="BQ411" s="17">
        <f>VLOOKUP(BP411,'DATABASE F&amp;B'!$C$3:$F$210,2,0)</f>
        <v>0</v>
      </c>
      <c r="BR411" s="18"/>
      <c r="BS411" s="19">
        <f>VLOOKUP(BP411,'DATABASE F&amp;B'!$C$3:$F$210,4,0)</f>
        <v>0</v>
      </c>
      <c r="BT411" s="19">
        <f t="shared" si="367"/>
        <v>0</v>
      </c>
      <c r="BU411" s="16"/>
      <c r="BV411" s="17">
        <f>VLOOKUP(BU411,'DATABASE F&amp;B'!$C$3:$F$210,2,0)</f>
        <v>0</v>
      </c>
      <c r="BW411" s="18"/>
      <c r="BX411" s="19">
        <f>VLOOKUP(BU411,'DATABASE F&amp;B'!$C$3:$F$210,4,0)</f>
        <v>0</v>
      </c>
      <c r="BY411" s="19">
        <f t="shared" si="368"/>
        <v>0</v>
      </c>
      <c r="BZ411" s="16"/>
      <c r="CA411" s="17">
        <f>VLOOKUP(BZ411,'DATABASE F&amp;B'!$C$3:$F$210,2,0)</f>
        <v>0</v>
      </c>
      <c r="CB411" s="18"/>
      <c r="CC411" s="19">
        <f>VLOOKUP(BZ411,'DATABASE F&amp;B'!$C$3:$F$210,4,0)</f>
        <v>0</v>
      </c>
      <c r="CD411" s="19">
        <f t="shared" si="369"/>
        <v>0</v>
      </c>
    </row>
    <row r="412" spans="1:82" ht="13.5" x14ac:dyDescent="0.25">
      <c r="A412" s="32" t="str">
        <f t="shared" si="349"/>
        <v>--20</v>
      </c>
      <c r="B412" s="22">
        <f t="shared" ref="B412:C412" si="396">B411+1</f>
        <v>408</v>
      </c>
      <c r="C412" s="22">
        <f t="shared" si="396"/>
        <v>408</v>
      </c>
      <c r="D412" s="34"/>
      <c r="E412" s="35"/>
      <c r="F412" s="35"/>
      <c r="G412" s="52"/>
      <c r="H412" s="36" t="str">
        <f t="shared" si="374"/>
        <v>RJ--408</v>
      </c>
      <c r="I412" s="36" t="str">
        <f t="shared" si="351"/>
        <v>--20</v>
      </c>
      <c r="J412" s="37" t="e">
        <f>VLOOKUP(D412,Laporan!$C$4:$D$34,2,0)</f>
        <v>#N/A</v>
      </c>
      <c r="K412" s="48"/>
      <c r="L412" s="13"/>
      <c r="M412" s="19">
        <f>SUMIF('DATABASE Room'!$B$3:$B$7,L412,'DATABASE Room'!$D$3:$D$7)</f>
        <v>0</v>
      </c>
      <c r="N412" s="13"/>
      <c r="O412" s="21">
        <f t="shared" si="352"/>
        <v>0</v>
      </c>
      <c r="P412" s="38"/>
      <c r="Q412" s="19">
        <f t="shared" si="353"/>
        <v>0</v>
      </c>
      <c r="R412" s="21">
        <f t="shared" si="354"/>
        <v>0</v>
      </c>
      <c r="S412" s="19">
        <f t="shared" si="355"/>
        <v>2</v>
      </c>
      <c r="T412" s="19">
        <f t="shared" si="356"/>
        <v>0</v>
      </c>
      <c r="U412" s="21">
        <f t="shared" si="357"/>
        <v>0</v>
      </c>
      <c r="V412" s="39"/>
      <c r="W412" s="16"/>
      <c r="X412" s="17">
        <f>VLOOKUP(W412,'DATABASE F&amp;B'!$C$3:$F$216,2,0)</f>
        <v>0</v>
      </c>
      <c r="Y412" s="18"/>
      <c r="Z412" s="19">
        <f>VLOOKUP(W412,'DATABASE F&amp;B'!$C$3:$F$216,4,0)</f>
        <v>0</v>
      </c>
      <c r="AA412" s="19">
        <f t="shared" si="358"/>
        <v>0</v>
      </c>
      <c r="AB412" s="16"/>
      <c r="AC412" s="17">
        <f>VLOOKUP(AB412,'DATABASE F&amp;B'!$C$3:$F$216,2,0)</f>
        <v>0</v>
      </c>
      <c r="AD412" s="18"/>
      <c r="AE412" s="19">
        <f>VLOOKUP(AB412,'DATABASE F&amp;B'!$C$3:$F$216,4,0)</f>
        <v>0</v>
      </c>
      <c r="AF412" s="19">
        <f t="shared" si="359"/>
        <v>0</v>
      </c>
      <c r="AG412" s="16"/>
      <c r="AH412" s="17">
        <f>VLOOKUP(AG412,'DATABASE F&amp;B'!$C$3:$F$216,2,0)</f>
        <v>0</v>
      </c>
      <c r="AI412" s="18"/>
      <c r="AJ412" s="19">
        <f>VLOOKUP(AG412,'DATABASE F&amp;B'!$C$3:$F$216,4,0)</f>
        <v>0</v>
      </c>
      <c r="AK412" s="19">
        <f t="shared" si="360"/>
        <v>0</v>
      </c>
      <c r="AL412" s="16"/>
      <c r="AM412" s="17">
        <f>VLOOKUP(AL412,'DATABASE F&amp;B'!$C$3:$F$216,2,0)</f>
        <v>0</v>
      </c>
      <c r="AN412" s="18">
        <v>1</v>
      </c>
      <c r="AO412" s="19">
        <f>VLOOKUP(AL412,'DATABASE F&amp;B'!$C$3:$F$216,4,0)</f>
        <v>0</v>
      </c>
      <c r="AP412" s="19">
        <f t="shared" si="361"/>
        <v>0</v>
      </c>
      <c r="AQ412" s="16"/>
      <c r="AR412" s="17">
        <f>VLOOKUP(AQ412,'DATABASE F&amp;B'!$C$3:$F$216,2,0)</f>
        <v>0</v>
      </c>
      <c r="AS412" s="18">
        <v>1</v>
      </c>
      <c r="AT412" s="19">
        <f>VLOOKUP(AQ412,'DATABASE F&amp;B'!$C$3:$F$216,4,0)</f>
        <v>0</v>
      </c>
      <c r="AU412" s="19">
        <f t="shared" si="362"/>
        <v>0</v>
      </c>
      <c r="AV412" s="16"/>
      <c r="AW412" s="17">
        <f>VLOOKUP(AV412,'DATABASE F&amp;B'!$C$3:$F$216,2,0)</f>
        <v>0</v>
      </c>
      <c r="AX412" s="18"/>
      <c r="AY412" s="19">
        <f>VLOOKUP(AV412,'DATABASE F&amp;B'!$C$3:$F$216,4,0)</f>
        <v>0</v>
      </c>
      <c r="AZ412" s="19">
        <f t="shared" si="363"/>
        <v>0</v>
      </c>
      <c r="BA412" s="16"/>
      <c r="BB412" s="17">
        <f>VLOOKUP(BA412,'DATABASE F&amp;B'!$C$3:$F$216,2,0)</f>
        <v>0</v>
      </c>
      <c r="BC412" s="18"/>
      <c r="BD412" s="19">
        <f>VLOOKUP(BA412,'DATABASE F&amp;B'!$C$3:$F$216,4,0)</f>
        <v>0</v>
      </c>
      <c r="BE412" s="19">
        <f t="shared" si="364"/>
        <v>0</v>
      </c>
      <c r="BF412" s="16"/>
      <c r="BG412" s="17">
        <f>VLOOKUP(BF412,'DATABASE F&amp;B'!$C$3:$F$216,2,0)</f>
        <v>0</v>
      </c>
      <c r="BH412" s="18"/>
      <c r="BI412" s="19">
        <f>VLOOKUP(BF412,'DATABASE F&amp;B'!$C$3:$F$216,4,0)</f>
        <v>0</v>
      </c>
      <c r="BJ412" s="19">
        <f t="shared" si="365"/>
        <v>0</v>
      </c>
      <c r="BK412" s="16"/>
      <c r="BL412" s="17">
        <f>VLOOKUP(BK412,'DATABASE F&amp;B'!$C$3:$F$210,2,0)</f>
        <v>0</v>
      </c>
      <c r="BM412" s="18"/>
      <c r="BN412" s="19">
        <f>VLOOKUP(BK412,'DATABASE F&amp;B'!$C$3:$F$210,4,0)</f>
        <v>0</v>
      </c>
      <c r="BO412" s="19">
        <f t="shared" si="366"/>
        <v>0</v>
      </c>
      <c r="BP412" s="16"/>
      <c r="BQ412" s="17">
        <f>VLOOKUP(BP412,'DATABASE F&amp;B'!$C$3:$F$210,2,0)</f>
        <v>0</v>
      </c>
      <c r="BR412" s="18"/>
      <c r="BS412" s="19">
        <f>VLOOKUP(BP412,'DATABASE F&amp;B'!$C$3:$F$210,4,0)</f>
        <v>0</v>
      </c>
      <c r="BT412" s="19">
        <f t="shared" si="367"/>
        <v>0</v>
      </c>
      <c r="BU412" s="16"/>
      <c r="BV412" s="17">
        <f>VLOOKUP(BU412,'DATABASE F&amp;B'!$C$3:$F$210,2,0)</f>
        <v>0</v>
      </c>
      <c r="BW412" s="18"/>
      <c r="BX412" s="19">
        <f>VLOOKUP(BU412,'DATABASE F&amp;B'!$C$3:$F$210,4,0)</f>
        <v>0</v>
      </c>
      <c r="BY412" s="19">
        <f t="shared" si="368"/>
        <v>0</v>
      </c>
      <c r="BZ412" s="16"/>
      <c r="CA412" s="17">
        <f>VLOOKUP(BZ412,'DATABASE F&amp;B'!$C$3:$F$210,2,0)</f>
        <v>0</v>
      </c>
      <c r="CB412" s="18"/>
      <c r="CC412" s="19">
        <f>VLOOKUP(BZ412,'DATABASE F&amp;B'!$C$3:$F$210,4,0)</f>
        <v>0</v>
      </c>
      <c r="CD412" s="19">
        <f t="shared" si="369"/>
        <v>0</v>
      </c>
    </row>
    <row r="413" spans="1:82" ht="13.5" x14ac:dyDescent="0.25">
      <c r="A413" s="32" t="str">
        <f t="shared" si="349"/>
        <v>--20</v>
      </c>
      <c r="B413" s="22">
        <f t="shared" ref="B413:C413" si="397">B412+1</f>
        <v>409</v>
      </c>
      <c r="C413" s="22">
        <f t="shared" si="397"/>
        <v>409</v>
      </c>
      <c r="D413" s="34"/>
      <c r="E413" s="35"/>
      <c r="F413" s="35"/>
      <c r="G413" s="52"/>
      <c r="H413" s="36" t="str">
        <f t="shared" si="374"/>
        <v>RJ--409</v>
      </c>
      <c r="I413" s="36" t="str">
        <f t="shared" si="351"/>
        <v>--20</v>
      </c>
      <c r="J413" s="37" t="e">
        <f>VLOOKUP(D413,Laporan!$C$4:$D$34,2,0)</f>
        <v>#N/A</v>
      </c>
      <c r="K413" s="48"/>
      <c r="L413" s="13"/>
      <c r="M413" s="19">
        <f>SUMIF('DATABASE Room'!$B$3:$B$7,L413,'DATABASE Room'!$D$3:$D$7)</f>
        <v>0</v>
      </c>
      <c r="N413" s="13"/>
      <c r="O413" s="21">
        <f t="shared" si="352"/>
        <v>0</v>
      </c>
      <c r="P413" s="38"/>
      <c r="Q413" s="19">
        <f t="shared" si="353"/>
        <v>0</v>
      </c>
      <c r="R413" s="21">
        <f t="shared" si="354"/>
        <v>0</v>
      </c>
      <c r="S413" s="19">
        <f t="shared" si="355"/>
        <v>2</v>
      </c>
      <c r="T413" s="19">
        <f t="shared" si="356"/>
        <v>0</v>
      </c>
      <c r="U413" s="21">
        <f t="shared" si="357"/>
        <v>0</v>
      </c>
      <c r="V413" s="39"/>
      <c r="W413" s="16"/>
      <c r="X413" s="17">
        <f>VLOOKUP(W413,'DATABASE F&amp;B'!$C$3:$F$216,2,0)</f>
        <v>0</v>
      </c>
      <c r="Y413" s="18"/>
      <c r="Z413" s="19">
        <f>VLOOKUP(W413,'DATABASE F&amp;B'!$C$3:$F$216,4,0)</f>
        <v>0</v>
      </c>
      <c r="AA413" s="19">
        <f t="shared" si="358"/>
        <v>0</v>
      </c>
      <c r="AB413" s="16"/>
      <c r="AC413" s="17">
        <f>VLOOKUP(AB413,'DATABASE F&amp;B'!$C$3:$F$216,2,0)</f>
        <v>0</v>
      </c>
      <c r="AD413" s="18"/>
      <c r="AE413" s="19">
        <f>VLOOKUP(AB413,'DATABASE F&amp;B'!$C$3:$F$216,4,0)</f>
        <v>0</v>
      </c>
      <c r="AF413" s="19">
        <f t="shared" si="359"/>
        <v>0</v>
      </c>
      <c r="AG413" s="16"/>
      <c r="AH413" s="17">
        <f>VLOOKUP(AG413,'DATABASE F&amp;B'!$C$3:$F$216,2,0)</f>
        <v>0</v>
      </c>
      <c r="AI413" s="18"/>
      <c r="AJ413" s="19">
        <f>VLOOKUP(AG413,'DATABASE F&amp;B'!$C$3:$F$216,4,0)</f>
        <v>0</v>
      </c>
      <c r="AK413" s="19">
        <f t="shared" si="360"/>
        <v>0</v>
      </c>
      <c r="AL413" s="16"/>
      <c r="AM413" s="17">
        <f>VLOOKUP(AL413,'DATABASE F&amp;B'!$C$3:$F$216,2,0)</f>
        <v>0</v>
      </c>
      <c r="AN413" s="18">
        <v>1</v>
      </c>
      <c r="AO413" s="19">
        <f>VLOOKUP(AL413,'DATABASE F&amp;B'!$C$3:$F$216,4,0)</f>
        <v>0</v>
      </c>
      <c r="AP413" s="19">
        <f t="shared" si="361"/>
        <v>0</v>
      </c>
      <c r="AQ413" s="16"/>
      <c r="AR413" s="17">
        <f>VLOOKUP(AQ413,'DATABASE F&amp;B'!$C$3:$F$216,2,0)</f>
        <v>0</v>
      </c>
      <c r="AS413" s="18">
        <v>1</v>
      </c>
      <c r="AT413" s="19">
        <f>VLOOKUP(AQ413,'DATABASE F&amp;B'!$C$3:$F$216,4,0)</f>
        <v>0</v>
      </c>
      <c r="AU413" s="19">
        <f t="shared" si="362"/>
        <v>0</v>
      </c>
      <c r="AV413" s="16"/>
      <c r="AW413" s="17">
        <f>VLOOKUP(AV413,'DATABASE F&amp;B'!$C$3:$F$216,2,0)</f>
        <v>0</v>
      </c>
      <c r="AX413" s="18"/>
      <c r="AY413" s="19">
        <f>VLOOKUP(AV413,'DATABASE F&amp;B'!$C$3:$F$216,4,0)</f>
        <v>0</v>
      </c>
      <c r="AZ413" s="19">
        <f t="shared" si="363"/>
        <v>0</v>
      </c>
      <c r="BA413" s="16"/>
      <c r="BB413" s="17">
        <f>VLOOKUP(BA413,'DATABASE F&amp;B'!$C$3:$F$216,2,0)</f>
        <v>0</v>
      </c>
      <c r="BC413" s="18"/>
      <c r="BD413" s="19">
        <f>VLOOKUP(BA413,'DATABASE F&amp;B'!$C$3:$F$216,4,0)</f>
        <v>0</v>
      </c>
      <c r="BE413" s="19">
        <f t="shared" si="364"/>
        <v>0</v>
      </c>
      <c r="BF413" s="16"/>
      <c r="BG413" s="17">
        <f>VLOOKUP(BF413,'DATABASE F&amp;B'!$C$3:$F$216,2,0)</f>
        <v>0</v>
      </c>
      <c r="BH413" s="18"/>
      <c r="BI413" s="19">
        <f>VLOOKUP(BF413,'DATABASE F&amp;B'!$C$3:$F$216,4,0)</f>
        <v>0</v>
      </c>
      <c r="BJ413" s="19">
        <f t="shared" si="365"/>
        <v>0</v>
      </c>
      <c r="BK413" s="16"/>
      <c r="BL413" s="17">
        <f>VLOOKUP(BK413,'DATABASE F&amp;B'!$C$3:$F$210,2,0)</f>
        <v>0</v>
      </c>
      <c r="BM413" s="18"/>
      <c r="BN413" s="19">
        <f>VLOOKUP(BK413,'DATABASE F&amp;B'!$C$3:$F$210,4,0)</f>
        <v>0</v>
      </c>
      <c r="BO413" s="19">
        <f t="shared" si="366"/>
        <v>0</v>
      </c>
      <c r="BP413" s="16"/>
      <c r="BQ413" s="17">
        <f>VLOOKUP(BP413,'DATABASE F&amp;B'!$C$3:$F$210,2,0)</f>
        <v>0</v>
      </c>
      <c r="BR413" s="18"/>
      <c r="BS413" s="19">
        <f>VLOOKUP(BP413,'DATABASE F&amp;B'!$C$3:$F$210,4,0)</f>
        <v>0</v>
      </c>
      <c r="BT413" s="19">
        <f t="shared" si="367"/>
        <v>0</v>
      </c>
      <c r="BU413" s="16"/>
      <c r="BV413" s="17">
        <f>VLOOKUP(BU413,'DATABASE F&amp;B'!$C$3:$F$210,2,0)</f>
        <v>0</v>
      </c>
      <c r="BW413" s="18"/>
      <c r="BX413" s="19">
        <f>VLOOKUP(BU413,'DATABASE F&amp;B'!$C$3:$F$210,4,0)</f>
        <v>0</v>
      </c>
      <c r="BY413" s="19">
        <f t="shared" si="368"/>
        <v>0</v>
      </c>
      <c r="BZ413" s="16"/>
      <c r="CA413" s="17">
        <f>VLOOKUP(BZ413,'DATABASE F&amp;B'!$C$3:$F$210,2,0)</f>
        <v>0</v>
      </c>
      <c r="CB413" s="18"/>
      <c r="CC413" s="19">
        <f>VLOOKUP(BZ413,'DATABASE F&amp;B'!$C$3:$F$210,4,0)</f>
        <v>0</v>
      </c>
      <c r="CD413" s="19">
        <f t="shared" si="369"/>
        <v>0</v>
      </c>
    </row>
    <row r="414" spans="1:82" ht="13.5" x14ac:dyDescent="0.25">
      <c r="A414" s="32" t="str">
        <f t="shared" si="349"/>
        <v>--20</v>
      </c>
      <c r="B414" s="22">
        <f t="shared" ref="B414:C414" si="398">B413+1</f>
        <v>410</v>
      </c>
      <c r="C414" s="22">
        <f t="shared" si="398"/>
        <v>410</v>
      </c>
      <c r="D414" s="34"/>
      <c r="E414" s="35"/>
      <c r="F414" s="35"/>
      <c r="G414" s="52"/>
      <c r="H414" s="36" t="str">
        <f t="shared" si="374"/>
        <v>RJ--410</v>
      </c>
      <c r="I414" s="36" t="str">
        <f t="shared" si="351"/>
        <v>--20</v>
      </c>
      <c r="J414" s="37" t="e">
        <f>VLOOKUP(D414,Laporan!$C$4:$D$34,2,0)</f>
        <v>#N/A</v>
      </c>
      <c r="K414" s="48"/>
      <c r="L414" s="13"/>
      <c r="M414" s="19">
        <f>SUMIF('DATABASE Room'!$B$3:$B$7,L414,'DATABASE Room'!$D$3:$D$7)</f>
        <v>0</v>
      </c>
      <c r="N414" s="13"/>
      <c r="O414" s="21">
        <f t="shared" si="352"/>
        <v>0</v>
      </c>
      <c r="P414" s="38"/>
      <c r="Q414" s="19">
        <f t="shared" si="353"/>
        <v>0</v>
      </c>
      <c r="R414" s="21">
        <f t="shared" si="354"/>
        <v>0</v>
      </c>
      <c r="S414" s="19">
        <f t="shared" si="355"/>
        <v>2</v>
      </c>
      <c r="T414" s="19">
        <f t="shared" si="356"/>
        <v>0</v>
      </c>
      <c r="U414" s="21">
        <f t="shared" si="357"/>
        <v>0</v>
      </c>
      <c r="V414" s="39"/>
      <c r="W414" s="16"/>
      <c r="X414" s="17">
        <f>VLOOKUP(W414,'DATABASE F&amp;B'!$C$3:$F$216,2,0)</f>
        <v>0</v>
      </c>
      <c r="Y414" s="18"/>
      <c r="Z414" s="19">
        <f>VLOOKUP(W414,'DATABASE F&amp;B'!$C$3:$F$216,4,0)</f>
        <v>0</v>
      </c>
      <c r="AA414" s="19">
        <f t="shared" si="358"/>
        <v>0</v>
      </c>
      <c r="AB414" s="16"/>
      <c r="AC414" s="17">
        <f>VLOOKUP(AB414,'DATABASE F&amp;B'!$C$3:$F$216,2,0)</f>
        <v>0</v>
      </c>
      <c r="AD414" s="18"/>
      <c r="AE414" s="19">
        <f>VLOOKUP(AB414,'DATABASE F&amp;B'!$C$3:$F$216,4,0)</f>
        <v>0</v>
      </c>
      <c r="AF414" s="19">
        <f t="shared" si="359"/>
        <v>0</v>
      </c>
      <c r="AG414" s="16"/>
      <c r="AH414" s="17">
        <f>VLOOKUP(AG414,'DATABASE F&amp;B'!$C$3:$F$216,2,0)</f>
        <v>0</v>
      </c>
      <c r="AI414" s="18"/>
      <c r="AJ414" s="19">
        <f>VLOOKUP(AG414,'DATABASE F&amp;B'!$C$3:$F$216,4,0)</f>
        <v>0</v>
      </c>
      <c r="AK414" s="19">
        <f t="shared" si="360"/>
        <v>0</v>
      </c>
      <c r="AL414" s="16"/>
      <c r="AM414" s="17">
        <f>VLOOKUP(AL414,'DATABASE F&amp;B'!$C$3:$F$216,2,0)</f>
        <v>0</v>
      </c>
      <c r="AN414" s="18">
        <v>1</v>
      </c>
      <c r="AO414" s="19">
        <f>VLOOKUP(AL414,'DATABASE F&amp;B'!$C$3:$F$216,4,0)</f>
        <v>0</v>
      </c>
      <c r="AP414" s="19">
        <f t="shared" si="361"/>
        <v>0</v>
      </c>
      <c r="AQ414" s="16"/>
      <c r="AR414" s="17">
        <f>VLOOKUP(AQ414,'DATABASE F&amp;B'!$C$3:$F$216,2,0)</f>
        <v>0</v>
      </c>
      <c r="AS414" s="18">
        <v>1</v>
      </c>
      <c r="AT414" s="19">
        <f>VLOOKUP(AQ414,'DATABASE F&amp;B'!$C$3:$F$216,4,0)</f>
        <v>0</v>
      </c>
      <c r="AU414" s="19">
        <f t="shared" si="362"/>
        <v>0</v>
      </c>
      <c r="AV414" s="16"/>
      <c r="AW414" s="17">
        <f>VLOOKUP(AV414,'DATABASE F&amp;B'!$C$3:$F$216,2,0)</f>
        <v>0</v>
      </c>
      <c r="AX414" s="18"/>
      <c r="AY414" s="19">
        <f>VLOOKUP(AV414,'DATABASE F&amp;B'!$C$3:$F$216,4,0)</f>
        <v>0</v>
      </c>
      <c r="AZ414" s="19">
        <f t="shared" si="363"/>
        <v>0</v>
      </c>
      <c r="BA414" s="16"/>
      <c r="BB414" s="17">
        <f>VLOOKUP(BA414,'DATABASE F&amp;B'!$C$3:$F$216,2,0)</f>
        <v>0</v>
      </c>
      <c r="BC414" s="18"/>
      <c r="BD414" s="19">
        <f>VLOOKUP(BA414,'DATABASE F&amp;B'!$C$3:$F$216,4,0)</f>
        <v>0</v>
      </c>
      <c r="BE414" s="19">
        <f t="shared" si="364"/>
        <v>0</v>
      </c>
      <c r="BF414" s="16"/>
      <c r="BG414" s="17">
        <f>VLOOKUP(BF414,'DATABASE F&amp;B'!$C$3:$F$216,2,0)</f>
        <v>0</v>
      </c>
      <c r="BH414" s="18"/>
      <c r="BI414" s="19">
        <f>VLOOKUP(BF414,'DATABASE F&amp;B'!$C$3:$F$216,4,0)</f>
        <v>0</v>
      </c>
      <c r="BJ414" s="19">
        <f t="shared" si="365"/>
        <v>0</v>
      </c>
      <c r="BK414" s="16"/>
      <c r="BL414" s="17">
        <f>VLOOKUP(BK414,'DATABASE F&amp;B'!$C$3:$F$210,2,0)</f>
        <v>0</v>
      </c>
      <c r="BM414" s="18"/>
      <c r="BN414" s="19">
        <f>VLOOKUP(BK414,'DATABASE F&amp;B'!$C$3:$F$210,4,0)</f>
        <v>0</v>
      </c>
      <c r="BO414" s="19">
        <f t="shared" si="366"/>
        <v>0</v>
      </c>
      <c r="BP414" s="16"/>
      <c r="BQ414" s="17">
        <f>VLOOKUP(BP414,'DATABASE F&amp;B'!$C$3:$F$210,2,0)</f>
        <v>0</v>
      </c>
      <c r="BR414" s="18"/>
      <c r="BS414" s="19">
        <f>VLOOKUP(BP414,'DATABASE F&amp;B'!$C$3:$F$210,4,0)</f>
        <v>0</v>
      </c>
      <c r="BT414" s="19">
        <f t="shared" si="367"/>
        <v>0</v>
      </c>
      <c r="BU414" s="16"/>
      <c r="BV414" s="17">
        <f>VLOOKUP(BU414,'DATABASE F&amp;B'!$C$3:$F$210,2,0)</f>
        <v>0</v>
      </c>
      <c r="BW414" s="18"/>
      <c r="BX414" s="19">
        <f>VLOOKUP(BU414,'DATABASE F&amp;B'!$C$3:$F$210,4,0)</f>
        <v>0</v>
      </c>
      <c r="BY414" s="19">
        <f t="shared" si="368"/>
        <v>0</v>
      </c>
      <c r="BZ414" s="16"/>
      <c r="CA414" s="17">
        <f>VLOOKUP(BZ414,'DATABASE F&amp;B'!$C$3:$F$210,2,0)</f>
        <v>0</v>
      </c>
      <c r="CB414" s="18"/>
      <c r="CC414" s="19">
        <f>VLOOKUP(BZ414,'DATABASE F&amp;B'!$C$3:$F$210,4,0)</f>
        <v>0</v>
      </c>
      <c r="CD414" s="19">
        <f t="shared" si="369"/>
        <v>0</v>
      </c>
    </row>
    <row r="415" spans="1:82" ht="13.5" x14ac:dyDescent="0.25">
      <c r="A415" s="32" t="str">
        <f t="shared" si="349"/>
        <v>--20</v>
      </c>
      <c r="B415" s="22">
        <f t="shared" ref="B415:C415" si="399">B414+1</f>
        <v>411</v>
      </c>
      <c r="C415" s="22">
        <f t="shared" si="399"/>
        <v>411</v>
      </c>
      <c r="D415" s="34"/>
      <c r="E415" s="35"/>
      <c r="F415" s="35"/>
      <c r="G415" s="52"/>
      <c r="H415" s="36" t="str">
        <f t="shared" si="374"/>
        <v>RJ--411</v>
      </c>
      <c r="I415" s="36" t="str">
        <f t="shared" si="351"/>
        <v>--20</v>
      </c>
      <c r="J415" s="37" t="e">
        <f>VLOOKUP(D415,Laporan!$C$4:$D$34,2,0)</f>
        <v>#N/A</v>
      </c>
      <c r="K415" s="48"/>
      <c r="L415" s="13"/>
      <c r="M415" s="19">
        <f>SUMIF('DATABASE Room'!$B$3:$B$7,L415,'DATABASE Room'!$D$3:$D$7)</f>
        <v>0</v>
      </c>
      <c r="N415" s="13"/>
      <c r="O415" s="21">
        <f t="shared" si="352"/>
        <v>0</v>
      </c>
      <c r="P415" s="38"/>
      <c r="Q415" s="19">
        <f t="shared" si="353"/>
        <v>0</v>
      </c>
      <c r="R415" s="21">
        <f t="shared" si="354"/>
        <v>0</v>
      </c>
      <c r="S415" s="19">
        <f t="shared" si="355"/>
        <v>2</v>
      </c>
      <c r="T415" s="19">
        <f t="shared" si="356"/>
        <v>0</v>
      </c>
      <c r="U415" s="21">
        <f t="shared" si="357"/>
        <v>0</v>
      </c>
      <c r="V415" s="39"/>
      <c r="W415" s="16"/>
      <c r="X415" s="17">
        <f>VLOOKUP(W415,'DATABASE F&amp;B'!$C$3:$F$216,2,0)</f>
        <v>0</v>
      </c>
      <c r="Y415" s="18"/>
      <c r="Z415" s="19">
        <f>VLOOKUP(W415,'DATABASE F&amp;B'!$C$3:$F$216,4,0)</f>
        <v>0</v>
      </c>
      <c r="AA415" s="19">
        <f t="shared" si="358"/>
        <v>0</v>
      </c>
      <c r="AB415" s="16"/>
      <c r="AC415" s="17">
        <f>VLOOKUP(AB415,'DATABASE F&amp;B'!$C$3:$F$216,2,0)</f>
        <v>0</v>
      </c>
      <c r="AD415" s="18"/>
      <c r="AE415" s="19">
        <f>VLOOKUP(AB415,'DATABASE F&amp;B'!$C$3:$F$216,4,0)</f>
        <v>0</v>
      </c>
      <c r="AF415" s="19">
        <f t="shared" si="359"/>
        <v>0</v>
      </c>
      <c r="AG415" s="16"/>
      <c r="AH415" s="17">
        <f>VLOOKUP(AG415,'DATABASE F&amp;B'!$C$3:$F$216,2,0)</f>
        <v>0</v>
      </c>
      <c r="AI415" s="18"/>
      <c r="AJ415" s="19">
        <f>VLOOKUP(AG415,'DATABASE F&amp;B'!$C$3:$F$216,4,0)</f>
        <v>0</v>
      </c>
      <c r="AK415" s="19">
        <f t="shared" si="360"/>
        <v>0</v>
      </c>
      <c r="AL415" s="16"/>
      <c r="AM415" s="17">
        <f>VLOOKUP(AL415,'DATABASE F&amp;B'!$C$3:$F$216,2,0)</f>
        <v>0</v>
      </c>
      <c r="AN415" s="18">
        <v>1</v>
      </c>
      <c r="AO415" s="19">
        <f>VLOOKUP(AL415,'DATABASE F&amp;B'!$C$3:$F$216,4,0)</f>
        <v>0</v>
      </c>
      <c r="AP415" s="19">
        <f t="shared" si="361"/>
        <v>0</v>
      </c>
      <c r="AQ415" s="16"/>
      <c r="AR415" s="17">
        <f>VLOOKUP(AQ415,'DATABASE F&amp;B'!$C$3:$F$216,2,0)</f>
        <v>0</v>
      </c>
      <c r="AS415" s="18">
        <v>1</v>
      </c>
      <c r="AT415" s="19">
        <f>VLOOKUP(AQ415,'DATABASE F&amp;B'!$C$3:$F$216,4,0)</f>
        <v>0</v>
      </c>
      <c r="AU415" s="19">
        <f t="shared" si="362"/>
        <v>0</v>
      </c>
      <c r="AV415" s="16"/>
      <c r="AW415" s="17">
        <f>VLOOKUP(AV415,'DATABASE F&amp;B'!$C$3:$F$216,2,0)</f>
        <v>0</v>
      </c>
      <c r="AX415" s="18"/>
      <c r="AY415" s="19">
        <f>VLOOKUP(AV415,'DATABASE F&amp;B'!$C$3:$F$216,4,0)</f>
        <v>0</v>
      </c>
      <c r="AZ415" s="19">
        <f t="shared" si="363"/>
        <v>0</v>
      </c>
      <c r="BA415" s="16"/>
      <c r="BB415" s="17">
        <f>VLOOKUP(BA415,'DATABASE F&amp;B'!$C$3:$F$216,2,0)</f>
        <v>0</v>
      </c>
      <c r="BC415" s="18"/>
      <c r="BD415" s="19">
        <f>VLOOKUP(BA415,'DATABASE F&amp;B'!$C$3:$F$216,4,0)</f>
        <v>0</v>
      </c>
      <c r="BE415" s="19">
        <f t="shared" si="364"/>
        <v>0</v>
      </c>
      <c r="BF415" s="16"/>
      <c r="BG415" s="17">
        <f>VLOOKUP(BF415,'DATABASE F&amp;B'!$C$3:$F$216,2,0)</f>
        <v>0</v>
      </c>
      <c r="BH415" s="18"/>
      <c r="BI415" s="19">
        <f>VLOOKUP(BF415,'DATABASE F&amp;B'!$C$3:$F$216,4,0)</f>
        <v>0</v>
      </c>
      <c r="BJ415" s="19">
        <f t="shared" si="365"/>
        <v>0</v>
      </c>
      <c r="BK415" s="16"/>
      <c r="BL415" s="17">
        <f>VLOOKUP(BK415,'DATABASE F&amp;B'!$C$3:$F$210,2,0)</f>
        <v>0</v>
      </c>
      <c r="BM415" s="18"/>
      <c r="BN415" s="19">
        <f>VLOOKUP(BK415,'DATABASE F&amp;B'!$C$3:$F$210,4,0)</f>
        <v>0</v>
      </c>
      <c r="BO415" s="19">
        <f t="shared" si="366"/>
        <v>0</v>
      </c>
      <c r="BP415" s="16"/>
      <c r="BQ415" s="17">
        <f>VLOOKUP(BP415,'DATABASE F&amp;B'!$C$3:$F$210,2,0)</f>
        <v>0</v>
      </c>
      <c r="BR415" s="18"/>
      <c r="BS415" s="19">
        <f>VLOOKUP(BP415,'DATABASE F&amp;B'!$C$3:$F$210,4,0)</f>
        <v>0</v>
      </c>
      <c r="BT415" s="19">
        <f t="shared" si="367"/>
        <v>0</v>
      </c>
      <c r="BU415" s="16"/>
      <c r="BV415" s="17">
        <f>VLOOKUP(BU415,'DATABASE F&amp;B'!$C$3:$F$210,2,0)</f>
        <v>0</v>
      </c>
      <c r="BW415" s="18"/>
      <c r="BX415" s="19">
        <f>VLOOKUP(BU415,'DATABASE F&amp;B'!$C$3:$F$210,4,0)</f>
        <v>0</v>
      </c>
      <c r="BY415" s="19">
        <f t="shared" si="368"/>
        <v>0</v>
      </c>
      <c r="BZ415" s="16"/>
      <c r="CA415" s="17">
        <f>VLOOKUP(BZ415,'DATABASE F&amp;B'!$C$3:$F$210,2,0)</f>
        <v>0</v>
      </c>
      <c r="CB415" s="18"/>
      <c r="CC415" s="19">
        <f>VLOOKUP(BZ415,'DATABASE F&amp;B'!$C$3:$F$210,4,0)</f>
        <v>0</v>
      </c>
      <c r="CD415" s="19">
        <f t="shared" si="369"/>
        <v>0</v>
      </c>
    </row>
    <row r="416" spans="1:82" ht="13.5" x14ac:dyDescent="0.25">
      <c r="A416" s="32" t="str">
        <f t="shared" si="349"/>
        <v>--20</v>
      </c>
      <c r="B416" s="22">
        <f t="shared" ref="B416:C416" si="400">B415+1</f>
        <v>412</v>
      </c>
      <c r="C416" s="22">
        <f t="shared" si="400"/>
        <v>412</v>
      </c>
      <c r="D416" s="34"/>
      <c r="E416" s="35"/>
      <c r="F416" s="35"/>
      <c r="G416" s="52"/>
      <c r="H416" s="36" t="str">
        <f t="shared" si="374"/>
        <v>RJ--412</v>
      </c>
      <c r="I416" s="36" t="str">
        <f t="shared" si="351"/>
        <v>--20</v>
      </c>
      <c r="J416" s="37" t="e">
        <f>VLOOKUP(D416,Laporan!$C$4:$D$34,2,0)</f>
        <v>#N/A</v>
      </c>
      <c r="K416" s="48"/>
      <c r="L416" s="13"/>
      <c r="M416" s="19">
        <f>SUMIF('DATABASE Room'!$B$3:$B$7,L416,'DATABASE Room'!$D$3:$D$7)</f>
        <v>0</v>
      </c>
      <c r="N416" s="13"/>
      <c r="O416" s="21">
        <f t="shared" si="352"/>
        <v>0</v>
      </c>
      <c r="P416" s="38"/>
      <c r="Q416" s="19">
        <f t="shared" si="353"/>
        <v>0</v>
      </c>
      <c r="R416" s="21">
        <f t="shared" si="354"/>
        <v>0</v>
      </c>
      <c r="S416" s="19">
        <f t="shared" si="355"/>
        <v>2</v>
      </c>
      <c r="T416" s="19">
        <f t="shared" si="356"/>
        <v>0</v>
      </c>
      <c r="U416" s="21">
        <f t="shared" si="357"/>
        <v>0</v>
      </c>
      <c r="V416" s="39"/>
      <c r="W416" s="16"/>
      <c r="X416" s="17">
        <f>VLOOKUP(W416,'DATABASE F&amp;B'!$C$3:$F$216,2,0)</f>
        <v>0</v>
      </c>
      <c r="Y416" s="18"/>
      <c r="Z416" s="19">
        <f>VLOOKUP(W416,'DATABASE F&amp;B'!$C$3:$F$216,4,0)</f>
        <v>0</v>
      </c>
      <c r="AA416" s="19">
        <f t="shared" si="358"/>
        <v>0</v>
      </c>
      <c r="AB416" s="16"/>
      <c r="AC416" s="17">
        <f>VLOOKUP(AB416,'DATABASE F&amp;B'!$C$3:$F$216,2,0)</f>
        <v>0</v>
      </c>
      <c r="AD416" s="18"/>
      <c r="AE416" s="19">
        <f>VLOOKUP(AB416,'DATABASE F&amp;B'!$C$3:$F$216,4,0)</f>
        <v>0</v>
      </c>
      <c r="AF416" s="19">
        <f t="shared" si="359"/>
        <v>0</v>
      </c>
      <c r="AG416" s="16"/>
      <c r="AH416" s="17">
        <f>VLOOKUP(AG416,'DATABASE F&amp;B'!$C$3:$F$216,2,0)</f>
        <v>0</v>
      </c>
      <c r="AI416" s="18"/>
      <c r="AJ416" s="19">
        <f>VLOOKUP(AG416,'DATABASE F&amp;B'!$C$3:$F$216,4,0)</f>
        <v>0</v>
      </c>
      <c r="AK416" s="19">
        <f t="shared" si="360"/>
        <v>0</v>
      </c>
      <c r="AL416" s="16"/>
      <c r="AM416" s="17">
        <f>VLOOKUP(AL416,'DATABASE F&amp;B'!$C$3:$F$216,2,0)</f>
        <v>0</v>
      </c>
      <c r="AN416" s="18">
        <v>1</v>
      </c>
      <c r="AO416" s="19">
        <f>VLOOKUP(AL416,'DATABASE F&amp;B'!$C$3:$F$216,4,0)</f>
        <v>0</v>
      </c>
      <c r="AP416" s="19">
        <f t="shared" si="361"/>
        <v>0</v>
      </c>
      <c r="AQ416" s="16"/>
      <c r="AR416" s="17">
        <f>VLOOKUP(AQ416,'DATABASE F&amp;B'!$C$3:$F$216,2,0)</f>
        <v>0</v>
      </c>
      <c r="AS416" s="18">
        <v>1</v>
      </c>
      <c r="AT416" s="19">
        <f>VLOOKUP(AQ416,'DATABASE F&amp;B'!$C$3:$F$216,4,0)</f>
        <v>0</v>
      </c>
      <c r="AU416" s="19">
        <f t="shared" si="362"/>
        <v>0</v>
      </c>
      <c r="AV416" s="16"/>
      <c r="AW416" s="17">
        <f>VLOOKUP(AV416,'DATABASE F&amp;B'!$C$3:$F$216,2,0)</f>
        <v>0</v>
      </c>
      <c r="AX416" s="18"/>
      <c r="AY416" s="19">
        <f>VLOOKUP(AV416,'DATABASE F&amp;B'!$C$3:$F$216,4,0)</f>
        <v>0</v>
      </c>
      <c r="AZ416" s="19">
        <f t="shared" si="363"/>
        <v>0</v>
      </c>
      <c r="BA416" s="16"/>
      <c r="BB416" s="17">
        <f>VLOOKUP(BA416,'DATABASE F&amp;B'!$C$3:$F$216,2,0)</f>
        <v>0</v>
      </c>
      <c r="BC416" s="18"/>
      <c r="BD416" s="19">
        <f>VLOOKUP(BA416,'DATABASE F&amp;B'!$C$3:$F$216,4,0)</f>
        <v>0</v>
      </c>
      <c r="BE416" s="19">
        <f t="shared" si="364"/>
        <v>0</v>
      </c>
      <c r="BF416" s="16"/>
      <c r="BG416" s="17">
        <f>VLOOKUP(BF416,'DATABASE F&amp;B'!$C$3:$F$216,2,0)</f>
        <v>0</v>
      </c>
      <c r="BH416" s="18"/>
      <c r="BI416" s="19">
        <f>VLOOKUP(BF416,'DATABASE F&amp;B'!$C$3:$F$216,4,0)</f>
        <v>0</v>
      </c>
      <c r="BJ416" s="19">
        <f t="shared" si="365"/>
        <v>0</v>
      </c>
      <c r="BK416" s="16"/>
      <c r="BL416" s="17">
        <f>VLOOKUP(BK416,'DATABASE F&amp;B'!$C$3:$F$210,2,0)</f>
        <v>0</v>
      </c>
      <c r="BM416" s="18"/>
      <c r="BN416" s="19">
        <f>VLOOKUP(BK416,'DATABASE F&amp;B'!$C$3:$F$210,4,0)</f>
        <v>0</v>
      </c>
      <c r="BO416" s="19">
        <f t="shared" si="366"/>
        <v>0</v>
      </c>
      <c r="BP416" s="16"/>
      <c r="BQ416" s="17">
        <f>VLOOKUP(BP416,'DATABASE F&amp;B'!$C$3:$F$210,2,0)</f>
        <v>0</v>
      </c>
      <c r="BR416" s="18"/>
      <c r="BS416" s="19">
        <f>VLOOKUP(BP416,'DATABASE F&amp;B'!$C$3:$F$210,4,0)</f>
        <v>0</v>
      </c>
      <c r="BT416" s="19">
        <f t="shared" si="367"/>
        <v>0</v>
      </c>
      <c r="BU416" s="16"/>
      <c r="BV416" s="17">
        <f>VLOOKUP(BU416,'DATABASE F&amp;B'!$C$3:$F$210,2,0)</f>
        <v>0</v>
      </c>
      <c r="BW416" s="18"/>
      <c r="BX416" s="19">
        <f>VLOOKUP(BU416,'DATABASE F&amp;B'!$C$3:$F$210,4,0)</f>
        <v>0</v>
      </c>
      <c r="BY416" s="19">
        <f t="shared" si="368"/>
        <v>0</v>
      </c>
      <c r="BZ416" s="16"/>
      <c r="CA416" s="17">
        <f>VLOOKUP(BZ416,'DATABASE F&amp;B'!$C$3:$F$210,2,0)</f>
        <v>0</v>
      </c>
      <c r="CB416" s="18"/>
      <c r="CC416" s="19">
        <f>VLOOKUP(BZ416,'DATABASE F&amp;B'!$C$3:$F$210,4,0)</f>
        <v>0</v>
      </c>
      <c r="CD416" s="19">
        <f t="shared" si="369"/>
        <v>0</v>
      </c>
    </row>
    <row r="417" spans="1:82" ht="13.5" x14ac:dyDescent="0.25">
      <c r="A417" s="32" t="str">
        <f t="shared" si="349"/>
        <v>--20</v>
      </c>
      <c r="B417" s="22">
        <f t="shared" ref="B417:C417" si="401">B416+1</f>
        <v>413</v>
      </c>
      <c r="C417" s="22">
        <f t="shared" si="401"/>
        <v>413</v>
      </c>
      <c r="D417" s="34"/>
      <c r="E417" s="35"/>
      <c r="F417" s="35"/>
      <c r="G417" s="52"/>
      <c r="H417" s="36" t="str">
        <f t="shared" si="374"/>
        <v>RJ--413</v>
      </c>
      <c r="I417" s="36" t="str">
        <f t="shared" si="351"/>
        <v>--20</v>
      </c>
      <c r="J417" s="37" t="e">
        <f>VLOOKUP(D417,Laporan!$C$4:$D$34,2,0)</f>
        <v>#N/A</v>
      </c>
      <c r="K417" s="48"/>
      <c r="L417" s="13"/>
      <c r="M417" s="19">
        <f>SUMIF('DATABASE Room'!$B$3:$B$7,L417,'DATABASE Room'!$D$3:$D$7)</f>
        <v>0</v>
      </c>
      <c r="N417" s="13"/>
      <c r="O417" s="21">
        <f t="shared" si="352"/>
        <v>0</v>
      </c>
      <c r="P417" s="38"/>
      <c r="Q417" s="19">
        <f t="shared" si="353"/>
        <v>0</v>
      </c>
      <c r="R417" s="21">
        <f t="shared" si="354"/>
        <v>0</v>
      </c>
      <c r="S417" s="19">
        <f t="shared" si="355"/>
        <v>2</v>
      </c>
      <c r="T417" s="19">
        <f t="shared" si="356"/>
        <v>0</v>
      </c>
      <c r="U417" s="21">
        <f t="shared" si="357"/>
        <v>0</v>
      </c>
      <c r="V417" s="39"/>
      <c r="W417" s="16"/>
      <c r="X417" s="17">
        <f>VLOOKUP(W417,'DATABASE F&amp;B'!$C$3:$F$216,2,0)</f>
        <v>0</v>
      </c>
      <c r="Y417" s="18"/>
      <c r="Z417" s="19">
        <f>VLOOKUP(W417,'DATABASE F&amp;B'!$C$3:$F$216,4,0)</f>
        <v>0</v>
      </c>
      <c r="AA417" s="19">
        <f t="shared" si="358"/>
        <v>0</v>
      </c>
      <c r="AB417" s="16"/>
      <c r="AC417" s="17">
        <f>VLOOKUP(AB417,'DATABASE F&amp;B'!$C$3:$F$216,2,0)</f>
        <v>0</v>
      </c>
      <c r="AD417" s="18"/>
      <c r="AE417" s="19">
        <f>VLOOKUP(AB417,'DATABASE F&amp;B'!$C$3:$F$216,4,0)</f>
        <v>0</v>
      </c>
      <c r="AF417" s="19">
        <f t="shared" si="359"/>
        <v>0</v>
      </c>
      <c r="AG417" s="16"/>
      <c r="AH417" s="17">
        <f>VLOOKUP(AG417,'DATABASE F&amp;B'!$C$3:$F$216,2,0)</f>
        <v>0</v>
      </c>
      <c r="AI417" s="18"/>
      <c r="AJ417" s="19">
        <f>VLOOKUP(AG417,'DATABASE F&amp;B'!$C$3:$F$216,4,0)</f>
        <v>0</v>
      </c>
      <c r="AK417" s="19">
        <f t="shared" si="360"/>
        <v>0</v>
      </c>
      <c r="AL417" s="16"/>
      <c r="AM417" s="17">
        <f>VLOOKUP(AL417,'DATABASE F&amp;B'!$C$3:$F$216,2,0)</f>
        <v>0</v>
      </c>
      <c r="AN417" s="18">
        <v>1</v>
      </c>
      <c r="AO417" s="19">
        <f>VLOOKUP(AL417,'DATABASE F&amp;B'!$C$3:$F$216,4,0)</f>
        <v>0</v>
      </c>
      <c r="AP417" s="19">
        <f t="shared" si="361"/>
        <v>0</v>
      </c>
      <c r="AQ417" s="16"/>
      <c r="AR417" s="17">
        <f>VLOOKUP(AQ417,'DATABASE F&amp;B'!$C$3:$F$216,2,0)</f>
        <v>0</v>
      </c>
      <c r="AS417" s="18">
        <v>1</v>
      </c>
      <c r="AT417" s="19">
        <f>VLOOKUP(AQ417,'DATABASE F&amp;B'!$C$3:$F$216,4,0)</f>
        <v>0</v>
      </c>
      <c r="AU417" s="19">
        <f t="shared" si="362"/>
        <v>0</v>
      </c>
      <c r="AV417" s="16"/>
      <c r="AW417" s="17">
        <f>VLOOKUP(AV417,'DATABASE F&amp;B'!$C$3:$F$216,2,0)</f>
        <v>0</v>
      </c>
      <c r="AX417" s="18"/>
      <c r="AY417" s="19">
        <f>VLOOKUP(AV417,'DATABASE F&amp;B'!$C$3:$F$216,4,0)</f>
        <v>0</v>
      </c>
      <c r="AZ417" s="19">
        <f t="shared" si="363"/>
        <v>0</v>
      </c>
      <c r="BA417" s="16"/>
      <c r="BB417" s="17">
        <f>VLOOKUP(BA417,'DATABASE F&amp;B'!$C$3:$F$216,2,0)</f>
        <v>0</v>
      </c>
      <c r="BC417" s="18"/>
      <c r="BD417" s="19">
        <f>VLOOKUP(BA417,'DATABASE F&amp;B'!$C$3:$F$216,4,0)</f>
        <v>0</v>
      </c>
      <c r="BE417" s="19">
        <f t="shared" si="364"/>
        <v>0</v>
      </c>
      <c r="BF417" s="16"/>
      <c r="BG417" s="17">
        <f>VLOOKUP(BF417,'DATABASE F&amp;B'!$C$3:$F$216,2,0)</f>
        <v>0</v>
      </c>
      <c r="BH417" s="18"/>
      <c r="BI417" s="19">
        <f>VLOOKUP(BF417,'DATABASE F&amp;B'!$C$3:$F$216,4,0)</f>
        <v>0</v>
      </c>
      <c r="BJ417" s="19">
        <f t="shared" si="365"/>
        <v>0</v>
      </c>
      <c r="BK417" s="16"/>
      <c r="BL417" s="17">
        <f>VLOOKUP(BK417,'DATABASE F&amp;B'!$C$3:$F$210,2,0)</f>
        <v>0</v>
      </c>
      <c r="BM417" s="18"/>
      <c r="BN417" s="19">
        <f>VLOOKUP(BK417,'DATABASE F&amp;B'!$C$3:$F$210,4,0)</f>
        <v>0</v>
      </c>
      <c r="BO417" s="19">
        <f t="shared" si="366"/>
        <v>0</v>
      </c>
      <c r="BP417" s="16"/>
      <c r="BQ417" s="17">
        <f>VLOOKUP(BP417,'DATABASE F&amp;B'!$C$3:$F$210,2,0)</f>
        <v>0</v>
      </c>
      <c r="BR417" s="18"/>
      <c r="BS417" s="19">
        <f>VLOOKUP(BP417,'DATABASE F&amp;B'!$C$3:$F$210,4,0)</f>
        <v>0</v>
      </c>
      <c r="BT417" s="19">
        <f t="shared" si="367"/>
        <v>0</v>
      </c>
      <c r="BU417" s="16"/>
      <c r="BV417" s="17">
        <f>VLOOKUP(BU417,'DATABASE F&amp;B'!$C$3:$F$210,2,0)</f>
        <v>0</v>
      </c>
      <c r="BW417" s="18"/>
      <c r="BX417" s="19">
        <f>VLOOKUP(BU417,'DATABASE F&amp;B'!$C$3:$F$210,4,0)</f>
        <v>0</v>
      </c>
      <c r="BY417" s="19">
        <f t="shared" si="368"/>
        <v>0</v>
      </c>
      <c r="BZ417" s="16"/>
      <c r="CA417" s="17">
        <f>VLOOKUP(BZ417,'DATABASE F&amp;B'!$C$3:$F$210,2,0)</f>
        <v>0</v>
      </c>
      <c r="CB417" s="18"/>
      <c r="CC417" s="19">
        <f>VLOOKUP(BZ417,'DATABASE F&amp;B'!$C$3:$F$210,4,0)</f>
        <v>0</v>
      </c>
      <c r="CD417" s="19">
        <f t="shared" si="369"/>
        <v>0</v>
      </c>
    </row>
    <row r="418" spans="1:82" ht="13.5" x14ac:dyDescent="0.25">
      <c r="A418" s="32" t="str">
        <f t="shared" si="349"/>
        <v>--20</v>
      </c>
      <c r="B418" s="22">
        <f t="shared" ref="B418:C418" si="402">B417+1</f>
        <v>414</v>
      </c>
      <c r="C418" s="22">
        <f t="shared" si="402"/>
        <v>414</v>
      </c>
      <c r="D418" s="34"/>
      <c r="E418" s="35"/>
      <c r="F418" s="35"/>
      <c r="G418" s="52"/>
      <c r="H418" s="36" t="str">
        <f t="shared" si="374"/>
        <v>RJ--414</v>
      </c>
      <c r="I418" s="36" t="str">
        <f t="shared" si="351"/>
        <v>--20</v>
      </c>
      <c r="J418" s="37" t="e">
        <f>VLOOKUP(D418,Laporan!$C$4:$D$34,2,0)</f>
        <v>#N/A</v>
      </c>
      <c r="K418" s="48"/>
      <c r="L418" s="13"/>
      <c r="M418" s="19">
        <f>SUMIF('DATABASE Room'!$B$3:$B$7,L418,'DATABASE Room'!$D$3:$D$7)</f>
        <v>0</v>
      </c>
      <c r="N418" s="13"/>
      <c r="O418" s="21">
        <f t="shared" si="352"/>
        <v>0</v>
      </c>
      <c r="P418" s="38"/>
      <c r="Q418" s="19">
        <f t="shared" si="353"/>
        <v>0</v>
      </c>
      <c r="R418" s="21">
        <f t="shared" si="354"/>
        <v>0</v>
      </c>
      <c r="S418" s="19">
        <f t="shared" si="355"/>
        <v>2</v>
      </c>
      <c r="T418" s="19">
        <f t="shared" si="356"/>
        <v>0</v>
      </c>
      <c r="U418" s="21">
        <f t="shared" si="357"/>
        <v>0</v>
      </c>
      <c r="V418" s="39"/>
      <c r="W418" s="16"/>
      <c r="X418" s="17">
        <f>VLOOKUP(W418,'DATABASE F&amp;B'!$C$3:$F$216,2,0)</f>
        <v>0</v>
      </c>
      <c r="Y418" s="18"/>
      <c r="Z418" s="19">
        <f>VLOOKUP(W418,'DATABASE F&amp;B'!$C$3:$F$216,4,0)</f>
        <v>0</v>
      </c>
      <c r="AA418" s="19">
        <f t="shared" si="358"/>
        <v>0</v>
      </c>
      <c r="AB418" s="16"/>
      <c r="AC418" s="17">
        <f>VLOOKUP(AB418,'DATABASE F&amp;B'!$C$3:$F$216,2,0)</f>
        <v>0</v>
      </c>
      <c r="AD418" s="18"/>
      <c r="AE418" s="19">
        <f>VLOOKUP(AB418,'DATABASE F&amp;B'!$C$3:$F$216,4,0)</f>
        <v>0</v>
      </c>
      <c r="AF418" s="19">
        <f t="shared" si="359"/>
        <v>0</v>
      </c>
      <c r="AG418" s="16"/>
      <c r="AH418" s="17">
        <f>VLOOKUP(AG418,'DATABASE F&amp;B'!$C$3:$F$216,2,0)</f>
        <v>0</v>
      </c>
      <c r="AI418" s="18"/>
      <c r="AJ418" s="19">
        <f>VLOOKUP(AG418,'DATABASE F&amp;B'!$C$3:$F$216,4,0)</f>
        <v>0</v>
      </c>
      <c r="AK418" s="19">
        <f t="shared" si="360"/>
        <v>0</v>
      </c>
      <c r="AL418" s="16"/>
      <c r="AM418" s="17">
        <f>VLOOKUP(AL418,'DATABASE F&amp;B'!$C$3:$F$216,2,0)</f>
        <v>0</v>
      </c>
      <c r="AN418" s="18">
        <v>1</v>
      </c>
      <c r="AO418" s="19">
        <f>VLOOKUP(AL418,'DATABASE F&amp;B'!$C$3:$F$216,4,0)</f>
        <v>0</v>
      </c>
      <c r="AP418" s="19">
        <f t="shared" si="361"/>
        <v>0</v>
      </c>
      <c r="AQ418" s="16"/>
      <c r="AR418" s="17">
        <f>VLOOKUP(AQ418,'DATABASE F&amp;B'!$C$3:$F$216,2,0)</f>
        <v>0</v>
      </c>
      <c r="AS418" s="18">
        <v>1</v>
      </c>
      <c r="AT418" s="19">
        <f>VLOOKUP(AQ418,'DATABASE F&amp;B'!$C$3:$F$216,4,0)</f>
        <v>0</v>
      </c>
      <c r="AU418" s="19">
        <f t="shared" si="362"/>
        <v>0</v>
      </c>
      <c r="AV418" s="16"/>
      <c r="AW418" s="17">
        <f>VLOOKUP(AV418,'DATABASE F&amp;B'!$C$3:$F$216,2,0)</f>
        <v>0</v>
      </c>
      <c r="AX418" s="18"/>
      <c r="AY418" s="19">
        <f>VLOOKUP(AV418,'DATABASE F&amp;B'!$C$3:$F$216,4,0)</f>
        <v>0</v>
      </c>
      <c r="AZ418" s="19">
        <f t="shared" si="363"/>
        <v>0</v>
      </c>
      <c r="BA418" s="16"/>
      <c r="BB418" s="17">
        <f>VLOOKUP(BA418,'DATABASE F&amp;B'!$C$3:$F$216,2,0)</f>
        <v>0</v>
      </c>
      <c r="BC418" s="18"/>
      <c r="BD418" s="19">
        <f>VLOOKUP(BA418,'DATABASE F&amp;B'!$C$3:$F$216,4,0)</f>
        <v>0</v>
      </c>
      <c r="BE418" s="19">
        <f t="shared" si="364"/>
        <v>0</v>
      </c>
      <c r="BF418" s="16"/>
      <c r="BG418" s="17">
        <f>VLOOKUP(BF418,'DATABASE F&amp;B'!$C$3:$F$216,2,0)</f>
        <v>0</v>
      </c>
      <c r="BH418" s="18"/>
      <c r="BI418" s="19">
        <f>VLOOKUP(BF418,'DATABASE F&amp;B'!$C$3:$F$216,4,0)</f>
        <v>0</v>
      </c>
      <c r="BJ418" s="19">
        <f t="shared" si="365"/>
        <v>0</v>
      </c>
      <c r="BK418" s="16"/>
      <c r="BL418" s="17">
        <f>VLOOKUP(BK418,'DATABASE F&amp;B'!$C$3:$F$210,2,0)</f>
        <v>0</v>
      </c>
      <c r="BM418" s="18"/>
      <c r="BN418" s="19">
        <f>VLOOKUP(BK418,'DATABASE F&amp;B'!$C$3:$F$210,4,0)</f>
        <v>0</v>
      </c>
      <c r="BO418" s="19">
        <f t="shared" si="366"/>
        <v>0</v>
      </c>
      <c r="BP418" s="16"/>
      <c r="BQ418" s="17">
        <f>VLOOKUP(BP418,'DATABASE F&amp;B'!$C$3:$F$210,2,0)</f>
        <v>0</v>
      </c>
      <c r="BR418" s="18"/>
      <c r="BS418" s="19">
        <f>VLOOKUP(BP418,'DATABASE F&amp;B'!$C$3:$F$210,4,0)</f>
        <v>0</v>
      </c>
      <c r="BT418" s="19">
        <f t="shared" si="367"/>
        <v>0</v>
      </c>
      <c r="BU418" s="16"/>
      <c r="BV418" s="17">
        <f>VLOOKUP(BU418,'DATABASE F&amp;B'!$C$3:$F$210,2,0)</f>
        <v>0</v>
      </c>
      <c r="BW418" s="18"/>
      <c r="BX418" s="19">
        <f>VLOOKUP(BU418,'DATABASE F&amp;B'!$C$3:$F$210,4,0)</f>
        <v>0</v>
      </c>
      <c r="BY418" s="19">
        <f t="shared" si="368"/>
        <v>0</v>
      </c>
      <c r="BZ418" s="16"/>
      <c r="CA418" s="17">
        <f>VLOOKUP(BZ418,'DATABASE F&amp;B'!$C$3:$F$210,2,0)</f>
        <v>0</v>
      </c>
      <c r="CB418" s="18"/>
      <c r="CC418" s="19">
        <f>VLOOKUP(BZ418,'DATABASE F&amp;B'!$C$3:$F$210,4,0)</f>
        <v>0</v>
      </c>
      <c r="CD418" s="19">
        <f t="shared" si="369"/>
        <v>0</v>
      </c>
    </row>
    <row r="419" spans="1:82" ht="13.5" x14ac:dyDescent="0.25">
      <c r="A419" s="32" t="str">
        <f t="shared" si="349"/>
        <v>--20</v>
      </c>
      <c r="B419" s="22">
        <f t="shared" ref="B419:C419" si="403">B418+1</f>
        <v>415</v>
      </c>
      <c r="C419" s="22">
        <f t="shared" si="403"/>
        <v>415</v>
      </c>
      <c r="D419" s="34"/>
      <c r="E419" s="35"/>
      <c r="F419" s="35"/>
      <c r="G419" s="52"/>
      <c r="H419" s="36" t="str">
        <f t="shared" si="374"/>
        <v>RJ--415</v>
      </c>
      <c r="I419" s="36" t="str">
        <f t="shared" si="351"/>
        <v>--20</v>
      </c>
      <c r="J419" s="37" t="e">
        <f>VLOOKUP(D419,Laporan!$C$4:$D$34,2,0)</f>
        <v>#N/A</v>
      </c>
      <c r="K419" s="48"/>
      <c r="L419" s="13"/>
      <c r="M419" s="19">
        <f>SUMIF('DATABASE Room'!$B$3:$B$7,L419,'DATABASE Room'!$D$3:$D$7)</f>
        <v>0</v>
      </c>
      <c r="N419" s="13"/>
      <c r="O419" s="21">
        <f t="shared" si="352"/>
        <v>0</v>
      </c>
      <c r="P419" s="38"/>
      <c r="Q419" s="19">
        <f t="shared" si="353"/>
        <v>0</v>
      </c>
      <c r="R419" s="21">
        <f t="shared" si="354"/>
        <v>0</v>
      </c>
      <c r="S419" s="19">
        <f t="shared" si="355"/>
        <v>2</v>
      </c>
      <c r="T419" s="19">
        <f t="shared" si="356"/>
        <v>0</v>
      </c>
      <c r="U419" s="21">
        <f t="shared" si="357"/>
        <v>0</v>
      </c>
      <c r="V419" s="39"/>
      <c r="W419" s="16"/>
      <c r="X419" s="17">
        <f>VLOOKUP(W419,'DATABASE F&amp;B'!$C$3:$F$216,2,0)</f>
        <v>0</v>
      </c>
      <c r="Y419" s="18"/>
      <c r="Z419" s="19">
        <f>VLOOKUP(W419,'DATABASE F&amp;B'!$C$3:$F$216,4,0)</f>
        <v>0</v>
      </c>
      <c r="AA419" s="19">
        <f t="shared" si="358"/>
        <v>0</v>
      </c>
      <c r="AB419" s="16"/>
      <c r="AC419" s="17">
        <f>VLOOKUP(AB419,'DATABASE F&amp;B'!$C$3:$F$216,2,0)</f>
        <v>0</v>
      </c>
      <c r="AD419" s="18"/>
      <c r="AE419" s="19">
        <f>VLOOKUP(AB419,'DATABASE F&amp;B'!$C$3:$F$216,4,0)</f>
        <v>0</v>
      </c>
      <c r="AF419" s="19">
        <f t="shared" si="359"/>
        <v>0</v>
      </c>
      <c r="AG419" s="16"/>
      <c r="AH419" s="17">
        <f>VLOOKUP(AG419,'DATABASE F&amp;B'!$C$3:$F$216,2,0)</f>
        <v>0</v>
      </c>
      <c r="AI419" s="18"/>
      <c r="AJ419" s="19">
        <f>VLOOKUP(AG419,'DATABASE F&amp;B'!$C$3:$F$216,4,0)</f>
        <v>0</v>
      </c>
      <c r="AK419" s="19">
        <f t="shared" si="360"/>
        <v>0</v>
      </c>
      <c r="AL419" s="16"/>
      <c r="AM419" s="17">
        <f>VLOOKUP(AL419,'DATABASE F&amp;B'!$C$3:$F$216,2,0)</f>
        <v>0</v>
      </c>
      <c r="AN419" s="18">
        <v>1</v>
      </c>
      <c r="AO419" s="19">
        <f>VLOOKUP(AL419,'DATABASE F&amp;B'!$C$3:$F$216,4,0)</f>
        <v>0</v>
      </c>
      <c r="AP419" s="19">
        <f t="shared" si="361"/>
        <v>0</v>
      </c>
      <c r="AQ419" s="16"/>
      <c r="AR419" s="17">
        <f>VLOOKUP(AQ419,'DATABASE F&amp;B'!$C$3:$F$216,2,0)</f>
        <v>0</v>
      </c>
      <c r="AS419" s="18">
        <v>1</v>
      </c>
      <c r="AT419" s="19">
        <f>VLOOKUP(AQ419,'DATABASE F&amp;B'!$C$3:$F$216,4,0)</f>
        <v>0</v>
      </c>
      <c r="AU419" s="19">
        <f t="shared" si="362"/>
        <v>0</v>
      </c>
      <c r="AV419" s="16"/>
      <c r="AW419" s="17">
        <f>VLOOKUP(AV419,'DATABASE F&amp;B'!$C$3:$F$216,2,0)</f>
        <v>0</v>
      </c>
      <c r="AX419" s="18"/>
      <c r="AY419" s="19">
        <f>VLOOKUP(AV419,'DATABASE F&amp;B'!$C$3:$F$216,4,0)</f>
        <v>0</v>
      </c>
      <c r="AZ419" s="19">
        <f t="shared" si="363"/>
        <v>0</v>
      </c>
      <c r="BA419" s="16"/>
      <c r="BB419" s="17">
        <f>VLOOKUP(BA419,'DATABASE F&amp;B'!$C$3:$F$216,2,0)</f>
        <v>0</v>
      </c>
      <c r="BC419" s="18"/>
      <c r="BD419" s="19">
        <f>VLOOKUP(BA419,'DATABASE F&amp;B'!$C$3:$F$216,4,0)</f>
        <v>0</v>
      </c>
      <c r="BE419" s="19">
        <f t="shared" si="364"/>
        <v>0</v>
      </c>
      <c r="BF419" s="16"/>
      <c r="BG419" s="17">
        <f>VLOOKUP(BF419,'DATABASE F&amp;B'!$C$3:$F$216,2,0)</f>
        <v>0</v>
      </c>
      <c r="BH419" s="18"/>
      <c r="BI419" s="19">
        <f>VLOOKUP(BF419,'DATABASE F&amp;B'!$C$3:$F$216,4,0)</f>
        <v>0</v>
      </c>
      <c r="BJ419" s="19">
        <f t="shared" si="365"/>
        <v>0</v>
      </c>
      <c r="BK419" s="16"/>
      <c r="BL419" s="17">
        <f>VLOOKUP(BK419,'DATABASE F&amp;B'!$C$3:$F$210,2,0)</f>
        <v>0</v>
      </c>
      <c r="BM419" s="18"/>
      <c r="BN419" s="19">
        <f>VLOOKUP(BK419,'DATABASE F&amp;B'!$C$3:$F$210,4,0)</f>
        <v>0</v>
      </c>
      <c r="BO419" s="19">
        <f t="shared" si="366"/>
        <v>0</v>
      </c>
      <c r="BP419" s="16"/>
      <c r="BQ419" s="17">
        <f>VLOOKUP(BP419,'DATABASE F&amp;B'!$C$3:$F$210,2,0)</f>
        <v>0</v>
      </c>
      <c r="BR419" s="18"/>
      <c r="BS419" s="19">
        <f>VLOOKUP(BP419,'DATABASE F&amp;B'!$C$3:$F$210,4,0)</f>
        <v>0</v>
      </c>
      <c r="BT419" s="19">
        <f t="shared" si="367"/>
        <v>0</v>
      </c>
      <c r="BU419" s="16"/>
      <c r="BV419" s="17">
        <f>VLOOKUP(BU419,'DATABASE F&amp;B'!$C$3:$F$210,2,0)</f>
        <v>0</v>
      </c>
      <c r="BW419" s="18"/>
      <c r="BX419" s="19">
        <f>VLOOKUP(BU419,'DATABASE F&amp;B'!$C$3:$F$210,4,0)</f>
        <v>0</v>
      </c>
      <c r="BY419" s="19">
        <f t="shared" si="368"/>
        <v>0</v>
      </c>
      <c r="BZ419" s="16"/>
      <c r="CA419" s="17">
        <f>VLOOKUP(BZ419,'DATABASE F&amp;B'!$C$3:$F$210,2,0)</f>
        <v>0</v>
      </c>
      <c r="CB419" s="18"/>
      <c r="CC419" s="19">
        <f>VLOOKUP(BZ419,'DATABASE F&amp;B'!$C$3:$F$210,4,0)</f>
        <v>0</v>
      </c>
      <c r="CD419" s="19">
        <f t="shared" si="369"/>
        <v>0</v>
      </c>
    </row>
    <row r="420" spans="1:82" ht="13.5" x14ac:dyDescent="0.25">
      <c r="A420" s="32" t="str">
        <f t="shared" si="349"/>
        <v>--20</v>
      </c>
      <c r="B420" s="22">
        <f t="shared" ref="B420:C420" si="404">B419+1</f>
        <v>416</v>
      </c>
      <c r="C420" s="22">
        <f t="shared" si="404"/>
        <v>416</v>
      </c>
      <c r="D420" s="34"/>
      <c r="E420" s="35"/>
      <c r="F420" s="35"/>
      <c r="G420" s="52"/>
      <c r="H420" s="36" t="str">
        <f t="shared" si="374"/>
        <v>RJ--416</v>
      </c>
      <c r="I420" s="36" t="str">
        <f t="shared" si="351"/>
        <v>--20</v>
      </c>
      <c r="J420" s="37" t="e">
        <f>VLOOKUP(D420,Laporan!$C$4:$D$34,2,0)</f>
        <v>#N/A</v>
      </c>
      <c r="K420" s="48"/>
      <c r="L420" s="13"/>
      <c r="M420" s="19">
        <f>SUMIF('DATABASE Room'!$B$3:$B$7,L420,'DATABASE Room'!$D$3:$D$7)</f>
        <v>0</v>
      </c>
      <c r="N420" s="13"/>
      <c r="O420" s="21">
        <f t="shared" si="352"/>
        <v>0</v>
      </c>
      <c r="P420" s="38"/>
      <c r="Q420" s="19">
        <f t="shared" si="353"/>
        <v>0</v>
      </c>
      <c r="R420" s="21">
        <f t="shared" si="354"/>
        <v>0</v>
      </c>
      <c r="S420" s="19">
        <f t="shared" si="355"/>
        <v>2</v>
      </c>
      <c r="T420" s="19">
        <f t="shared" si="356"/>
        <v>0</v>
      </c>
      <c r="U420" s="21">
        <f t="shared" si="357"/>
        <v>0</v>
      </c>
      <c r="V420" s="39"/>
      <c r="W420" s="16"/>
      <c r="X420" s="17">
        <f>VLOOKUP(W420,'DATABASE F&amp;B'!$C$3:$F$216,2,0)</f>
        <v>0</v>
      </c>
      <c r="Y420" s="18"/>
      <c r="Z420" s="19">
        <f>VLOOKUP(W420,'DATABASE F&amp;B'!$C$3:$F$216,4,0)</f>
        <v>0</v>
      </c>
      <c r="AA420" s="19">
        <f t="shared" si="358"/>
        <v>0</v>
      </c>
      <c r="AB420" s="16"/>
      <c r="AC420" s="17">
        <f>VLOOKUP(AB420,'DATABASE F&amp;B'!$C$3:$F$216,2,0)</f>
        <v>0</v>
      </c>
      <c r="AD420" s="18"/>
      <c r="AE420" s="19">
        <f>VLOOKUP(AB420,'DATABASE F&amp;B'!$C$3:$F$216,4,0)</f>
        <v>0</v>
      </c>
      <c r="AF420" s="19">
        <f t="shared" si="359"/>
        <v>0</v>
      </c>
      <c r="AG420" s="16"/>
      <c r="AH420" s="17">
        <f>VLOOKUP(AG420,'DATABASE F&amp;B'!$C$3:$F$216,2,0)</f>
        <v>0</v>
      </c>
      <c r="AI420" s="18"/>
      <c r="AJ420" s="19">
        <f>VLOOKUP(AG420,'DATABASE F&amp;B'!$C$3:$F$216,4,0)</f>
        <v>0</v>
      </c>
      <c r="AK420" s="19">
        <f t="shared" si="360"/>
        <v>0</v>
      </c>
      <c r="AL420" s="16"/>
      <c r="AM420" s="17">
        <f>VLOOKUP(AL420,'DATABASE F&amp;B'!$C$3:$F$216,2,0)</f>
        <v>0</v>
      </c>
      <c r="AN420" s="18">
        <v>1</v>
      </c>
      <c r="AO420" s="19">
        <f>VLOOKUP(AL420,'DATABASE F&amp;B'!$C$3:$F$216,4,0)</f>
        <v>0</v>
      </c>
      <c r="AP420" s="19">
        <f t="shared" si="361"/>
        <v>0</v>
      </c>
      <c r="AQ420" s="16"/>
      <c r="AR420" s="17">
        <f>VLOOKUP(AQ420,'DATABASE F&amp;B'!$C$3:$F$216,2,0)</f>
        <v>0</v>
      </c>
      <c r="AS420" s="18">
        <v>1</v>
      </c>
      <c r="AT420" s="19">
        <f>VLOOKUP(AQ420,'DATABASE F&amp;B'!$C$3:$F$216,4,0)</f>
        <v>0</v>
      </c>
      <c r="AU420" s="19">
        <f t="shared" si="362"/>
        <v>0</v>
      </c>
      <c r="AV420" s="16"/>
      <c r="AW420" s="17">
        <f>VLOOKUP(AV420,'DATABASE F&amp;B'!$C$3:$F$216,2,0)</f>
        <v>0</v>
      </c>
      <c r="AX420" s="18"/>
      <c r="AY420" s="19">
        <f>VLOOKUP(AV420,'DATABASE F&amp;B'!$C$3:$F$216,4,0)</f>
        <v>0</v>
      </c>
      <c r="AZ420" s="19">
        <f t="shared" si="363"/>
        <v>0</v>
      </c>
      <c r="BA420" s="16"/>
      <c r="BB420" s="17">
        <f>VLOOKUP(BA420,'DATABASE F&amp;B'!$C$3:$F$216,2,0)</f>
        <v>0</v>
      </c>
      <c r="BC420" s="18"/>
      <c r="BD420" s="19">
        <f>VLOOKUP(BA420,'DATABASE F&amp;B'!$C$3:$F$216,4,0)</f>
        <v>0</v>
      </c>
      <c r="BE420" s="19">
        <f t="shared" si="364"/>
        <v>0</v>
      </c>
      <c r="BF420" s="16"/>
      <c r="BG420" s="17">
        <f>VLOOKUP(BF420,'DATABASE F&amp;B'!$C$3:$F$216,2,0)</f>
        <v>0</v>
      </c>
      <c r="BH420" s="18"/>
      <c r="BI420" s="19">
        <f>VLOOKUP(BF420,'DATABASE F&amp;B'!$C$3:$F$216,4,0)</f>
        <v>0</v>
      </c>
      <c r="BJ420" s="19">
        <f t="shared" si="365"/>
        <v>0</v>
      </c>
      <c r="BK420" s="16"/>
      <c r="BL420" s="17">
        <f>VLOOKUP(BK420,'DATABASE F&amp;B'!$C$3:$F$210,2,0)</f>
        <v>0</v>
      </c>
      <c r="BM420" s="18"/>
      <c r="BN420" s="19">
        <f>VLOOKUP(BK420,'DATABASE F&amp;B'!$C$3:$F$210,4,0)</f>
        <v>0</v>
      </c>
      <c r="BO420" s="19">
        <f t="shared" si="366"/>
        <v>0</v>
      </c>
      <c r="BP420" s="16"/>
      <c r="BQ420" s="17">
        <f>VLOOKUP(BP420,'DATABASE F&amp;B'!$C$3:$F$210,2,0)</f>
        <v>0</v>
      </c>
      <c r="BR420" s="18"/>
      <c r="BS420" s="19">
        <f>VLOOKUP(BP420,'DATABASE F&amp;B'!$C$3:$F$210,4,0)</f>
        <v>0</v>
      </c>
      <c r="BT420" s="19">
        <f t="shared" si="367"/>
        <v>0</v>
      </c>
      <c r="BU420" s="16"/>
      <c r="BV420" s="17">
        <f>VLOOKUP(BU420,'DATABASE F&amp;B'!$C$3:$F$210,2,0)</f>
        <v>0</v>
      </c>
      <c r="BW420" s="18"/>
      <c r="BX420" s="19">
        <f>VLOOKUP(BU420,'DATABASE F&amp;B'!$C$3:$F$210,4,0)</f>
        <v>0</v>
      </c>
      <c r="BY420" s="19">
        <f t="shared" si="368"/>
        <v>0</v>
      </c>
      <c r="BZ420" s="16"/>
      <c r="CA420" s="17">
        <f>VLOOKUP(BZ420,'DATABASE F&amp;B'!$C$3:$F$210,2,0)</f>
        <v>0</v>
      </c>
      <c r="CB420" s="18"/>
      <c r="CC420" s="19">
        <f>VLOOKUP(BZ420,'DATABASE F&amp;B'!$C$3:$F$210,4,0)</f>
        <v>0</v>
      </c>
      <c r="CD420" s="19">
        <f t="shared" si="369"/>
        <v>0</v>
      </c>
    </row>
    <row r="421" spans="1:82" ht="13.5" x14ac:dyDescent="0.25">
      <c r="A421" s="32" t="str">
        <f t="shared" si="349"/>
        <v>--20</v>
      </c>
      <c r="B421" s="22">
        <f t="shared" ref="B421:C421" si="405">B420+1</f>
        <v>417</v>
      </c>
      <c r="C421" s="22">
        <f t="shared" si="405"/>
        <v>417</v>
      </c>
      <c r="D421" s="34"/>
      <c r="E421" s="35"/>
      <c r="F421" s="35"/>
      <c r="G421" s="52"/>
      <c r="H421" s="36" t="str">
        <f t="shared" si="374"/>
        <v>RJ--417</v>
      </c>
      <c r="I421" s="36" t="str">
        <f t="shared" si="351"/>
        <v>--20</v>
      </c>
      <c r="J421" s="37" t="e">
        <f>VLOOKUP(D421,Laporan!$C$4:$D$34,2,0)</f>
        <v>#N/A</v>
      </c>
      <c r="K421" s="48"/>
      <c r="L421" s="13"/>
      <c r="M421" s="19">
        <f>SUMIF('DATABASE Room'!$B$3:$B$7,L421,'DATABASE Room'!$D$3:$D$7)</f>
        <v>0</v>
      </c>
      <c r="N421" s="13"/>
      <c r="O421" s="21">
        <f t="shared" si="352"/>
        <v>0</v>
      </c>
      <c r="P421" s="38"/>
      <c r="Q421" s="19">
        <f t="shared" si="353"/>
        <v>0</v>
      </c>
      <c r="R421" s="21">
        <f t="shared" si="354"/>
        <v>0</v>
      </c>
      <c r="S421" s="19">
        <f t="shared" si="355"/>
        <v>2</v>
      </c>
      <c r="T421" s="19">
        <f t="shared" si="356"/>
        <v>0</v>
      </c>
      <c r="U421" s="21">
        <f t="shared" si="357"/>
        <v>0</v>
      </c>
      <c r="V421" s="39"/>
      <c r="W421" s="16"/>
      <c r="X421" s="17">
        <f>VLOOKUP(W421,'DATABASE F&amp;B'!$C$3:$F$216,2,0)</f>
        <v>0</v>
      </c>
      <c r="Y421" s="18"/>
      <c r="Z421" s="19">
        <f>VLOOKUP(W421,'DATABASE F&amp;B'!$C$3:$F$216,4,0)</f>
        <v>0</v>
      </c>
      <c r="AA421" s="19">
        <f t="shared" si="358"/>
        <v>0</v>
      </c>
      <c r="AB421" s="16"/>
      <c r="AC421" s="17">
        <f>VLOOKUP(AB421,'DATABASE F&amp;B'!$C$3:$F$216,2,0)</f>
        <v>0</v>
      </c>
      <c r="AD421" s="18"/>
      <c r="AE421" s="19">
        <f>VLOOKUP(AB421,'DATABASE F&amp;B'!$C$3:$F$216,4,0)</f>
        <v>0</v>
      </c>
      <c r="AF421" s="19">
        <f t="shared" si="359"/>
        <v>0</v>
      </c>
      <c r="AG421" s="16"/>
      <c r="AH421" s="17">
        <f>VLOOKUP(AG421,'DATABASE F&amp;B'!$C$3:$F$216,2,0)</f>
        <v>0</v>
      </c>
      <c r="AI421" s="18"/>
      <c r="AJ421" s="19">
        <f>VLOOKUP(AG421,'DATABASE F&amp;B'!$C$3:$F$216,4,0)</f>
        <v>0</v>
      </c>
      <c r="AK421" s="19">
        <f t="shared" si="360"/>
        <v>0</v>
      </c>
      <c r="AL421" s="16"/>
      <c r="AM421" s="17">
        <f>VLOOKUP(AL421,'DATABASE F&amp;B'!$C$3:$F$216,2,0)</f>
        <v>0</v>
      </c>
      <c r="AN421" s="18">
        <v>1</v>
      </c>
      <c r="AO421" s="19">
        <f>VLOOKUP(AL421,'DATABASE F&amp;B'!$C$3:$F$216,4,0)</f>
        <v>0</v>
      </c>
      <c r="AP421" s="19">
        <f t="shared" si="361"/>
        <v>0</v>
      </c>
      <c r="AQ421" s="16"/>
      <c r="AR421" s="17">
        <f>VLOOKUP(AQ421,'DATABASE F&amp;B'!$C$3:$F$216,2,0)</f>
        <v>0</v>
      </c>
      <c r="AS421" s="18">
        <v>1</v>
      </c>
      <c r="AT421" s="19">
        <f>VLOOKUP(AQ421,'DATABASE F&amp;B'!$C$3:$F$216,4,0)</f>
        <v>0</v>
      </c>
      <c r="AU421" s="19">
        <f t="shared" si="362"/>
        <v>0</v>
      </c>
      <c r="AV421" s="16"/>
      <c r="AW421" s="17">
        <f>VLOOKUP(AV421,'DATABASE F&amp;B'!$C$3:$F$216,2,0)</f>
        <v>0</v>
      </c>
      <c r="AX421" s="18"/>
      <c r="AY421" s="19">
        <f>VLOOKUP(AV421,'DATABASE F&amp;B'!$C$3:$F$216,4,0)</f>
        <v>0</v>
      </c>
      <c r="AZ421" s="19">
        <f t="shared" si="363"/>
        <v>0</v>
      </c>
      <c r="BA421" s="16"/>
      <c r="BB421" s="17">
        <f>VLOOKUP(BA421,'DATABASE F&amp;B'!$C$3:$F$216,2,0)</f>
        <v>0</v>
      </c>
      <c r="BC421" s="18"/>
      <c r="BD421" s="19">
        <f>VLOOKUP(BA421,'DATABASE F&amp;B'!$C$3:$F$216,4,0)</f>
        <v>0</v>
      </c>
      <c r="BE421" s="19">
        <f t="shared" si="364"/>
        <v>0</v>
      </c>
      <c r="BF421" s="16"/>
      <c r="BG421" s="17">
        <f>VLOOKUP(BF421,'DATABASE F&amp;B'!$C$3:$F$216,2,0)</f>
        <v>0</v>
      </c>
      <c r="BH421" s="18"/>
      <c r="BI421" s="19">
        <f>VLOOKUP(BF421,'DATABASE F&amp;B'!$C$3:$F$216,4,0)</f>
        <v>0</v>
      </c>
      <c r="BJ421" s="19">
        <f t="shared" si="365"/>
        <v>0</v>
      </c>
      <c r="BK421" s="16"/>
      <c r="BL421" s="17">
        <f>VLOOKUP(BK421,'DATABASE F&amp;B'!$C$3:$F$210,2,0)</f>
        <v>0</v>
      </c>
      <c r="BM421" s="18"/>
      <c r="BN421" s="19">
        <f>VLOOKUP(BK421,'DATABASE F&amp;B'!$C$3:$F$210,4,0)</f>
        <v>0</v>
      </c>
      <c r="BO421" s="19">
        <f t="shared" si="366"/>
        <v>0</v>
      </c>
      <c r="BP421" s="16"/>
      <c r="BQ421" s="17">
        <f>VLOOKUP(BP421,'DATABASE F&amp;B'!$C$3:$F$210,2,0)</f>
        <v>0</v>
      </c>
      <c r="BR421" s="18"/>
      <c r="BS421" s="19">
        <f>VLOOKUP(BP421,'DATABASE F&amp;B'!$C$3:$F$210,4,0)</f>
        <v>0</v>
      </c>
      <c r="BT421" s="19">
        <f t="shared" si="367"/>
        <v>0</v>
      </c>
      <c r="BU421" s="16"/>
      <c r="BV421" s="17">
        <f>VLOOKUP(BU421,'DATABASE F&amp;B'!$C$3:$F$210,2,0)</f>
        <v>0</v>
      </c>
      <c r="BW421" s="18"/>
      <c r="BX421" s="19">
        <f>VLOOKUP(BU421,'DATABASE F&amp;B'!$C$3:$F$210,4,0)</f>
        <v>0</v>
      </c>
      <c r="BY421" s="19">
        <f t="shared" si="368"/>
        <v>0</v>
      </c>
      <c r="BZ421" s="16"/>
      <c r="CA421" s="17">
        <f>VLOOKUP(BZ421,'DATABASE F&amp;B'!$C$3:$F$210,2,0)</f>
        <v>0</v>
      </c>
      <c r="CB421" s="18"/>
      <c r="CC421" s="19">
        <f>VLOOKUP(BZ421,'DATABASE F&amp;B'!$C$3:$F$210,4,0)</f>
        <v>0</v>
      </c>
      <c r="CD421" s="19">
        <f t="shared" si="369"/>
        <v>0</v>
      </c>
    </row>
    <row r="422" spans="1:82" ht="13.5" x14ac:dyDescent="0.25">
      <c r="A422" s="32" t="str">
        <f t="shared" si="349"/>
        <v>--20</v>
      </c>
      <c r="B422" s="22">
        <f t="shared" ref="B422:C422" si="406">B421+1</f>
        <v>418</v>
      </c>
      <c r="C422" s="22">
        <f t="shared" si="406"/>
        <v>418</v>
      </c>
      <c r="D422" s="34"/>
      <c r="E422" s="35"/>
      <c r="F422" s="35"/>
      <c r="G422" s="52"/>
      <c r="H422" s="36" t="str">
        <f t="shared" si="374"/>
        <v>RJ--418</v>
      </c>
      <c r="I422" s="36" t="str">
        <f t="shared" si="351"/>
        <v>--20</v>
      </c>
      <c r="J422" s="37" t="e">
        <f>VLOOKUP(D422,Laporan!$C$4:$D$34,2,0)</f>
        <v>#N/A</v>
      </c>
      <c r="K422" s="48"/>
      <c r="L422" s="13"/>
      <c r="M422" s="19">
        <f>SUMIF('DATABASE Room'!$B$3:$B$7,L422,'DATABASE Room'!$D$3:$D$7)</f>
        <v>0</v>
      </c>
      <c r="N422" s="13"/>
      <c r="O422" s="21">
        <f t="shared" si="352"/>
        <v>0</v>
      </c>
      <c r="P422" s="38"/>
      <c r="Q422" s="19">
        <f t="shared" si="353"/>
        <v>0</v>
      </c>
      <c r="R422" s="21">
        <f t="shared" si="354"/>
        <v>0</v>
      </c>
      <c r="S422" s="19">
        <f t="shared" si="355"/>
        <v>2</v>
      </c>
      <c r="T422" s="19">
        <f t="shared" si="356"/>
        <v>0</v>
      </c>
      <c r="U422" s="21">
        <f t="shared" si="357"/>
        <v>0</v>
      </c>
      <c r="V422" s="39"/>
      <c r="W422" s="16"/>
      <c r="X422" s="17">
        <f>VLOOKUP(W422,'DATABASE F&amp;B'!$C$3:$F$216,2,0)</f>
        <v>0</v>
      </c>
      <c r="Y422" s="18"/>
      <c r="Z422" s="19">
        <f>VLOOKUP(W422,'DATABASE F&amp;B'!$C$3:$F$216,4,0)</f>
        <v>0</v>
      </c>
      <c r="AA422" s="19">
        <f t="shared" si="358"/>
        <v>0</v>
      </c>
      <c r="AB422" s="16"/>
      <c r="AC422" s="17">
        <f>VLOOKUP(AB422,'DATABASE F&amp;B'!$C$3:$F$216,2,0)</f>
        <v>0</v>
      </c>
      <c r="AD422" s="18"/>
      <c r="AE422" s="19">
        <f>VLOOKUP(AB422,'DATABASE F&amp;B'!$C$3:$F$216,4,0)</f>
        <v>0</v>
      </c>
      <c r="AF422" s="19">
        <f t="shared" si="359"/>
        <v>0</v>
      </c>
      <c r="AG422" s="16"/>
      <c r="AH422" s="17">
        <f>VLOOKUP(AG422,'DATABASE F&amp;B'!$C$3:$F$216,2,0)</f>
        <v>0</v>
      </c>
      <c r="AI422" s="18"/>
      <c r="AJ422" s="19">
        <f>VLOOKUP(AG422,'DATABASE F&amp;B'!$C$3:$F$216,4,0)</f>
        <v>0</v>
      </c>
      <c r="AK422" s="19">
        <f t="shared" si="360"/>
        <v>0</v>
      </c>
      <c r="AL422" s="16"/>
      <c r="AM422" s="17">
        <f>VLOOKUP(AL422,'DATABASE F&amp;B'!$C$3:$F$216,2,0)</f>
        <v>0</v>
      </c>
      <c r="AN422" s="18">
        <v>1</v>
      </c>
      <c r="AO422" s="19">
        <f>VLOOKUP(AL422,'DATABASE F&amp;B'!$C$3:$F$216,4,0)</f>
        <v>0</v>
      </c>
      <c r="AP422" s="19">
        <f t="shared" si="361"/>
        <v>0</v>
      </c>
      <c r="AQ422" s="16"/>
      <c r="AR422" s="17">
        <f>VLOOKUP(AQ422,'DATABASE F&amp;B'!$C$3:$F$216,2,0)</f>
        <v>0</v>
      </c>
      <c r="AS422" s="18">
        <v>1</v>
      </c>
      <c r="AT422" s="19">
        <f>VLOOKUP(AQ422,'DATABASE F&amp;B'!$C$3:$F$216,4,0)</f>
        <v>0</v>
      </c>
      <c r="AU422" s="19">
        <f t="shared" si="362"/>
        <v>0</v>
      </c>
      <c r="AV422" s="16"/>
      <c r="AW422" s="17">
        <f>VLOOKUP(AV422,'DATABASE F&amp;B'!$C$3:$F$216,2,0)</f>
        <v>0</v>
      </c>
      <c r="AX422" s="18"/>
      <c r="AY422" s="19">
        <f>VLOOKUP(AV422,'DATABASE F&amp;B'!$C$3:$F$216,4,0)</f>
        <v>0</v>
      </c>
      <c r="AZ422" s="19">
        <f t="shared" si="363"/>
        <v>0</v>
      </c>
      <c r="BA422" s="16"/>
      <c r="BB422" s="17">
        <f>VLOOKUP(BA422,'DATABASE F&amp;B'!$C$3:$F$216,2,0)</f>
        <v>0</v>
      </c>
      <c r="BC422" s="18"/>
      <c r="BD422" s="19">
        <f>VLOOKUP(BA422,'DATABASE F&amp;B'!$C$3:$F$216,4,0)</f>
        <v>0</v>
      </c>
      <c r="BE422" s="19">
        <f t="shared" si="364"/>
        <v>0</v>
      </c>
      <c r="BF422" s="16"/>
      <c r="BG422" s="17">
        <f>VLOOKUP(BF422,'DATABASE F&amp;B'!$C$3:$F$216,2,0)</f>
        <v>0</v>
      </c>
      <c r="BH422" s="18"/>
      <c r="BI422" s="19">
        <f>VLOOKUP(BF422,'DATABASE F&amp;B'!$C$3:$F$216,4,0)</f>
        <v>0</v>
      </c>
      <c r="BJ422" s="19">
        <f t="shared" si="365"/>
        <v>0</v>
      </c>
      <c r="BK422" s="16"/>
      <c r="BL422" s="17">
        <f>VLOOKUP(BK422,'DATABASE F&amp;B'!$C$3:$F$210,2,0)</f>
        <v>0</v>
      </c>
      <c r="BM422" s="18"/>
      <c r="BN422" s="19">
        <f>VLOOKUP(BK422,'DATABASE F&amp;B'!$C$3:$F$210,4,0)</f>
        <v>0</v>
      </c>
      <c r="BO422" s="19">
        <f t="shared" si="366"/>
        <v>0</v>
      </c>
      <c r="BP422" s="16"/>
      <c r="BQ422" s="17">
        <f>VLOOKUP(BP422,'DATABASE F&amp;B'!$C$3:$F$210,2,0)</f>
        <v>0</v>
      </c>
      <c r="BR422" s="18"/>
      <c r="BS422" s="19">
        <f>VLOOKUP(BP422,'DATABASE F&amp;B'!$C$3:$F$210,4,0)</f>
        <v>0</v>
      </c>
      <c r="BT422" s="19">
        <f t="shared" si="367"/>
        <v>0</v>
      </c>
      <c r="BU422" s="16"/>
      <c r="BV422" s="17">
        <f>VLOOKUP(BU422,'DATABASE F&amp;B'!$C$3:$F$210,2,0)</f>
        <v>0</v>
      </c>
      <c r="BW422" s="18"/>
      <c r="BX422" s="19">
        <f>VLOOKUP(BU422,'DATABASE F&amp;B'!$C$3:$F$210,4,0)</f>
        <v>0</v>
      </c>
      <c r="BY422" s="19">
        <f t="shared" si="368"/>
        <v>0</v>
      </c>
      <c r="BZ422" s="16"/>
      <c r="CA422" s="17">
        <f>VLOOKUP(BZ422,'DATABASE F&amp;B'!$C$3:$F$210,2,0)</f>
        <v>0</v>
      </c>
      <c r="CB422" s="18"/>
      <c r="CC422" s="19">
        <f>VLOOKUP(BZ422,'DATABASE F&amp;B'!$C$3:$F$210,4,0)</f>
        <v>0</v>
      </c>
      <c r="CD422" s="19">
        <f t="shared" si="369"/>
        <v>0</v>
      </c>
    </row>
    <row r="423" spans="1:82" ht="13.5" x14ac:dyDescent="0.25">
      <c r="A423" s="32" t="str">
        <f t="shared" si="349"/>
        <v>--20</v>
      </c>
      <c r="B423" s="22">
        <f t="shared" ref="B423:C423" si="407">B422+1</f>
        <v>419</v>
      </c>
      <c r="C423" s="22">
        <f t="shared" si="407"/>
        <v>419</v>
      </c>
      <c r="D423" s="34"/>
      <c r="E423" s="35"/>
      <c r="F423" s="35"/>
      <c r="G423" s="52"/>
      <c r="H423" s="36" t="str">
        <f t="shared" si="374"/>
        <v>RJ--419</v>
      </c>
      <c r="I423" s="36" t="str">
        <f t="shared" si="351"/>
        <v>--20</v>
      </c>
      <c r="J423" s="37" t="e">
        <f>VLOOKUP(D423,Laporan!$C$4:$D$34,2,0)</f>
        <v>#N/A</v>
      </c>
      <c r="K423" s="48"/>
      <c r="L423" s="13"/>
      <c r="M423" s="19">
        <f>SUMIF('DATABASE Room'!$B$3:$B$7,L423,'DATABASE Room'!$D$3:$D$7)</f>
        <v>0</v>
      </c>
      <c r="N423" s="13"/>
      <c r="O423" s="21">
        <f t="shared" si="352"/>
        <v>0</v>
      </c>
      <c r="P423" s="38"/>
      <c r="Q423" s="19">
        <f t="shared" si="353"/>
        <v>0</v>
      </c>
      <c r="R423" s="21">
        <f t="shared" si="354"/>
        <v>0</v>
      </c>
      <c r="S423" s="19">
        <f t="shared" si="355"/>
        <v>2</v>
      </c>
      <c r="T423" s="19">
        <f t="shared" si="356"/>
        <v>0</v>
      </c>
      <c r="U423" s="21">
        <f t="shared" si="357"/>
        <v>0</v>
      </c>
      <c r="V423" s="39"/>
      <c r="W423" s="16"/>
      <c r="X423" s="17">
        <f>VLOOKUP(W423,'DATABASE F&amp;B'!$C$3:$F$216,2,0)</f>
        <v>0</v>
      </c>
      <c r="Y423" s="18"/>
      <c r="Z423" s="19">
        <f>VLOOKUP(W423,'DATABASE F&amp;B'!$C$3:$F$216,4,0)</f>
        <v>0</v>
      </c>
      <c r="AA423" s="19">
        <f t="shared" si="358"/>
        <v>0</v>
      </c>
      <c r="AB423" s="16"/>
      <c r="AC423" s="17">
        <f>VLOOKUP(AB423,'DATABASE F&amp;B'!$C$3:$F$216,2,0)</f>
        <v>0</v>
      </c>
      <c r="AD423" s="18"/>
      <c r="AE423" s="19">
        <f>VLOOKUP(AB423,'DATABASE F&amp;B'!$C$3:$F$216,4,0)</f>
        <v>0</v>
      </c>
      <c r="AF423" s="19">
        <f t="shared" si="359"/>
        <v>0</v>
      </c>
      <c r="AG423" s="16"/>
      <c r="AH423" s="17">
        <f>VLOOKUP(AG423,'DATABASE F&amp;B'!$C$3:$F$216,2,0)</f>
        <v>0</v>
      </c>
      <c r="AI423" s="18"/>
      <c r="AJ423" s="19">
        <f>VLOOKUP(AG423,'DATABASE F&amp;B'!$C$3:$F$216,4,0)</f>
        <v>0</v>
      </c>
      <c r="AK423" s="19">
        <f t="shared" si="360"/>
        <v>0</v>
      </c>
      <c r="AL423" s="16"/>
      <c r="AM423" s="17">
        <f>VLOOKUP(AL423,'DATABASE F&amp;B'!$C$3:$F$216,2,0)</f>
        <v>0</v>
      </c>
      <c r="AN423" s="18">
        <v>1</v>
      </c>
      <c r="AO423" s="19">
        <f>VLOOKUP(AL423,'DATABASE F&amp;B'!$C$3:$F$216,4,0)</f>
        <v>0</v>
      </c>
      <c r="AP423" s="19">
        <f t="shared" si="361"/>
        <v>0</v>
      </c>
      <c r="AQ423" s="16"/>
      <c r="AR423" s="17">
        <f>VLOOKUP(AQ423,'DATABASE F&amp;B'!$C$3:$F$216,2,0)</f>
        <v>0</v>
      </c>
      <c r="AS423" s="18">
        <v>1</v>
      </c>
      <c r="AT423" s="19">
        <f>VLOOKUP(AQ423,'DATABASE F&amp;B'!$C$3:$F$216,4,0)</f>
        <v>0</v>
      </c>
      <c r="AU423" s="19">
        <f t="shared" si="362"/>
        <v>0</v>
      </c>
      <c r="AV423" s="16"/>
      <c r="AW423" s="17">
        <f>VLOOKUP(AV423,'DATABASE F&amp;B'!$C$3:$F$216,2,0)</f>
        <v>0</v>
      </c>
      <c r="AX423" s="18"/>
      <c r="AY423" s="19">
        <f>VLOOKUP(AV423,'DATABASE F&amp;B'!$C$3:$F$216,4,0)</f>
        <v>0</v>
      </c>
      <c r="AZ423" s="19">
        <f t="shared" si="363"/>
        <v>0</v>
      </c>
      <c r="BA423" s="16"/>
      <c r="BB423" s="17">
        <f>VLOOKUP(BA423,'DATABASE F&amp;B'!$C$3:$F$216,2,0)</f>
        <v>0</v>
      </c>
      <c r="BC423" s="18"/>
      <c r="BD423" s="19">
        <f>VLOOKUP(BA423,'DATABASE F&amp;B'!$C$3:$F$216,4,0)</f>
        <v>0</v>
      </c>
      <c r="BE423" s="19">
        <f t="shared" si="364"/>
        <v>0</v>
      </c>
      <c r="BF423" s="16"/>
      <c r="BG423" s="17">
        <f>VLOOKUP(BF423,'DATABASE F&amp;B'!$C$3:$F$216,2,0)</f>
        <v>0</v>
      </c>
      <c r="BH423" s="18"/>
      <c r="BI423" s="19">
        <f>VLOOKUP(BF423,'DATABASE F&amp;B'!$C$3:$F$216,4,0)</f>
        <v>0</v>
      </c>
      <c r="BJ423" s="19">
        <f t="shared" si="365"/>
        <v>0</v>
      </c>
      <c r="BK423" s="16"/>
      <c r="BL423" s="17">
        <f>VLOOKUP(BK423,'DATABASE F&amp;B'!$C$3:$F$210,2,0)</f>
        <v>0</v>
      </c>
      <c r="BM423" s="18"/>
      <c r="BN423" s="19">
        <f>VLOOKUP(BK423,'DATABASE F&amp;B'!$C$3:$F$210,4,0)</f>
        <v>0</v>
      </c>
      <c r="BO423" s="19">
        <f t="shared" si="366"/>
        <v>0</v>
      </c>
      <c r="BP423" s="16"/>
      <c r="BQ423" s="17">
        <f>VLOOKUP(BP423,'DATABASE F&amp;B'!$C$3:$F$210,2,0)</f>
        <v>0</v>
      </c>
      <c r="BR423" s="18"/>
      <c r="BS423" s="19">
        <f>VLOOKUP(BP423,'DATABASE F&amp;B'!$C$3:$F$210,4,0)</f>
        <v>0</v>
      </c>
      <c r="BT423" s="19">
        <f t="shared" si="367"/>
        <v>0</v>
      </c>
      <c r="BU423" s="16"/>
      <c r="BV423" s="17">
        <f>VLOOKUP(BU423,'DATABASE F&amp;B'!$C$3:$F$210,2,0)</f>
        <v>0</v>
      </c>
      <c r="BW423" s="18"/>
      <c r="BX423" s="19">
        <f>VLOOKUP(BU423,'DATABASE F&amp;B'!$C$3:$F$210,4,0)</f>
        <v>0</v>
      </c>
      <c r="BY423" s="19">
        <f t="shared" si="368"/>
        <v>0</v>
      </c>
      <c r="BZ423" s="16"/>
      <c r="CA423" s="17">
        <f>VLOOKUP(BZ423,'DATABASE F&amp;B'!$C$3:$F$210,2,0)</f>
        <v>0</v>
      </c>
      <c r="CB423" s="18"/>
      <c r="CC423" s="19">
        <f>VLOOKUP(BZ423,'DATABASE F&amp;B'!$C$3:$F$210,4,0)</f>
        <v>0</v>
      </c>
      <c r="CD423" s="19">
        <f t="shared" si="369"/>
        <v>0</v>
      </c>
    </row>
    <row r="424" spans="1:82" ht="13.5" x14ac:dyDescent="0.25">
      <c r="A424" s="32" t="str">
        <f t="shared" si="349"/>
        <v>--20</v>
      </c>
      <c r="B424" s="22">
        <f t="shared" ref="B424:C424" si="408">B423+1</f>
        <v>420</v>
      </c>
      <c r="C424" s="22">
        <f t="shared" si="408"/>
        <v>420</v>
      </c>
      <c r="D424" s="34"/>
      <c r="E424" s="35"/>
      <c r="F424" s="35"/>
      <c r="G424" s="52"/>
      <c r="H424" s="36" t="str">
        <f t="shared" si="374"/>
        <v>RJ--420</v>
      </c>
      <c r="I424" s="36" t="str">
        <f t="shared" si="351"/>
        <v>--20</v>
      </c>
      <c r="J424" s="37" t="e">
        <f>VLOOKUP(D424,Laporan!$C$4:$D$34,2,0)</f>
        <v>#N/A</v>
      </c>
      <c r="K424" s="48"/>
      <c r="L424" s="13"/>
      <c r="M424" s="19">
        <f>SUMIF('DATABASE Room'!$B$3:$B$7,L424,'DATABASE Room'!$D$3:$D$7)</f>
        <v>0</v>
      </c>
      <c r="N424" s="13"/>
      <c r="O424" s="21">
        <f t="shared" si="352"/>
        <v>0</v>
      </c>
      <c r="P424" s="38"/>
      <c r="Q424" s="19">
        <f t="shared" si="353"/>
        <v>0</v>
      </c>
      <c r="R424" s="21">
        <f t="shared" si="354"/>
        <v>0</v>
      </c>
      <c r="S424" s="19">
        <f t="shared" si="355"/>
        <v>2</v>
      </c>
      <c r="T424" s="19">
        <f t="shared" si="356"/>
        <v>0</v>
      </c>
      <c r="U424" s="21">
        <f t="shared" si="357"/>
        <v>0</v>
      </c>
      <c r="V424" s="39"/>
      <c r="W424" s="16"/>
      <c r="X424" s="17">
        <f>VLOOKUP(W424,'DATABASE F&amp;B'!$C$3:$F$216,2,0)</f>
        <v>0</v>
      </c>
      <c r="Y424" s="18"/>
      <c r="Z424" s="19">
        <f>VLOOKUP(W424,'DATABASE F&amp;B'!$C$3:$F$216,4,0)</f>
        <v>0</v>
      </c>
      <c r="AA424" s="19">
        <f t="shared" si="358"/>
        <v>0</v>
      </c>
      <c r="AB424" s="16"/>
      <c r="AC424" s="17">
        <f>VLOOKUP(AB424,'DATABASE F&amp;B'!$C$3:$F$216,2,0)</f>
        <v>0</v>
      </c>
      <c r="AD424" s="18"/>
      <c r="AE424" s="19">
        <f>VLOOKUP(AB424,'DATABASE F&amp;B'!$C$3:$F$216,4,0)</f>
        <v>0</v>
      </c>
      <c r="AF424" s="19">
        <f t="shared" si="359"/>
        <v>0</v>
      </c>
      <c r="AG424" s="16"/>
      <c r="AH424" s="17">
        <f>VLOOKUP(AG424,'DATABASE F&amp;B'!$C$3:$F$216,2,0)</f>
        <v>0</v>
      </c>
      <c r="AI424" s="18"/>
      <c r="AJ424" s="19">
        <f>VLOOKUP(AG424,'DATABASE F&amp;B'!$C$3:$F$216,4,0)</f>
        <v>0</v>
      </c>
      <c r="AK424" s="19">
        <f t="shared" si="360"/>
        <v>0</v>
      </c>
      <c r="AL424" s="16"/>
      <c r="AM424" s="17">
        <f>VLOOKUP(AL424,'DATABASE F&amp;B'!$C$3:$F$216,2,0)</f>
        <v>0</v>
      </c>
      <c r="AN424" s="18">
        <v>1</v>
      </c>
      <c r="AO424" s="19">
        <f>VLOOKUP(AL424,'DATABASE F&amp;B'!$C$3:$F$216,4,0)</f>
        <v>0</v>
      </c>
      <c r="AP424" s="19">
        <f t="shared" si="361"/>
        <v>0</v>
      </c>
      <c r="AQ424" s="16"/>
      <c r="AR424" s="17">
        <f>VLOOKUP(AQ424,'DATABASE F&amp;B'!$C$3:$F$216,2,0)</f>
        <v>0</v>
      </c>
      <c r="AS424" s="18">
        <v>1</v>
      </c>
      <c r="AT424" s="19">
        <f>VLOOKUP(AQ424,'DATABASE F&amp;B'!$C$3:$F$216,4,0)</f>
        <v>0</v>
      </c>
      <c r="AU424" s="19">
        <f t="shared" si="362"/>
        <v>0</v>
      </c>
      <c r="AV424" s="16"/>
      <c r="AW424" s="17">
        <f>VLOOKUP(AV424,'DATABASE F&amp;B'!$C$3:$F$216,2,0)</f>
        <v>0</v>
      </c>
      <c r="AX424" s="18"/>
      <c r="AY424" s="19">
        <f>VLOOKUP(AV424,'DATABASE F&amp;B'!$C$3:$F$216,4,0)</f>
        <v>0</v>
      </c>
      <c r="AZ424" s="19">
        <f t="shared" si="363"/>
        <v>0</v>
      </c>
      <c r="BA424" s="16"/>
      <c r="BB424" s="17">
        <f>VLOOKUP(BA424,'DATABASE F&amp;B'!$C$3:$F$216,2,0)</f>
        <v>0</v>
      </c>
      <c r="BC424" s="18"/>
      <c r="BD424" s="19">
        <f>VLOOKUP(BA424,'DATABASE F&amp;B'!$C$3:$F$216,4,0)</f>
        <v>0</v>
      </c>
      <c r="BE424" s="19">
        <f t="shared" si="364"/>
        <v>0</v>
      </c>
      <c r="BF424" s="16"/>
      <c r="BG424" s="17">
        <f>VLOOKUP(BF424,'DATABASE F&amp;B'!$C$3:$F$216,2,0)</f>
        <v>0</v>
      </c>
      <c r="BH424" s="18"/>
      <c r="BI424" s="19">
        <f>VLOOKUP(BF424,'DATABASE F&amp;B'!$C$3:$F$216,4,0)</f>
        <v>0</v>
      </c>
      <c r="BJ424" s="19">
        <f t="shared" si="365"/>
        <v>0</v>
      </c>
      <c r="BK424" s="16"/>
      <c r="BL424" s="17">
        <f>VLOOKUP(BK424,'DATABASE F&amp;B'!$C$3:$F$210,2,0)</f>
        <v>0</v>
      </c>
      <c r="BM424" s="18"/>
      <c r="BN424" s="19">
        <f>VLOOKUP(BK424,'DATABASE F&amp;B'!$C$3:$F$210,4,0)</f>
        <v>0</v>
      </c>
      <c r="BO424" s="19">
        <f t="shared" si="366"/>
        <v>0</v>
      </c>
      <c r="BP424" s="16"/>
      <c r="BQ424" s="17">
        <f>VLOOKUP(BP424,'DATABASE F&amp;B'!$C$3:$F$210,2,0)</f>
        <v>0</v>
      </c>
      <c r="BR424" s="18"/>
      <c r="BS424" s="19">
        <f>VLOOKUP(BP424,'DATABASE F&amp;B'!$C$3:$F$210,4,0)</f>
        <v>0</v>
      </c>
      <c r="BT424" s="19">
        <f t="shared" si="367"/>
        <v>0</v>
      </c>
      <c r="BU424" s="16"/>
      <c r="BV424" s="17">
        <f>VLOOKUP(BU424,'DATABASE F&amp;B'!$C$3:$F$210,2,0)</f>
        <v>0</v>
      </c>
      <c r="BW424" s="18"/>
      <c r="BX424" s="19">
        <f>VLOOKUP(BU424,'DATABASE F&amp;B'!$C$3:$F$210,4,0)</f>
        <v>0</v>
      </c>
      <c r="BY424" s="19">
        <f t="shared" si="368"/>
        <v>0</v>
      </c>
      <c r="BZ424" s="16"/>
      <c r="CA424" s="17">
        <f>VLOOKUP(BZ424,'DATABASE F&amp;B'!$C$3:$F$210,2,0)</f>
        <v>0</v>
      </c>
      <c r="CB424" s="18"/>
      <c r="CC424" s="19">
        <f>VLOOKUP(BZ424,'DATABASE F&amp;B'!$C$3:$F$210,4,0)</f>
        <v>0</v>
      </c>
      <c r="CD424" s="19">
        <f t="shared" si="369"/>
        <v>0</v>
      </c>
    </row>
    <row r="425" spans="1:82" ht="13.5" x14ac:dyDescent="0.25">
      <c r="A425" s="32" t="str">
        <f t="shared" si="349"/>
        <v>--20</v>
      </c>
      <c r="B425" s="22">
        <f t="shared" ref="B425:C425" si="409">B424+1</f>
        <v>421</v>
      </c>
      <c r="C425" s="22">
        <f t="shared" si="409"/>
        <v>421</v>
      </c>
      <c r="D425" s="34"/>
      <c r="E425" s="35"/>
      <c r="F425" s="35"/>
      <c r="G425" s="52"/>
      <c r="H425" s="36" t="str">
        <f t="shared" si="374"/>
        <v>RJ--421</v>
      </c>
      <c r="I425" s="36" t="str">
        <f t="shared" si="351"/>
        <v>--20</v>
      </c>
      <c r="J425" s="37" t="e">
        <f>VLOOKUP(D425,Laporan!$C$4:$D$34,2,0)</f>
        <v>#N/A</v>
      </c>
      <c r="K425" s="48"/>
      <c r="L425" s="13"/>
      <c r="M425" s="19">
        <f>SUMIF('DATABASE Room'!$B$3:$B$7,L425,'DATABASE Room'!$D$3:$D$7)</f>
        <v>0</v>
      </c>
      <c r="N425" s="13"/>
      <c r="O425" s="21">
        <f t="shared" si="352"/>
        <v>0</v>
      </c>
      <c r="P425" s="38"/>
      <c r="Q425" s="19">
        <f t="shared" si="353"/>
        <v>0</v>
      </c>
      <c r="R425" s="21">
        <f t="shared" si="354"/>
        <v>0</v>
      </c>
      <c r="S425" s="19">
        <f t="shared" si="355"/>
        <v>2</v>
      </c>
      <c r="T425" s="19">
        <f t="shared" si="356"/>
        <v>0</v>
      </c>
      <c r="U425" s="21">
        <f t="shared" si="357"/>
        <v>0</v>
      </c>
      <c r="V425" s="39"/>
      <c r="W425" s="16"/>
      <c r="X425" s="17">
        <f>VLOOKUP(W425,'DATABASE F&amp;B'!$C$3:$F$216,2,0)</f>
        <v>0</v>
      </c>
      <c r="Y425" s="18"/>
      <c r="Z425" s="19">
        <f>VLOOKUP(W425,'DATABASE F&amp;B'!$C$3:$F$216,4,0)</f>
        <v>0</v>
      </c>
      <c r="AA425" s="19">
        <f t="shared" si="358"/>
        <v>0</v>
      </c>
      <c r="AB425" s="16"/>
      <c r="AC425" s="17">
        <f>VLOOKUP(AB425,'DATABASE F&amp;B'!$C$3:$F$216,2,0)</f>
        <v>0</v>
      </c>
      <c r="AD425" s="18"/>
      <c r="AE425" s="19">
        <f>VLOOKUP(AB425,'DATABASE F&amp;B'!$C$3:$F$216,4,0)</f>
        <v>0</v>
      </c>
      <c r="AF425" s="19">
        <f t="shared" si="359"/>
        <v>0</v>
      </c>
      <c r="AG425" s="16"/>
      <c r="AH425" s="17">
        <f>VLOOKUP(AG425,'DATABASE F&amp;B'!$C$3:$F$216,2,0)</f>
        <v>0</v>
      </c>
      <c r="AI425" s="18"/>
      <c r="AJ425" s="19">
        <f>VLOOKUP(AG425,'DATABASE F&amp;B'!$C$3:$F$216,4,0)</f>
        <v>0</v>
      </c>
      <c r="AK425" s="19">
        <f t="shared" si="360"/>
        <v>0</v>
      </c>
      <c r="AL425" s="16"/>
      <c r="AM425" s="17">
        <f>VLOOKUP(AL425,'DATABASE F&amp;B'!$C$3:$F$216,2,0)</f>
        <v>0</v>
      </c>
      <c r="AN425" s="18">
        <v>1</v>
      </c>
      <c r="AO425" s="19">
        <f>VLOOKUP(AL425,'DATABASE F&amp;B'!$C$3:$F$216,4,0)</f>
        <v>0</v>
      </c>
      <c r="AP425" s="19">
        <f t="shared" si="361"/>
        <v>0</v>
      </c>
      <c r="AQ425" s="16"/>
      <c r="AR425" s="17">
        <f>VLOOKUP(AQ425,'DATABASE F&amp;B'!$C$3:$F$216,2,0)</f>
        <v>0</v>
      </c>
      <c r="AS425" s="18">
        <v>1</v>
      </c>
      <c r="AT425" s="19">
        <f>VLOOKUP(AQ425,'DATABASE F&amp;B'!$C$3:$F$216,4,0)</f>
        <v>0</v>
      </c>
      <c r="AU425" s="19">
        <f t="shared" si="362"/>
        <v>0</v>
      </c>
      <c r="AV425" s="16"/>
      <c r="AW425" s="17">
        <f>VLOOKUP(AV425,'DATABASE F&amp;B'!$C$3:$F$216,2,0)</f>
        <v>0</v>
      </c>
      <c r="AX425" s="18"/>
      <c r="AY425" s="19">
        <f>VLOOKUP(AV425,'DATABASE F&amp;B'!$C$3:$F$216,4,0)</f>
        <v>0</v>
      </c>
      <c r="AZ425" s="19">
        <f t="shared" si="363"/>
        <v>0</v>
      </c>
      <c r="BA425" s="16"/>
      <c r="BB425" s="17">
        <f>VLOOKUP(BA425,'DATABASE F&amp;B'!$C$3:$F$216,2,0)</f>
        <v>0</v>
      </c>
      <c r="BC425" s="18"/>
      <c r="BD425" s="19">
        <f>VLOOKUP(BA425,'DATABASE F&amp;B'!$C$3:$F$216,4,0)</f>
        <v>0</v>
      </c>
      <c r="BE425" s="19">
        <f t="shared" si="364"/>
        <v>0</v>
      </c>
      <c r="BF425" s="16"/>
      <c r="BG425" s="17">
        <f>VLOOKUP(BF425,'DATABASE F&amp;B'!$C$3:$F$216,2,0)</f>
        <v>0</v>
      </c>
      <c r="BH425" s="18"/>
      <c r="BI425" s="19">
        <f>VLOOKUP(BF425,'DATABASE F&amp;B'!$C$3:$F$216,4,0)</f>
        <v>0</v>
      </c>
      <c r="BJ425" s="19">
        <f t="shared" si="365"/>
        <v>0</v>
      </c>
      <c r="BK425" s="16"/>
      <c r="BL425" s="17">
        <f>VLOOKUP(BK425,'DATABASE F&amp;B'!$C$3:$F$210,2,0)</f>
        <v>0</v>
      </c>
      <c r="BM425" s="18"/>
      <c r="BN425" s="19">
        <f>VLOOKUP(BK425,'DATABASE F&amp;B'!$C$3:$F$210,4,0)</f>
        <v>0</v>
      </c>
      <c r="BO425" s="19">
        <f t="shared" si="366"/>
        <v>0</v>
      </c>
      <c r="BP425" s="16"/>
      <c r="BQ425" s="17">
        <f>VLOOKUP(BP425,'DATABASE F&amp;B'!$C$3:$F$210,2,0)</f>
        <v>0</v>
      </c>
      <c r="BR425" s="18"/>
      <c r="BS425" s="19">
        <f>VLOOKUP(BP425,'DATABASE F&amp;B'!$C$3:$F$210,4,0)</f>
        <v>0</v>
      </c>
      <c r="BT425" s="19">
        <f t="shared" si="367"/>
        <v>0</v>
      </c>
      <c r="BU425" s="16"/>
      <c r="BV425" s="17">
        <f>VLOOKUP(BU425,'DATABASE F&amp;B'!$C$3:$F$210,2,0)</f>
        <v>0</v>
      </c>
      <c r="BW425" s="18"/>
      <c r="BX425" s="19">
        <f>VLOOKUP(BU425,'DATABASE F&amp;B'!$C$3:$F$210,4,0)</f>
        <v>0</v>
      </c>
      <c r="BY425" s="19">
        <f t="shared" si="368"/>
        <v>0</v>
      </c>
      <c r="BZ425" s="16"/>
      <c r="CA425" s="17">
        <f>VLOOKUP(BZ425,'DATABASE F&amp;B'!$C$3:$F$210,2,0)</f>
        <v>0</v>
      </c>
      <c r="CB425" s="18"/>
      <c r="CC425" s="19">
        <f>VLOOKUP(BZ425,'DATABASE F&amp;B'!$C$3:$F$210,4,0)</f>
        <v>0</v>
      </c>
      <c r="CD425" s="19">
        <f t="shared" si="369"/>
        <v>0</v>
      </c>
    </row>
    <row r="426" spans="1:82" ht="13.5" x14ac:dyDescent="0.25">
      <c r="A426" s="32" t="str">
        <f t="shared" si="349"/>
        <v>--20</v>
      </c>
      <c r="B426" s="22">
        <f t="shared" ref="B426:C426" si="410">B425+1</f>
        <v>422</v>
      </c>
      <c r="C426" s="22">
        <f t="shared" si="410"/>
        <v>422</v>
      </c>
      <c r="D426" s="34"/>
      <c r="E426" s="35"/>
      <c r="F426" s="35"/>
      <c r="G426" s="52"/>
      <c r="H426" s="36" t="str">
        <f t="shared" si="374"/>
        <v>RJ--422</v>
      </c>
      <c r="I426" s="36" t="str">
        <f t="shared" si="351"/>
        <v>--20</v>
      </c>
      <c r="J426" s="37" t="e">
        <f>VLOOKUP(D426,Laporan!$C$4:$D$34,2,0)</f>
        <v>#N/A</v>
      </c>
      <c r="K426" s="48"/>
      <c r="L426" s="13"/>
      <c r="M426" s="19">
        <f>SUMIF('DATABASE Room'!$B$3:$B$7,L426,'DATABASE Room'!$D$3:$D$7)</f>
        <v>0</v>
      </c>
      <c r="N426" s="13"/>
      <c r="O426" s="21">
        <f t="shared" si="352"/>
        <v>0</v>
      </c>
      <c r="P426" s="38"/>
      <c r="Q426" s="19">
        <f t="shared" si="353"/>
        <v>0</v>
      </c>
      <c r="R426" s="21">
        <f t="shared" si="354"/>
        <v>0</v>
      </c>
      <c r="S426" s="19">
        <f t="shared" si="355"/>
        <v>2</v>
      </c>
      <c r="T426" s="19">
        <f t="shared" si="356"/>
        <v>0</v>
      </c>
      <c r="U426" s="21">
        <f t="shared" si="357"/>
        <v>0</v>
      </c>
      <c r="V426" s="39"/>
      <c r="W426" s="16"/>
      <c r="X426" s="17">
        <f>VLOOKUP(W426,'DATABASE F&amp;B'!$C$3:$F$216,2,0)</f>
        <v>0</v>
      </c>
      <c r="Y426" s="18"/>
      <c r="Z426" s="19">
        <f>VLOOKUP(W426,'DATABASE F&amp;B'!$C$3:$F$216,4,0)</f>
        <v>0</v>
      </c>
      <c r="AA426" s="19">
        <f t="shared" si="358"/>
        <v>0</v>
      </c>
      <c r="AB426" s="16"/>
      <c r="AC426" s="17">
        <f>VLOOKUP(AB426,'DATABASE F&amp;B'!$C$3:$F$216,2,0)</f>
        <v>0</v>
      </c>
      <c r="AD426" s="18"/>
      <c r="AE426" s="19">
        <f>VLOOKUP(AB426,'DATABASE F&amp;B'!$C$3:$F$216,4,0)</f>
        <v>0</v>
      </c>
      <c r="AF426" s="19">
        <f t="shared" si="359"/>
        <v>0</v>
      </c>
      <c r="AG426" s="16"/>
      <c r="AH426" s="17">
        <f>VLOOKUP(AG426,'DATABASE F&amp;B'!$C$3:$F$216,2,0)</f>
        <v>0</v>
      </c>
      <c r="AI426" s="18"/>
      <c r="AJ426" s="19">
        <f>VLOOKUP(AG426,'DATABASE F&amp;B'!$C$3:$F$216,4,0)</f>
        <v>0</v>
      </c>
      <c r="AK426" s="19">
        <f t="shared" si="360"/>
        <v>0</v>
      </c>
      <c r="AL426" s="16"/>
      <c r="AM426" s="17">
        <f>VLOOKUP(AL426,'DATABASE F&amp;B'!$C$3:$F$216,2,0)</f>
        <v>0</v>
      </c>
      <c r="AN426" s="18">
        <v>1</v>
      </c>
      <c r="AO426" s="19">
        <f>VLOOKUP(AL426,'DATABASE F&amp;B'!$C$3:$F$216,4,0)</f>
        <v>0</v>
      </c>
      <c r="AP426" s="19">
        <f t="shared" si="361"/>
        <v>0</v>
      </c>
      <c r="AQ426" s="16"/>
      <c r="AR426" s="17">
        <f>VLOOKUP(AQ426,'DATABASE F&amp;B'!$C$3:$F$216,2,0)</f>
        <v>0</v>
      </c>
      <c r="AS426" s="18">
        <v>1</v>
      </c>
      <c r="AT426" s="19">
        <f>VLOOKUP(AQ426,'DATABASE F&amp;B'!$C$3:$F$216,4,0)</f>
        <v>0</v>
      </c>
      <c r="AU426" s="19">
        <f t="shared" si="362"/>
        <v>0</v>
      </c>
      <c r="AV426" s="16"/>
      <c r="AW426" s="17">
        <f>VLOOKUP(AV426,'DATABASE F&amp;B'!$C$3:$F$216,2,0)</f>
        <v>0</v>
      </c>
      <c r="AX426" s="18"/>
      <c r="AY426" s="19">
        <f>VLOOKUP(AV426,'DATABASE F&amp;B'!$C$3:$F$216,4,0)</f>
        <v>0</v>
      </c>
      <c r="AZ426" s="19">
        <f t="shared" si="363"/>
        <v>0</v>
      </c>
      <c r="BA426" s="16"/>
      <c r="BB426" s="17">
        <f>VLOOKUP(BA426,'DATABASE F&amp;B'!$C$3:$F$216,2,0)</f>
        <v>0</v>
      </c>
      <c r="BC426" s="18"/>
      <c r="BD426" s="19">
        <f>VLOOKUP(BA426,'DATABASE F&amp;B'!$C$3:$F$216,4,0)</f>
        <v>0</v>
      </c>
      <c r="BE426" s="19">
        <f t="shared" si="364"/>
        <v>0</v>
      </c>
      <c r="BF426" s="16"/>
      <c r="BG426" s="17">
        <f>VLOOKUP(BF426,'DATABASE F&amp;B'!$C$3:$F$216,2,0)</f>
        <v>0</v>
      </c>
      <c r="BH426" s="18"/>
      <c r="BI426" s="19">
        <f>VLOOKUP(BF426,'DATABASE F&amp;B'!$C$3:$F$216,4,0)</f>
        <v>0</v>
      </c>
      <c r="BJ426" s="19">
        <f t="shared" si="365"/>
        <v>0</v>
      </c>
      <c r="BK426" s="16"/>
      <c r="BL426" s="17">
        <f>VLOOKUP(BK426,'DATABASE F&amp;B'!$C$3:$F$210,2,0)</f>
        <v>0</v>
      </c>
      <c r="BM426" s="18"/>
      <c r="BN426" s="19">
        <f>VLOOKUP(BK426,'DATABASE F&amp;B'!$C$3:$F$210,4,0)</f>
        <v>0</v>
      </c>
      <c r="BO426" s="19">
        <f t="shared" si="366"/>
        <v>0</v>
      </c>
      <c r="BP426" s="16"/>
      <c r="BQ426" s="17">
        <f>VLOOKUP(BP426,'DATABASE F&amp;B'!$C$3:$F$210,2,0)</f>
        <v>0</v>
      </c>
      <c r="BR426" s="18"/>
      <c r="BS426" s="19">
        <f>VLOOKUP(BP426,'DATABASE F&amp;B'!$C$3:$F$210,4,0)</f>
        <v>0</v>
      </c>
      <c r="BT426" s="19">
        <f t="shared" si="367"/>
        <v>0</v>
      </c>
      <c r="BU426" s="16"/>
      <c r="BV426" s="17">
        <f>VLOOKUP(BU426,'DATABASE F&amp;B'!$C$3:$F$210,2,0)</f>
        <v>0</v>
      </c>
      <c r="BW426" s="18"/>
      <c r="BX426" s="19">
        <f>VLOOKUP(BU426,'DATABASE F&amp;B'!$C$3:$F$210,4,0)</f>
        <v>0</v>
      </c>
      <c r="BY426" s="19">
        <f t="shared" si="368"/>
        <v>0</v>
      </c>
      <c r="BZ426" s="16"/>
      <c r="CA426" s="17">
        <f>VLOOKUP(BZ426,'DATABASE F&amp;B'!$C$3:$F$210,2,0)</f>
        <v>0</v>
      </c>
      <c r="CB426" s="18"/>
      <c r="CC426" s="19">
        <f>VLOOKUP(BZ426,'DATABASE F&amp;B'!$C$3:$F$210,4,0)</f>
        <v>0</v>
      </c>
      <c r="CD426" s="19">
        <f t="shared" si="369"/>
        <v>0</v>
      </c>
    </row>
    <row r="427" spans="1:82" ht="13.5" x14ac:dyDescent="0.25">
      <c r="A427" s="32" t="str">
        <f t="shared" si="349"/>
        <v>--20</v>
      </c>
      <c r="B427" s="22">
        <f t="shared" ref="B427:C427" si="411">B426+1</f>
        <v>423</v>
      </c>
      <c r="C427" s="22">
        <f t="shared" si="411"/>
        <v>423</v>
      </c>
      <c r="D427" s="34"/>
      <c r="E427" s="35"/>
      <c r="F427" s="35"/>
      <c r="G427" s="52"/>
      <c r="H427" s="36" t="str">
        <f t="shared" si="374"/>
        <v>RJ--423</v>
      </c>
      <c r="I427" s="36" t="str">
        <f t="shared" si="351"/>
        <v>--20</v>
      </c>
      <c r="J427" s="37" t="e">
        <f>VLOOKUP(D427,Laporan!$C$4:$D$34,2,0)</f>
        <v>#N/A</v>
      </c>
      <c r="K427" s="48"/>
      <c r="L427" s="13"/>
      <c r="M427" s="19">
        <f>SUMIF('DATABASE Room'!$B$3:$B$7,L427,'DATABASE Room'!$D$3:$D$7)</f>
        <v>0</v>
      </c>
      <c r="N427" s="13"/>
      <c r="O427" s="21">
        <f t="shared" si="352"/>
        <v>0</v>
      </c>
      <c r="P427" s="38"/>
      <c r="Q427" s="19">
        <f t="shared" si="353"/>
        <v>0</v>
      </c>
      <c r="R427" s="21">
        <f t="shared" si="354"/>
        <v>0</v>
      </c>
      <c r="S427" s="19">
        <f t="shared" si="355"/>
        <v>2</v>
      </c>
      <c r="T427" s="19">
        <f t="shared" si="356"/>
        <v>0</v>
      </c>
      <c r="U427" s="21">
        <f t="shared" si="357"/>
        <v>0</v>
      </c>
      <c r="V427" s="39"/>
      <c r="W427" s="16"/>
      <c r="X427" s="17">
        <f>VLOOKUP(W427,'DATABASE F&amp;B'!$C$3:$F$216,2,0)</f>
        <v>0</v>
      </c>
      <c r="Y427" s="18"/>
      <c r="Z427" s="19">
        <f>VLOOKUP(W427,'DATABASE F&amp;B'!$C$3:$F$216,4,0)</f>
        <v>0</v>
      </c>
      <c r="AA427" s="19">
        <f t="shared" si="358"/>
        <v>0</v>
      </c>
      <c r="AB427" s="16"/>
      <c r="AC427" s="17">
        <f>VLOOKUP(AB427,'DATABASE F&amp;B'!$C$3:$F$216,2,0)</f>
        <v>0</v>
      </c>
      <c r="AD427" s="18"/>
      <c r="AE427" s="19">
        <f>VLOOKUP(AB427,'DATABASE F&amp;B'!$C$3:$F$216,4,0)</f>
        <v>0</v>
      </c>
      <c r="AF427" s="19">
        <f t="shared" si="359"/>
        <v>0</v>
      </c>
      <c r="AG427" s="16"/>
      <c r="AH427" s="17">
        <f>VLOOKUP(AG427,'DATABASE F&amp;B'!$C$3:$F$216,2,0)</f>
        <v>0</v>
      </c>
      <c r="AI427" s="18"/>
      <c r="AJ427" s="19">
        <f>VLOOKUP(AG427,'DATABASE F&amp;B'!$C$3:$F$216,4,0)</f>
        <v>0</v>
      </c>
      <c r="AK427" s="19">
        <f t="shared" si="360"/>
        <v>0</v>
      </c>
      <c r="AL427" s="16"/>
      <c r="AM427" s="17">
        <f>VLOOKUP(AL427,'DATABASE F&amp;B'!$C$3:$F$216,2,0)</f>
        <v>0</v>
      </c>
      <c r="AN427" s="18">
        <v>1</v>
      </c>
      <c r="AO427" s="19">
        <f>VLOOKUP(AL427,'DATABASE F&amp;B'!$C$3:$F$216,4,0)</f>
        <v>0</v>
      </c>
      <c r="AP427" s="19">
        <f t="shared" si="361"/>
        <v>0</v>
      </c>
      <c r="AQ427" s="16"/>
      <c r="AR427" s="17">
        <f>VLOOKUP(AQ427,'DATABASE F&amp;B'!$C$3:$F$216,2,0)</f>
        <v>0</v>
      </c>
      <c r="AS427" s="18">
        <v>1</v>
      </c>
      <c r="AT427" s="19">
        <f>VLOOKUP(AQ427,'DATABASE F&amp;B'!$C$3:$F$216,4,0)</f>
        <v>0</v>
      </c>
      <c r="AU427" s="19">
        <f t="shared" si="362"/>
        <v>0</v>
      </c>
      <c r="AV427" s="16"/>
      <c r="AW427" s="17">
        <f>VLOOKUP(AV427,'DATABASE F&amp;B'!$C$3:$F$216,2,0)</f>
        <v>0</v>
      </c>
      <c r="AX427" s="18"/>
      <c r="AY427" s="19">
        <f>VLOOKUP(AV427,'DATABASE F&amp;B'!$C$3:$F$216,4,0)</f>
        <v>0</v>
      </c>
      <c r="AZ427" s="19">
        <f t="shared" si="363"/>
        <v>0</v>
      </c>
      <c r="BA427" s="16"/>
      <c r="BB427" s="17">
        <f>VLOOKUP(BA427,'DATABASE F&amp;B'!$C$3:$F$216,2,0)</f>
        <v>0</v>
      </c>
      <c r="BC427" s="18"/>
      <c r="BD427" s="19">
        <f>VLOOKUP(BA427,'DATABASE F&amp;B'!$C$3:$F$216,4,0)</f>
        <v>0</v>
      </c>
      <c r="BE427" s="19">
        <f t="shared" si="364"/>
        <v>0</v>
      </c>
      <c r="BF427" s="16"/>
      <c r="BG427" s="17">
        <f>VLOOKUP(BF427,'DATABASE F&amp;B'!$C$3:$F$216,2,0)</f>
        <v>0</v>
      </c>
      <c r="BH427" s="18"/>
      <c r="BI427" s="19">
        <f>VLOOKUP(BF427,'DATABASE F&amp;B'!$C$3:$F$216,4,0)</f>
        <v>0</v>
      </c>
      <c r="BJ427" s="19">
        <f t="shared" si="365"/>
        <v>0</v>
      </c>
      <c r="BK427" s="16"/>
      <c r="BL427" s="17">
        <f>VLOOKUP(BK427,'DATABASE F&amp;B'!$C$3:$F$210,2,0)</f>
        <v>0</v>
      </c>
      <c r="BM427" s="18"/>
      <c r="BN427" s="19">
        <f>VLOOKUP(BK427,'DATABASE F&amp;B'!$C$3:$F$210,4,0)</f>
        <v>0</v>
      </c>
      <c r="BO427" s="19">
        <f t="shared" si="366"/>
        <v>0</v>
      </c>
      <c r="BP427" s="16"/>
      <c r="BQ427" s="17">
        <f>VLOOKUP(BP427,'DATABASE F&amp;B'!$C$3:$F$210,2,0)</f>
        <v>0</v>
      </c>
      <c r="BR427" s="18"/>
      <c r="BS427" s="19">
        <f>VLOOKUP(BP427,'DATABASE F&amp;B'!$C$3:$F$210,4,0)</f>
        <v>0</v>
      </c>
      <c r="BT427" s="19">
        <f t="shared" si="367"/>
        <v>0</v>
      </c>
      <c r="BU427" s="16"/>
      <c r="BV427" s="17">
        <f>VLOOKUP(BU427,'DATABASE F&amp;B'!$C$3:$F$210,2,0)</f>
        <v>0</v>
      </c>
      <c r="BW427" s="18"/>
      <c r="BX427" s="19">
        <f>VLOOKUP(BU427,'DATABASE F&amp;B'!$C$3:$F$210,4,0)</f>
        <v>0</v>
      </c>
      <c r="BY427" s="19">
        <f t="shared" si="368"/>
        <v>0</v>
      </c>
      <c r="BZ427" s="16"/>
      <c r="CA427" s="17">
        <f>VLOOKUP(BZ427,'DATABASE F&amp;B'!$C$3:$F$210,2,0)</f>
        <v>0</v>
      </c>
      <c r="CB427" s="18"/>
      <c r="CC427" s="19">
        <f>VLOOKUP(BZ427,'DATABASE F&amp;B'!$C$3:$F$210,4,0)</f>
        <v>0</v>
      </c>
      <c r="CD427" s="19">
        <f t="shared" si="369"/>
        <v>0</v>
      </c>
    </row>
    <row r="428" spans="1:82" ht="13.5" x14ac:dyDescent="0.25">
      <c r="A428" s="32" t="str">
        <f t="shared" si="349"/>
        <v>--20</v>
      </c>
      <c r="B428" s="22">
        <f t="shared" ref="B428:C428" si="412">B427+1</f>
        <v>424</v>
      </c>
      <c r="C428" s="22">
        <f t="shared" si="412"/>
        <v>424</v>
      </c>
      <c r="D428" s="34"/>
      <c r="E428" s="35"/>
      <c r="F428" s="35"/>
      <c r="G428" s="52"/>
      <c r="H428" s="36" t="str">
        <f t="shared" si="374"/>
        <v>RJ--424</v>
      </c>
      <c r="I428" s="36" t="str">
        <f t="shared" si="351"/>
        <v>--20</v>
      </c>
      <c r="J428" s="37" t="e">
        <f>VLOOKUP(D428,Laporan!$C$4:$D$34,2,0)</f>
        <v>#N/A</v>
      </c>
      <c r="K428" s="48"/>
      <c r="L428" s="13"/>
      <c r="M428" s="19">
        <f>SUMIF('DATABASE Room'!$B$3:$B$7,L428,'DATABASE Room'!$D$3:$D$7)</f>
        <v>0</v>
      </c>
      <c r="N428" s="13"/>
      <c r="O428" s="21">
        <f t="shared" si="352"/>
        <v>0</v>
      </c>
      <c r="P428" s="38"/>
      <c r="Q428" s="19">
        <f t="shared" si="353"/>
        <v>0</v>
      </c>
      <c r="R428" s="21">
        <f t="shared" si="354"/>
        <v>0</v>
      </c>
      <c r="S428" s="19">
        <f t="shared" si="355"/>
        <v>2</v>
      </c>
      <c r="T428" s="19">
        <f t="shared" si="356"/>
        <v>0</v>
      </c>
      <c r="U428" s="21">
        <f t="shared" si="357"/>
        <v>0</v>
      </c>
      <c r="V428" s="39"/>
      <c r="W428" s="16"/>
      <c r="X428" s="17">
        <f>VLOOKUP(W428,'DATABASE F&amp;B'!$C$3:$F$216,2,0)</f>
        <v>0</v>
      </c>
      <c r="Y428" s="18"/>
      <c r="Z428" s="19">
        <f>VLOOKUP(W428,'DATABASE F&amp;B'!$C$3:$F$216,4,0)</f>
        <v>0</v>
      </c>
      <c r="AA428" s="19">
        <f t="shared" si="358"/>
        <v>0</v>
      </c>
      <c r="AB428" s="16"/>
      <c r="AC428" s="17">
        <f>VLOOKUP(AB428,'DATABASE F&amp;B'!$C$3:$F$216,2,0)</f>
        <v>0</v>
      </c>
      <c r="AD428" s="18"/>
      <c r="AE428" s="19">
        <f>VLOOKUP(AB428,'DATABASE F&amp;B'!$C$3:$F$216,4,0)</f>
        <v>0</v>
      </c>
      <c r="AF428" s="19">
        <f t="shared" si="359"/>
        <v>0</v>
      </c>
      <c r="AG428" s="16"/>
      <c r="AH428" s="17">
        <f>VLOOKUP(AG428,'DATABASE F&amp;B'!$C$3:$F$216,2,0)</f>
        <v>0</v>
      </c>
      <c r="AI428" s="18"/>
      <c r="AJ428" s="19">
        <f>VLOOKUP(AG428,'DATABASE F&amp;B'!$C$3:$F$216,4,0)</f>
        <v>0</v>
      </c>
      <c r="AK428" s="19">
        <f t="shared" si="360"/>
        <v>0</v>
      </c>
      <c r="AL428" s="16"/>
      <c r="AM428" s="17">
        <f>VLOOKUP(AL428,'DATABASE F&amp;B'!$C$3:$F$216,2,0)</f>
        <v>0</v>
      </c>
      <c r="AN428" s="18">
        <v>1</v>
      </c>
      <c r="AO428" s="19">
        <f>VLOOKUP(AL428,'DATABASE F&amp;B'!$C$3:$F$216,4,0)</f>
        <v>0</v>
      </c>
      <c r="AP428" s="19">
        <f t="shared" si="361"/>
        <v>0</v>
      </c>
      <c r="AQ428" s="16"/>
      <c r="AR428" s="17">
        <f>VLOOKUP(AQ428,'DATABASE F&amp;B'!$C$3:$F$216,2,0)</f>
        <v>0</v>
      </c>
      <c r="AS428" s="18">
        <v>1</v>
      </c>
      <c r="AT428" s="19">
        <f>VLOOKUP(AQ428,'DATABASE F&amp;B'!$C$3:$F$216,4,0)</f>
        <v>0</v>
      </c>
      <c r="AU428" s="19">
        <f t="shared" si="362"/>
        <v>0</v>
      </c>
      <c r="AV428" s="16"/>
      <c r="AW428" s="17">
        <f>VLOOKUP(AV428,'DATABASE F&amp;B'!$C$3:$F$216,2,0)</f>
        <v>0</v>
      </c>
      <c r="AX428" s="18"/>
      <c r="AY428" s="19">
        <f>VLOOKUP(AV428,'DATABASE F&amp;B'!$C$3:$F$216,4,0)</f>
        <v>0</v>
      </c>
      <c r="AZ428" s="19">
        <f t="shared" si="363"/>
        <v>0</v>
      </c>
      <c r="BA428" s="16"/>
      <c r="BB428" s="17">
        <f>VLOOKUP(BA428,'DATABASE F&amp;B'!$C$3:$F$216,2,0)</f>
        <v>0</v>
      </c>
      <c r="BC428" s="18"/>
      <c r="BD428" s="19">
        <f>VLOOKUP(BA428,'DATABASE F&amp;B'!$C$3:$F$216,4,0)</f>
        <v>0</v>
      </c>
      <c r="BE428" s="19">
        <f t="shared" si="364"/>
        <v>0</v>
      </c>
      <c r="BF428" s="16"/>
      <c r="BG428" s="17">
        <f>VLOOKUP(BF428,'DATABASE F&amp;B'!$C$3:$F$216,2,0)</f>
        <v>0</v>
      </c>
      <c r="BH428" s="18"/>
      <c r="BI428" s="19">
        <f>VLOOKUP(BF428,'DATABASE F&amp;B'!$C$3:$F$216,4,0)</f>
        <v>0</v>
      </c>
      <c r="BJ428" s="19">
        <f t="shared" si="365"/>
        <v>0</v>
      </c>
      <c r="BK428" s="16"/>
      <c r="BL428" s="17">
        <f>VLOOKUP(BK428,'DATABASE F&amp;B'!$C$3:$F$210,2,0)</f>
        <v>0</v>
      </c>
      <c r="BM428" s="18"/>
      <c r="BN428" s="19">
        <f>VLOOKUP(BK428,'DATABASE F&amp;B'!$C$3:$F$210,4,0)</f>
        <v>0</v>
      </c>
      <c r="BO428" s="19">
        <f t="shared" si="366"/>
        <v>0</v>
      </c>
      <c r="BP428" s="16"/>
      <c r="BQ428" s="17">
        <f>VLOOKUP(BP428,'DATABASE F&amp;B'!$C$3:$F$210,2,0)</f>
        <v>0</v>
      </c>
      <c r="BR428" s="18"/>
      <c r="BS428" s="19">
        <f>VLOOKUP(BP428,'DATABASE F&amp;B'!$C$3:$F$210,4,0)</f>
        <v>0</v>
      </c>
      <c r="BT428" s="19">
        <f t="shared" si="367"/>
        <v>0</v>
      </c>
      <c r="BU428" s="16"/>
      <c r="BV428" s="17">
        <f>VLOOKUP(BU428,'DATABASE F&amp;B'!$C$3:$F$210,2,0)</f>
        <v>0</v>
      </c>
      <c r="BW428" s="18"/>
      <c r="BX428" s="19">
        <f>VLOOKUP(BU428,'DATABASE F&amp;B'!$C$3:$F$210,4,0)</f>
        <v>0</v>
      </c>
      <c r="BY428" s="19">
        <f t="shared" si="368"/>
        <v>0</v>
      </c>
      <c r="BZ428" s="16"/>
      <c r="CA428" s="17">
        <f>VLOOKUP(BZ428,'DATABASE F&amp;B'!$C$3:$F$210,2,0)</f>
        <v>0</v>
      </c>
      <c r="CB428" s="18"/>
      <c r="CC428" s="19">
        <f>VLOOKUP(BZ428,'DATABASE F&amp;B'!$C$3:$F$210,4,0)</f>
        <v>0</v>
      </c>
      <c r="CD428" s="19">
        <f t="shared" si="369"/>
        <v>0</v>
      </c>
    </row>
    <row r="429" spans="1:82" ht="13.5" x14ac:dyDescent="0.25">
      <c r="A429" s="32" t="str">
        <f t="shared" si="349"/>
        <v>--20</v>
      </c>
      <c r="B429" s="22">
        <f t="shared" ref="B429:C429" si="413">B428+1</f>
        <v>425</v>
      </c>
      <c r="C429" s="22">
        <f t="shared" si="413"/>
        <v>425</v>
      </c>
      <c r="D429" s="34"/>
      <c r="E429" s="35"/>
      <c r="F429" s="35"/>
      <c r="G429" s="52"/>
      <c r="H429" s="36" t="str">
        <f t="shared" si="374"/>
        <v>RJ--425</v>
      </c>
      <c r="I429" s="36" t="str">
        <f t="shared" si="351"/>
        <v>--20</v>
      </c>
      <c r="J429" s="37" t="e">
        <f>VLOOKUP(D429,Laporan!$C$4:$D$34,2,0)</f>
        <v>#N/A</v>
      </c>
      <c r="K429" s="48"/>
      <c r="L429" s="13"/>
      <c r="M429" s="19">
        <f>SUMIF('DATABASE Room'!$B$3:$B$7,L429,'DATABASE Room'!$D$3:$D$7)</f>
        <v>0</v>
      </c>
      <c r="N429" s="13"/>
      <c r="O429" s="21">
        <f t="shared" si="352"/>
        <v>0</v>
      </c>
      <c r="P429" s="38"/>
      <c r="Q429" s="19">
        <f t="shared" si="353"/>
        <v>0</v>
      </c>
      <c r="R429" s="21">
        <f t="shared" si="354"/>
        <v>0</v>
      </c>
      <c r="S429" s="19">
        <f t="shared" si="355"/>
        <v>2</v>
      </c>
      <c r="T429" s="19">
        <f t="shared" si="356"/>
        <v>0</v>
      </c>
      <c r="U429" s="21">
        <f t="shared" si="357"/>
        <v>0</v>
      </c>
      <c r="V429" s="39"/>
      <c r="W429" s="16"/>
      <c r="X429" s="17">
        <f>VLOOKUP(W429,'DATABASE F&amp;B'!$C$3:$F$216,2,0)</f>
        <v>0</v>
      </c>
      <c r="Y429" s="18"/>
      <c r="Z429" s="19">
        <f>VLOOKUP(W429,'DATABASE F&amp;B'!$C$3:$F$216,4,0)</f>
        <v>0</v>
      </c>
      <c r="AA429" s="19">
        <f t="shared" si="358"/>
        <v>0</v>
      </c>
      <c r="AB429" s="16"/>
      <c r="AC429" s="17">
        <f>VLOOKUP(AB429,'DATABASE F&amp;B'!$C$3:$F$216,2,0)</f>
        <v>0</v>
      </c>
      <c r="AD429" s="18"/>
      <c r="AE429" s="19">
        <f>VLOOKUP(AB429,'DATABASE F&amp;B'!$C$3:$F$216,4,0)</f>
        <v>0</v>
      </c>
      <c r="AF429" s="19">
        <f t="shared" si="359"/>
        <v>0</v>
      </c>
      <c r="AG429" s="16"/>
      <c r="AH429" s="17">
        <f>VLOOKUP(AG429,'DATABASE F&amp;B'!$C$3:$F$216,2,0)</f>
        <v>0</v>
      </c>
      <c r="AI429" s="18"/>
      <c r="AJ429" s="19">
        <f>VLOOKUP(AG429,'DATABASE F&amp;B'!$C$3:$F$216,4,0)</f>
        <v>0</v>
      </c>
      <c r="AK429" s="19">
        <f t="shared" si="360"/>
        <v>0</v>
      </c>
      <c r="AL429" s="16"/>
      <c r="AM429" s="17">
        <f>VLOOKUP(AL429,'DATABASE F&amp;B'!$C$3:$F$216,2,0)</f>
        <v>0</v>
      </c>
      <c r="AN429" s="18">
        <v>1</v>
      </c>
      <c r="AO429" s="19">
        <f>VLOOKUP(AL429,'DATABASE F&amp;B'!$C$3:$F$216,4,0)</f>
        <v>0</v>
      </c>
      <c r="AP429" s="19">
        <f t="shared" si="361"/>
        <v>0</v>
      </c>
      <c r="AQ429" s="16"/>
      <c r="AR429" s="17">
        <f>VLOOKUP(AQ429,'DATABASE F&amp;B'!$C$3:$F$216,2,0)</f>
        <v>0</v>
      </c>
      <c r="AS429" s="18">
        <v>1</v>
      </c>
      <c r="AT429" s="19">
        <f>VLOOKUP(AQ429,'DATABASE F&amp;B'!$C$3:$F$216,4,0)</f>
        <v>0</v>
      </c>
      <c r="AU429" s="19">
        <f t="shared" si="362"/>
        <v>0</v>
      </c>
      <c r="AV429" s="16"/>
      <c r="AW429" s="17">
        <f>VLOOKUP(AV429,'DATABASE F&amp;B'!$C$3:$F$216,2,0)</f>
        <v>0</v>
      </c>
      <c r="AX429" s="18"/>
      <c r="AY429" s="19">
        <f>VLOOKUP(AV429,'DATABASE F&amp;B'!$C$3:$F$216,4,0)</f>
        <v>0</v>
      </c>
      <c r="AZ429" s="19">
        <f t="shared" si="363"/>
        <v>0</v>
      </c>
      <c r="BA429" s="16"/>
      <c r="BB429" s="17">
        <f>VLOOKUP(BA429,'DATABASE F&amp;B'!$C$3:$F$216,2,0)</f>
        <v>0</v>
      </c>
      <c r="BC429" s="18"/>
      <c r="BD429" s="19">
        <f>VLOOKUP(BA429,'DATABASE F&amp;B'!$C$3:$F$216,4,0)</f>
        <v>0</v>
      </c>
      <c r="BE429" s="19">
        <f t="shared" si="364"/>
        <v>0</v>
      </c>
      <c r="BF429" s="16"/>
      <c r="BG429" s="17">
        <f>VLOOKUP(BF429,'DATABASE F&amp;B'!$C$3:$F$216,2,0)</f>
        <v>0</v>
      </c>
      <c r="BH429" s="18"/>
      <c r="BI429" s="19">
        <f>VLOOKUP(BF429,'DATABASE F&amp;B'!$C$3:$F$216,4,0)</f>
        <v>0</v>
      </c>
      <c r="BJ429" s="19">
        <f t="shared" si="365"/>
        <v>0</v>
      </c>
      <c r="BK429" s="16"/>
      <c r="BL429" s="17">
        <f>VLOOKUP(BK429,'DATABASE F&amp;B'!$C$3:$F$210,2,0)</f>
        <v>0</v>
      </c>
      <c r="BM429" s="18"/>
      <c r="BN429" s="19">
        <f>VLOOKUP(BK429,'DATABASE F&amp;B'!$C$3:$F$210,4,0)</f>
        <v>0</v>
      </c>
      <c r="BO429" s="19">
        <f t="shared" si="366"/>
        <v>0</v>
      </c>
      <c r="BP429" s="16"/>
      <c r="BQ429" s="17">
        <f>VLOOKUP(BP429,'DATABASE F&amp;B'!$C$3:$F$210,2,0)</f>
        <v>0</v>
      </c>
      <c r="BR429" s="18"/>
      <c r="BS429" s="19">
        <f>VLOOKUP(BP429,'DATABASE F&amp;B'!$C$3:$F$210,4,0)</f>
        <v>0</v>
      </c>
      <c r="BT429" s="19">
        <f t="shared" si="367"/>
        <v>0</v>
      </c>
      <c r="BU429" s="16"/>
      <c r="BV429" s="17">
        <f>VLOOKUP(BU429,'DATABASE F&amp;B'!$C$3:$F$210,2,0)</f>
        <v>0</v>
      </c>
      <c r="BW429" s="18"/>
      <c r="BX429" s="19">
        <f>VLOOKUP(BU429,'DATABASE F&amp;B'!$C$3:$F$210,4,0)</f>
        <v>0</v>
      </c>
      <c r="BY429" s="19">
        <f t="shared" si="368"/>
        <v>0</v>
      </c>
      <c r="BZ429" s="16"/>
      <c r="CA429" s="17">
        <f>VLOOKUP(BZ429,'DATABASE F&amp;B'!$C$3:$F$210,2,0)</f>
        <v>0</v>
      </c>
      <c r="CB429" s="18"/>
      <c r="CC429" s="19">
        <f>VLOOKUP(BZ429,'DATABASE F&amp;B'!$C$3:$F$210,4,0)</f>
        <v>0</v>
      </c>
      <c r="CD429" s="19">
        <f t="shared" si="369"/>
        <v>0</v>
      </c>
    </row>
    <row r="430" spans="1:82" ht="13.5" x14ac:dyDescent="0.25">
      <c r="A430" s="32" t="str">
        <f t="shared" si="349"/>
        <v>--20</v>
      </c>
      <c r="B430" s="22">
        <f t="shared" ref="B430:C430" si="414">B429+1</f>
        <v>426</v>
      </c>
      <c r="C430" s="22">
        <f t="shared" si="414"/>
        <v>426</v>
      </c>
      <c r="D430" s="34"/>
      <c r="E430" s="35"/>
      <c r="F430" s="35"/>
      <c r="G430" s="52"/>
      <c r="H430" s="36" t="str">
        <f t="shared" si="374"/>
        <v>RJ--426</v>
      </c>
      <c r="I430" s="36" t="str">
        <f t="shared" si="351"/>
        <v>--20</v>
      </c>
      <c r="J430" s="37" t="e">
        <f>VLOOKUP(D430,Laporan!$C$4:$D$34,2,0)</f>
        <v>#N/A</v>
      </c>
      <c r="K430" s="48"/>
      <c r="L430" s="13"/>
      <c r="M430" s="19">
        <f>SUMIF('DATABASE Room'!$B$3:$B$7,L430,'DATABASE Room'!$D$3:$D$7)</f>
        <v>0</v>
      </c>
      <c r="N430" s="13"/>
      <c r="O430" s="21">
        <f t="shared" si="352"/>
        <v>0</v>
      </c>
      <c r="P430" s="38"/>
      <c r="Q430" s="19">
        <f t="shared" si="353"/>
        <v>0</v>
      </c>
      <c r="R430" s="21">
        <f t="shared" si="354"/>
        <v>0</v>
      </c>
      <c r="S430" s="19">
        <f t="shared" si="355"/>
        <v>2</v>
      </c>
      <c r="T430" s="19">
        <f t="shared" si="356"/>
        <v>0</v>
      </c>
      <c r="U430" s="21">
        <f t="shared" si="357"/>
        <v>0</v>
      </c>
      <c r="V430" s="39"/>
      <c r="W430" s="16"/>
      <c r="X430" s="17">
        <f>VLOOKUP(W430,'DATABASE F&amp;B'!$C$3:$F$216,2,0)</f>
        <v>0</v>
      </c>
      <c r="Y430" s="18"/>
      <c r="Z430" s="19">
        <f>VLOOKUP(W430,'DATABASE F&amp;B'!$C$3:$F$216,4,0)</f>
        <v>0</v>
      </c>
      <c r="AA430" s="19">
        <f t="shared" si="358"/>
        <v>0</v>
      </c>
      <c r="AB430" s="16"/>
      <c r="AC430" s="17">
        <f>VLOOKUP(AB430,'DATABASE F&amp;B'!$C$3:$F$216,2,0)</f>
        <v>0</v>
      </c>
      <c r="AD430" s="18"/>
      <c r="AE430" s="19">
        <f>VLOOKUP(AB430,'DATABASE F&amp;B'!$C$3:$F$216,4,0)</f>
        <v>0</v>
      </c>
      <c r="AF430" s="19">
        <f t="shared" si="359"/>
        <v>0</v>
      </c>
      <c r="AG430" s="16"/>
      <c r="AH430" s="17">
        <f>VLOOKUP(AG430,'DATABASE F&amp;B'!$C$3:$F$216,2,0)</f>
        <v>0</v>
      </c>
      <c r="AI430" s="18"/>
      <c r="AJ430" s="19">
        <f>VLOOKUP(AG430,'DATABASE F&amp;B'!$C$3:$F$216,4,0)</f>
        <v>0</v>
      </c>
      <c r="AK430" s="19">
        <f t="shared" si="360"/>
        <v>0</v>
      </c>
      <c r="AL430" s="16"/>
      <c r="AM430" s="17">
        <f>VLOOKUP(AL430,'DATABASE F&amp;B'!$C$3:$F$216,2,0)</f>
        <v>0</v>
      </c>
      <c r="AN430" s="18">
        <v>1</v>
      </c>
      <c r="AO430" s="19">
        <f>VLOOKUP(AL430,'DATABASE F&amp;B'!$C$3:$F$216,4,0)</f>
        <v>0</v>
      </c>
      <c r="AP430" s="19">
        <f t="shared" si="361"/>
        <v>0</v>
      </c>
      <c r="AQ430" s="16"/>
      <c r="AR430" s="17">
        <f>VLOOKUP(AQ430,'DATABASE F&amp;B'!$C$3:$F$216,2,0)</f>
        <v>0</v>
      </c>
      <c r="AS430" s="18">
        <v>1</v>
      </c>
      <c r="AT430" s="19">
        <f>VLOOKUP(AQ430,'DATABASE F&amp;B'!$C$3:$F$216,4,0)</f>
        <v>0</v>
      </c>
      <c r="AU430" s="19">
        <f t="shared" si="362"/>
        <v>0</v>
      </c>
      <c r="AV430" s="16"/>
      <c r="AW430" s="17">
        <f>VLOOKUP(AV430,'DATABASE F&amp;B'!$C$3:$F$216,2,0)</f>
        <v>0</v>
      </c>
      <c r="AX430" s="18"/>
      <c r="AY430" s="19">
        <f>VLOOKUP(AV430,'DATABASE F&amp;B'!$C$3:$F$216,4,0)</f>
        <v>0</v>
      </c>
      <c r="AZ430" s="19">
        <f t="shared" si="363"/>
        <v>0</v>
      </c>
      <c r="BA430" s="16"/>
      <c r="BB430" s="17">
        <f>VLOOKUP(BA430,'DATABASE F&amp;B'!$C$3:$F$216,2,0)</f>
        <v>0</v>
      </c>
      <c r="BC430" s="18"/>
      <c r="BD430" s="19">
        <f>VLOOKUP(BA430,'DATABASE F&amp;B'!$C$3:$F$216,4,0)</f>
        <v>0</v>
      </c>
      <c r="BE430" s="19">
        <f t="shared" si="364"/>
        <v>0</v>
      </c>
      <c r="BF430" s="16"/>
      <c r="BG430" s="17">
        <f>VLOOKUP(BF430,'DATABASE F&amp;B'!$C$3:$F$216,2,0)</f>
        <v>0</v>
      </c>
      <c r="BH430" s="18"/>
      <c r="BI430" s="19">
        <f>VLOOKUP(BF430,'DATABASE F&amp;B'!$C$3:$F$216,4,0)</f>
        <v>0</v>
      </c>
      <c r="BJ430" s="19">
        <f t="shared" si="365"/>
        <v>0</v>
      </c>
      <c r="BK430" s="16"/>
      <c r="BL430" s="17">
        <f>VLOOKUP(BK430,'DATABASE F&amp;B'!$C$3:$F$210,2,0)</f>
        <v>0</v>
      </c>
      <c r="BM430" s="18"/>
      <c r="BN430" s="19">
        <f>VLOOKUP(BK430,'DATABASE F&amp;B'!$C$3:$F$210,4,0)</f>
        <v>0</v>
      </c>
      <c r="BO430" s="19">
        <f t="shared" si="366"/>
        <v>0</v>
      </c>
      <c r="BP430" s="16"/>
      <c r="BQ430" s="17">
        <f>VLOOKUP(BP430,'DATABASE F&amp;B'!$C$3:$F$210,2,0)</f>
        <v>0</v>
      </c>
      <c r="BR430" s="18"/>
      <c r="BS430" s="19">
        <f>VLOOKUP(BP430,'DATABASE F&amp;B'!$C$3:$F$210,4,0)</f>
        <v>0</v>
      </c>
      <c r="BT430" s="19">
        <f t="shared" si="367"/>
        <v>0</v>
      </c>
      <c r="BU430" s="16"/>
      <c r="BV430" s="17">
        <f>VLOOKUP(BU430,'DATABASE F&amp;B'!$C$3:$F$210,2,0)</f>
        <v>0</v>
      </c>
      <c r="BW430" s="18"/>
      <c r="BX430" s="19">
        <f>VLOOKUP(BU430,'DATABASE F&amp;B'!$C$3:$F$210,4,0)</f>
        <v>0</v>
      </c>
      <c r="BY430" s="19">
        <f t="shared" si="368"/>
        <v>0</v>
      </c>
      <c r="BZ430" s="16"/>
      <c r="CA430" s="17">
        <f>VLOOKUP(BZ430,'DATABASE F&amp;B'!$C$3:$F$210,2,0)</f>
        <v>0</v>
      </c>
      <c r="CB430" s="18"/>
      <c r="CC430" s="19">
        <f>VLOOKUP(BZ430,'DATABASE F&amp;B'!$C$3:$F$210,4,0)</f>
        <v>0</v>
      </c>
      <c r="CD430" s="19">
        <f t="shared" si="369"/>
        <v>0</v>
      </c>
    </row>
    <row r="431" spans="1:82" ht="13.5" x14ac:dyDescent="0.25">
      <c r="A431" s="32" t="str">
        <f t="shared" si="349"/>
        <v>--20</v>
      </c>
      <c r="B431" s="22">
        <f t="shared" ref="B431:C431" si="415">B430+1</f>
        <v>427</v>
      </c>
      <c r="C431" s="22">
        <f t="shared" si="415"/>
        <v>427</v>
      </c>
      <c r="D431" s="34"/>
      <c r="E431" s="35"/>
      <c r="F431" s="35"/>
      <c r="G431" s="52"/>
      <c r="H431" s="36" t="str">
        <f t="shared" si="374"/>
        <v>RJ--427</v>
      </c>
      <c r="I431" s="36" t="str">
        <f t="shared" si="351"/>
        <v>--20</v>
      </c>
      <c r="J431" s="37" t="e">
        <f>VLOOKUP(D431,Laporan!$C$4:$D$34,2,0)</f>
        <v>#N/A</v>
      </c>
      <c r="K431" s="48"/>
      <c r="L431" s="13"/>
      <c r="M431" s="19">
        <f>SUMIF('DATABASE Room'!$B$3:$B$7,L431,'DATABASE Room'!$D$3:$D$7)</f>
        <v>0</v>
      </c>
      <c r="N431" s="13"/>
      <c r="O431" s="21">
        <f t="shared" si="352"/>
        <v>0</v>
      </c>
      <c r="P431" s="38"/>
      <c r="Q431" s="19">
        <f t="shared" si="353"/>
        <v>0</v>
      </c>
      <c r="R431" s="21">
        <f t="shared" si="354"/>
        <v>0</v>
      </c>
      <c r="S431" s="19">
        <f t="shared" si="355"/>
        <v>2</v>
      </c>
      <c r="T431" s="19">
        <f t="shared" si="356"/>
        <v>0</v>
      </c>
      <c r="U431" s="21">
        <f t="shared" si="357"/>
        <v>0</v>
      </c>
      <c r="V431" s="39"/>
      <c r="W431" s="16"/>
      <c r="X431" s="17">
        <f>VLOOKUP(W431,'DATABASE F&amp;B'!$C$3:$F$216,2,0)</f>
        <v>0</v>
      </c>
      <c r="Y431" s="18"/>
      <c r="Z431" s="19">
        <f>VLOOKUP(W431,'DATABASE F&amp;B'!$C$3:$F$216,4,0)</f>
        <v>0</v>
      </c>
      <c r="AA431" s="19">
        <f t="shared" si="358"/>
        <v>0</v>
      </c>
      <c r="AB431" s="16"/>
      <c r="AC431" s="17">
        <f>VLOOKUP(AB431,'DATABASE F&amp;B'!$C$3:$F$216,2,0)</f>
        <v>0</v>
      </c>
      <c r="AD431" s="18"/>
      <c r="AE431" s="19">
        <f>VLOOKUP(AB431,'DATABASE F&amp;B'!$C$3:$F$216,4,0)</f>
        <v>0</v>
      </c>
      <c r="AF431" s="19">
        <f t="shared" si="359"/>
        <v>0</v>
      </c>
      <c r="AG431" s="16"/>
      <c r="AH431" s="17">
        <f>VLOOKUP(AG431,'DATABASE F&amp;B'!$C$3:$F$216,2,0)</f>
        <v>0</v>
      </c>
      <c r="AI431" s="18"/>
      <c r="AJ431" s="19">
        <f>VLOOKUP(AG431,'DATABASE F&amp;B'!$C$3:$F$216,4,0)</f>
        <v>0</v>
      </c>
      <c r="AK431" s="19">
        <f t="shared" si="360"/>
        <v>0</v>
      </c>
      <c r="AL431" s="16"/>
      <c r="AM431" s="17">
        <f>VLOOKUP(AL431,'DATABASE F&amp;B'!$C$3:$F$216,2,0)</f>
        <v>0</v>
      </c>
      <c r="AN431" s="18">
        <v>1</v>
      </c>
      <c r="AO431" s="19">
        <f>VLOOKUP(AL431,'DATABASE F&amp;B'!$C$3:$F$216,4,0)</f>
        <v>0</v>
      </c>
      <c r="AP431" s="19">
        <f t="shared" si="361"/>
        <v>0</v>
      </c>
      <c r="AQ431" s="16"/>
      <c r="AR431" s="17">
        <f>VLOOKUP(AQ431,'DATABASE F&amp;B'!$C$3:$F$216,2,0)</f>
        <v>0</v>
      </c>
      <c r="AS431" s="18">
        <v>1</v>
      </c>
      <c r="AT431" s="19">
        <f>VLOOKUP(AQ431,'DATABASE F&amp;B'!$C$3:$F$216,4,0)</f>
        <v>0</v>
      </c>
      <c r="AU431" s="19">
        <f t="shared" si="362"/>
        <v>0</v>
      </c>
      <c r="AV431" s="16"/>
      <c r="AW431" s="17">
        <f>VLOOKUP(AV431,'DATABASE F&amp;B'!$C$3:$F$216,2,0)</f>
        <v>0</v>
      </c>
      <c r="AX431" s="18"/>
      <c r="AY431" s="19">
        <f>VLOOKUP(AV431,'DATABASE F&amp;B'!$C$3:$F$216,4,0)</f>
        <v>0</v>
      </c>
      <c r="AZ431" s="19">
        <f t="shared" si="363"/>
        <v>0</v>
      </c>
      <c r="BA431" s="16"/>
      <c r="BB431" s="17">
        <f>VLOOKUP(BA431,'DATABASE F&amp;B'!$C$3:$F$216,2,0)</f>
        <v>0</v>
      </c>
      <c r="BC431" s="18"/>
      <c r="BD431" s="19">
        <f>VLOOKUP(BA431,'DATABASE F&amp;B'!$C$3:$F$216,4,0)</f>
        <v>0</v>
      </c>
      <c r="BE431" s="19">
        <f t="shared" si="364"/>
        <v>0</v>
      </c>
      <c r="BF431" s="16"/>
      <c r="BG431" s="17">
        <f>VLOOKUP(BF431,'DATABASE F&amp;B'!$C$3:$F$216,2,0)</f>
        <v>0</v>
      </c>
      <c r="BH431" s="18"/>
      <c r="BI431" s="19">
        <f>VLOOKUP(BF431,'DATABASE F&amp;B'!$C$3:$F$216,4,0)</f>
        <v>0</v>
      </c>
      <c r="BJ431" s="19">
        <f t="shared" si="365"/>
        <v>0</v>
      </c>
      <c r="BK431" s="16"/>
      <c r="BL431" s="17">
        <f>VLOOKUP(BK431,'DATABASE F&amp;B'!$C$3:$F$210,2,0)</f>
        <v>0</v>
      </c>
      <c r="BM431" s="18"/>
      <c r="BN431" s="19">
        <f>VLOOKUP(BK431,'DATABASE F&amp;B'!$C$3:$F$210,4,0)</f>
        <v>0</v>
      </c>
      <c r="BO431" s="19">
        <f t="shared" si="366"/>
        <v>0</v>
      </c>
      <c r="BP431" s="16"/>
      <c r="BQ431" s="17">
        <f>VLOOKUP(BP431,'DATABASE F&amp;B'!$C$3:$F$210,2,0)</f>
        <v>0</v>
      </c>
      <c r="BR431" s="18"/>
      <c r="BS431" s="19">
        <f>VLOOKUP(BP431,'DATABASE F&amp;B'!$C$3:$F$210,4,0)</f>
        <v>0</v>
      </c>
      <c r="BT431" s="19">
        <f t="shared" si="367"/>
        <v>0</v>
      </c>
      <c r="BU431" s="16"/>
      <c r="BV431" s="17">
        <f>VLOOKUP(BU431,'DATABASE F&amp;B'!$C$3:$F$210,2,0)</f>
        <v>0</v>
      </c>
      <c r="BW431" s="18"/>
      <c r="BX431" s="19">
        <f>VLOOKUP(BU431,'DATABASE F&amp;B'!$C$3:$F$210,4,0)</f>
        <v>0</v>
      </c>
      <c r="BY431" s="19">
        <f t="shared" si="368"/>
        <v>0</v>
      </c>
      <c r="BZ431" s="16"/>
      <c r="CA431" s="17">
        <f>VLOOKUP(BZ431,'DATABASE F&amp;B'!$C$3:$F$210,2,0)</f>
        <v>0</v>
      </c>
      <c r="CB431" s="18"/>
      <c r="CC431" s="19">
        <f>VLOOKUP(BZ431,'DATABASE F&amp;B'!$C$3:$F$210,4,0)</f>
        <v>0</v>
      </c>
      <c r="CD431" s="19">
        <f t="shared" si="369"/>
        <v>0</v>
      </c>
    </row>
    <row r="432" spans="1:82" ht="13.5" x14ac:dyDescent="0.25">
      <c r="A432" s="32" t="str">
        <f t="shared" si="349"/>
        <v>--20</v>
      </c>
      <c r="B432" s="22">
        <f t="shared" ref="B432:C432" si="416">B431+1</f>
        <v>428</v>
      </c>
      <c r="C432" s="22">
        <f t="shared" si="416"/>
        <v>428</v>
      </c>
      <c r="D432" s="34"/>
      <c r="E432" s="35"/>
      <c r="F432" s="35"/>
      <c r="G432" s="52"/>
      <c r="H432" s="36" t="str">
        <f t="shared" si="374"/>
        <v>RJ--428</v>
      </c>
      <c r="I432" s="36" t="str">
        <f t="shared" si="351"/>
        <v>--20</v>
      </c>
      <c r="J432" s="37" t="e">
        <f>VLOOKUP(D432,Laporan!$C$4:$D$34,2,0)</f>
        <v>#N/A</v>
      </c>
      <c r="K432" s="48"/>
      <c r="L432" s="13"/>
      <c r="M432" s="19">
        <f>SUMIF('DATABASE Room'!$B$3:$B$7,L432,'DATABASE Room'!$D$3:$D$7)</f>
        <v>0</v>
      </c>
      <c r="N432" s="13"/>
      <c r="O432" s="21">
        <f t="shared" si="352"/>
        <v>0</v>
      </c>
      <c r="P432" s="38"/>
      <c r="Q432" s="19">
        <f t="shared" si="353"/>
        <v>0</v>
      </c>
      <c r="R432" s="21">
        <f t="shared" si="354"/>
        <v>0</v>
      </c>
      <c r="S432" s="19">
        <f t="shared" si="355"/>
        <v>2</v>
      </c>
      <c r="T432" s="19">
        <f t="shared" si="356"/>
        <v>0</v>
      </c>
      <c r="U432" s="21">
        <f t="shared" si="357"/>
        <v>0</v>
      </c>
      <c r="V432" s="39"/>
      <c r="W432" s="16"/>
      <c r="X432" s="17">
        <f>VLOOKUP(W432,'DATABASE F&amp;B'!$C$3:$F$216,2,0)</f>
        <v>0</v>
      </c>
      <c r="Y432" s="18"/>
      <c r="Z432" s="19">
        <f>VLOOKUP(W432,'DATABASE F&amp;B'!$C$3:$F$216,4,0)</f>
        <v>0</v>
      </c>
      <c r="AA432" s="19">
        <f t="shared" si="358"/>
        <v>0</v>
      </c>
      <c r="AB432" s="16"/>
      <c r="AC432" s="17">
        <f>VLOOKUP(AB432,'DATABASE F&amp;B'!$C$3:$F$216,2,0)</f>
        <v>0</v>
      </c>
      <c r="AD432" s="18"/>
      <c r="AE432" s="19">
        <f>VLOOKUP(AB432,'DATABASE F&amp;B'!$C$3:$F$216,4,0)</f>
        <v>0</v>
      </c>
      <c r="AF432" s="19">
        <f t="shared" si="359"/>
        <v>0</v>
      </c>
      <c r="AG432" s="16"/>
      <c r="AH432" s="17">
        <f>VLOOKUP(AG432,'DATABASE F&amp;B'!$C$3:$F$216,2,0)</f>
        <v>0</v>
      </c>
      <c r="AI432" s="18"/>
      <c r="AJ432" s="19">
        <f>VLOOKUP(AG432,'DATABASE F&amp;B'!$C$3:$F$216,4,0)</f>
        <v>0</v>
      </c>
      <c r="AK432" s="19">
        <f t="shared" si="360"/>
        <v>0</v>
      </c>
      <c r="AL432" s="16"/>
      <c r="AM432" s="17">
        <f>VLOOKUP(AL432,'DATABASE F&amp;B'!$C$3:$F$216,2,0)</f>
        <v>0</v>
      </c>
      <c r="AN432" s="18">
        <v>1</v>
      </c>
      <c r="AO432" s="19">
        <f>VLOOKUP(AL432,'DATABASE F&amp;B'!$C$3:$F$216,4,0)</f>
        <v>0</v>
      </c>
      <c r="AP432" s="19">
        <f t="shared" si="361"/>
        <v>0</v>
      </c>
      <c r="AQ432" s="16"/>
      <c r="AR432" s="17">
        <f>VLOOKUP(AQ432,'DATABASE F&amp;B'!$C$3:$F$216,2,0)</f>
        <v>0</v>
      </c>
      <c r="AS432" s="18">
        <v>1</v>
      </c>
      <c r="AT432" s="19">
        <f>VLOOKUP(AQ432,'DATABASE F&amp;B'!$C$3:$F$216,4,0)</f>
        <v>0</v>
      </c>
      <c r="AU432" s="19">
        <f t="shared" si="362"/>
        <v>0</v>
      </c>
      <c r="AV432" s="16"/>
      <c r="AW432" s="17">
        <f>VLOOKUP(AV432,'DATABASE F&amp;B'!$C$3:$F$216,2,0)</f>
        <v>0</v>
      </c>
      <c r="AX432" s="18"/>
      <c r="AY432" s="19">
        <f>VLOOKUP(AV432,'DATABASE F&amp;B'!$C$3:$F$216,4,0)</f>
        <v>0</v>
      </c>
      <c r="AZ432" s="19">
        <f t="shared" si="363"/>
        <v>0</v>
      </c>
      <c r="BA432" s="16"/>
      <c r="BB432" s="17">
        <f>VLOOKUP(BA432,'DATABASE F&amp;B'!$C$3:$F$216,2,0)</f>
        <v>0</v>
      </c>
      <c r="BC432" s="18"/>
      <c r="BD432" s="19">
        <f>VLOOKUP(BA432,'DATABASE F&amp;B'!$C$3:$F$216,4,0)</f>
        <v>0</v>
      </c>
      <c r="BE432" s="19">
        <f t="shared" si="364"/>
        <v>0</v>
      </c>
      <c r="BF432" s="16"/>
      <c r="BG432" s="17">
        <f>VLOOKUP(BF432,'DATABASE F&amp;B'!$C$3:$F$216,2,0)</f>
        <v>0</v>
      </c>
      <c r="BH432" s="18"/>
      <c r="BI432" s="19">
        <f>VLOOKUP(BF432,'DATABASE F&amp;B'!$C$3:$F$216,4,0)</f>
        <v>0</v>
      </c>
      <c r="BJ432" s="19">
        <f t="shared" si="365"/>
        <v>0</v>
      </c>
      <c r="BK432" s="16"/>
      <c r="BL432" s="17">
        <f>VLOOKUP(BK432,'DATABASE F&amp;B'!$C$3:$F$210,2,0)</f>
        <v>0</v>
      </c>
      <c r="BM432" s="18"/>
      <c r="BN432" s="19">
        <f>VLOOKUP(BK432,'DATABASE F&amp;B'!$C$3:$F$210,4,0)</f>
        <v>0</v>
      </c>
      <c r="BO432" s="19">
        <f t="shared" si="366"/>
        <v>0</v>
      </c>
      <c r="BP432" s="16"/>
      <c r="BQ432" s="17">
        <f>VLOOKUP(BP432,'DATABASE F&amp;B'!$C$3:$F$210,2,0)</f>
        <v>0</v>
      </c>
      <c r="BR432" s="18"/>
      <c r="BS432" s="19">
        <f>VLOOKUP(BP432,'DATABASE F&amp;B'!$C$3:$F$210,4,0)</f>
        <v>0</v>
      </c>
      <c r="BT432" s="19">
        <f t="shared" si="367"/>
        <v>0</v>
      </c>
      <c r="BU432" s="16"/>
      <c r="BV432" s="17">
        <f>VLOOKUP(BU432,'DATABASE F&amp;B'!$C$3:$F$210,2,0)</f>
        <v>0</v>
      </c>
      <c r="BW432" s="18"/>
      <c r="BX432" s="19">
        <f>VLOOKUP(BU432,'DATABASE F&amp;B'!$C$3:$F$210,4,0)</f>
        <v>0</v>
      </c>
      <c r="BY432" s="19">
        <f t="shared" si="368"/>
        <v>0</v>
      </c>
      <c r="BZ432" s="16"/>
      <c r="CA432" s="17">
        <f>VLOOKUP(BZ432,'DATABASE F&amp;B'!$C$3:$F$210,2,0)</f>
        <v>0</v>
      </c>
      <c r="CB432" s="18"/>
      <c r="CC432" s="19">
        <f>VLOOKUP(BZ432,'DATABASE F&amp;B'!$C$3:$F$210,4,0)</f>
        <v>0</v>
      </c>
      <c r="CD432" s="19">
        <f t="shared" si="369"/>
        <v>0</v>
      </c>
    </row>
    <row r="433" spans="1:82" ht="13.5" x14ac:dyDescent="0.25">
      <c r="A433" s="32" t="str">
        <f t="shared" si="349"/>
        <v>--20</v>
      </c>
      <c r="B433" s="22">
        <f t="shared" ref="B433:C433" si="417">B432+1</f>
        <v>429</v>
      </c>
      <c r="C433" s="22">
        <f t="shared" si="417"/>
        <v>429</v>
      </c>
      <c r="D433" s="34"/>
      <c r="E433" s="35"/>
      <c r="F433" s="35"/>
      <c r="G433" s="52"/>
      <c r="H433" s="36" t="str">
        <f t="shared" si="374"/>
        <v>RJ--429</v>
      </c>
      <c r="I433" s="36" t="str">
        <f t="shared" si="351"/>
        <v>--20</v>
      </c>
      <c r="J433" s="37" t="e">
        <f>VLOOKUP(D433,Laporan!$C$4:$D$34,2,0)</f>
        <v>#N/A</v>
      </c>
      <c r="K433" s="48"/>
      <c r="L433" s="13"/>
      <c r="M433" s="19">
        <f>SUMIF('DATABASE Room'!$B$3:$B$7,L433,'DATABASE Room'!$D$3:$D$7)</f>
        <v>0</v>
      </c>
      <c r="N433" s="13"/>
      <c r="O433" s="21">
        <f t="shared" si="352"/>
        <v>0</v>
      </c>
      <c r="P433" s="38"/>
      <c r="Q433" s="19">
        <f t="shared" si="353"/>
        <v>0</v>
      </c>
      <c r="R433" s="21">
        <f t="shared" si="354"/>
        <v>0</v>
      </c>
      <c r="S433" s="19">
        <f t="shared" si="355"/>
        <v>2</v>
      </c>
      <c r="T433" s="19">
        <f t="shared" si="356"/>
        <v>0</v>
      </c>
      <c r="U433" s="21">
        <f t="shared" si="357"/>
        <v>0</v>
      </c>
      <c r="V433" s="39"/>
      <c r="W433" s="16"/>
      <c r="X433" s="17">
        <f>VLOOKUP(W433,'DATABASE F&amp;B'!$C$3:$F$216,2,0)</f>
        <v>0</v>
      </c>
      <c r="Y433" s="18"/>
      <c r="Z433" s="19">
        <f>VLOOKUP(W433,'DATABASE F&amp;B'!$C$3:$F$216,4,0)</f>
        <v>0</v>
      </c>
      <c r="AA433" s="19">
        <f t="shared" si="358"/>
        <v>0</v>
      </c>
      <c r="AB433" s="16"/>
      <c r="AC433" s="17">
        <f>VLOOKUP(AB433,'DATABASE F&amp;B'!$C$3:$F$216,2,0)</f>
        <v>0</v>
      </c>
      <c r="AD433" s="18"/>
      <c r="AE433" s="19">
        <f>VLOOKUP(AB433,'DATABASE F&amp;B'!$C$3:$F$216,4,0)</f>
        <v>0</v>
      </c>
      <c r="AF433" s="19">
        <f t="shared" si="359"/>
        <v>0</v>
      </c>
      <c r="AG433" s="16"/>
      <c r="AH433" s="17">
        <f>VLOOKUP(AG433,'DATABASE F&amp;B'!$C$3:$F$216,2,0)</f>
        <v>0</v>
      </c>
      <c r="AI433" s="18"/>
      <c r="AJ433" s="19">
        <f>VLOOKUP(AG433,'DATABASE F&amp;B'!$C$3:$F$216,4,0)</f>
        <v>0</v>
      </c>
      <c r="AK433" s="19">
        <f t="shared" si="360"/>
        <v>0</v>
      </c>
      <c r="AL433" s="16"/>
      <c r="AM433" s="17">
        <f>VLOOKUP(AL433,'DATABASE F&amp;B'!$C$3:$F$216,2,0)</f>
        <v>0</v>
      </c>
      <c r="AN433" s="18">
        <v>1</v>
      </c>
      <c r="AO433" s="19">
        <f>VLOOKUP(AL433,'DATABASE F&amp;B'!$C$3:$F$216,4,0)</f>
        <v>0</v>
      </c>
      <c r="AP433" s="19">
        <f t="shared" si="361"/>
        <v>0</v>
      </c>
      <c r="AQ433" s="16"/>
      <c r="AR433" s="17">
        <f>VLOOKUP(AQ433,'DATABASE F&amp;B'!$C$3:$F$216,2,0)</f>
        <v>0</v>
      </c>
      <c r="AS433" s="18">
        <v>1</v>
      </c>
      <c r="AT433" s="19">
        <f>VLOOKUP(AQ433,'DATABASE F&amp;B'!$C$3:$F$216,4,0)</f>
        <v>0</v>
      </c>
      <c r="AU433" s="19">
        <f t="shared" si="362"/>
        <v>0</v>
      </c>
      <c r="AV433" s="16"/>
      <c r="AW433" s="17">
        <f>VLOOKUP(AV433,'DATABASE F&amp;B'!$C$3:$F$216,2,0)</f>
        <v>0</v>
      </c>
      <c r="AX433" s="18"/>
      <c r="AY433" s="19">
        <f>VLOOKUP(AV433,'DATABASE F&amp;B'!$C$3:$F$216,4,0)</f>
        <v>0</v>
      </c>
      <c r="AZ433" s="19">
        <f t="shared" si="363"/>
        <v>0</v>
      </c>
      <c r="BA433" s="16"/>
      <c r="BB433" s="17">
        <f>VLOOKUP(BA433,'DATABASE F&amp;B'!$C$3:$F$216,2,0)</f>
        <v>0</v>
      </c>
      <c r="BC433" s="18"/>
      <c r="BD433" s="19">
        <f>VLOOKUP(BA433,'DATABASE F&amp;B'!$C$3:$F$216,4,0)</f>
        <v>0</v>
      </c>
      <c r="BE433" s="19">
        <f t="shared" si="364"/>
        <v>0</v>
      </c>
      <c r="BF433" s="16"/>
      <c r="BG433" s="17">
        <f>VLOOKUP(BF433,'DATABASE F&amp;B'!$C$3:$F$216,2,0)</f>
        <v>0</v>
      </c>
      <c r="BH433" s="18"/>
      <c r="BI433" s="19">
        <f>VLOOKUP(BF433,'DATABASE F&amp;B'!$C$3:$F$216,4,0)</f>
        <v>0</v>
      </c>
      <c r="BJ433" s="19">
        <f t="shared" si="365"/>
        <v>0</v>
      </c>
      <c r="BK433" s="16"/>
      <c r="BL433" s="17">
        <f>VLOOKUP(BK433,'DATABASE F&amp;B'!$C$3:$F$210,2,0)</f>
        <v>0</v>
      </c>
      <c r="BM433" s="18"/>
      <c r="BN433" s="19">
        <f>VLOOKUP(BK433,'DATABASE F&amp;B'!$C$3:$F$210,4,0)</f>
        <v>0</v>
      </c>
      <c r="BO433" s="19">
        <f t="shared" si="366"/>
        <v>0</v>
      </c>
      <c r="BP433" s="16"/>
      <c r="BQ433" s="17">
        <f>VLOOKUP(BP433,'DATABASE F&amp;B'!$C$3:$F$210,2,0)</f>
        <v>0</v>
      </c>
      <c r="BR433" s="18"/>
      <c r="BS433" s="19">
        <f>VLOOKUP(BP433,'DATABASE F&amp;B'!$C$3:$F$210,4,0)</f>
        <v>0</v>
      </c>
      <c r="BT433" s="19">
        <f t="shared" si="367"/>
        <v>0</v>
      </c>
      <c r="BU433" s="16"/>
      <c r="BV433" s="17">
        <f>VLOOKUP(BU433,'DATABASE F&amp;B'!$C$3:$F$210,2,0)</f>
        <v>0</v>
      </c>
      <c r="BW433" s="18"/>
      <c r="BX433" s="19">
        <f>VLOOKUP(BU433,'DATABASE F&amp;B'!$C$3:$F$210,4,0)</f>
        <v>0</v>
      </c>
      <c r="BY433" s="19">
        <f t="shared" si="368"/>
        <v>0</v>
      </c>
      <c r="BZ433" s="16"/>
      <c r="CA433" s="17">
        <f>VLOOKUP(BZ433,'DATABASE F&amp;B'!$C$3:$F$210,2,0)</f>
        <v>0</v>
      </c>
      <c r="CB433" s="18"/>
      <c r="CC433" s="19">
        <f>VLOOKUP(BZ433,'DATABASE F&amp;B'!$C$3:$F$210,4,0)</f>
        <v>0</v>
      </c>
      <c r="CD433" s="19">
        <f t="shared" si="369"/>
        <v>0</v>
      </c>
    </row>
    <row r="434" spans="1:82" ht="13.5" x14ac:dyDescent="0.25">
      <c r="A434" s="32" t="str">
        <f t="shared" si="349"/>
        <v>--20</v>
      </c>
      <c r="B434" s="22">
        <f t="shared" ref="B434:C434" si="418">B433+1</f>
        <v>430</v>
      </c>
      <c r="C434" s="22">
        <f t="shared" si="418"/>
        <v>430</v>
      </c>
      <c r="D434" s="34"/>
      <c r="E434" s="35"/>
      <c r="F434" s="35"/>
      <c r="G434" s="52"/>
      <c r="H434" s="36" t="str">
        <f t="shared" si="374"/>
        <v>RJ--430</v>
      </c>
      <c r="I434" s="36" t="str">
        <f t="shared" si="351"/>
        <v>--20</v>
      </c>
      <c r="J434" s="37" t="e">
        <f>VLOOKUP(D434,Laporan!$C$4:$D$34,2,0)</f>
        <v>#N/A</v>
      </c>
      <c r="K434" s="48"/>
      <c r="L434" s="13"/>
      <c r="M434" s="19">
        <f>SUMIF('DATABASE Room'!$B$3:$B$7,L434,'DATABASE Room'!$D$3:$D$7)</f>
        <v>0</v>
      </c>
      <c r="N434" s="13"/>
      <c r="O434" s="21">
        <f t="shared" si="352"/>
        <v>0</v>
      </c>
      <c r="P434" s="38"/>
      <c r="Q434" s="19">
        <f t="shared" si="353"/>
        <v>0</v>
      </c>
      <c r="R434" s="21">
        <f t="shared" si="354"/>
        <v>0</v>
      </c>
      <c r="S434" s="19">
        <f t="shared" si="355"/>
        <v>2</v>
      </c>
      <c r="T434" s="19">
        <f t="shared" si="356"/>
        <v>0</v>
      </c>
      <c r="U434" s="21">
        <f t="shared" si="357"/>
        <v>0</v>
      </c>
      <c r="V434" s="39"/>
      <c r="W434" s="16"/>
      <c r="X434" s="17">
        <f>VLOOKUP(W434,'DATABASE F&amp;B'!$C$3:$F$216,2,0)</f>
        <v>0</v>
      </c>
      <c r="Y434" s="18"/>
      <c r="Z434" s="19">
        <f>VLOOKUP(W434,'DATABASE F&amp;B'!$C$3:$F$216,4,0)</f>
        <v>0</v>
      </c>
      <c r="AA434" s="19">
        <f t="shared" si="358"/>
        <v>0</v>
      </c>
      <c r="AB434" s="16"/>
      <c r="AC434" s="17">
        <f>VLOOKUP(AB434,'DATABASE F&amp;B'!$C$3:$F$216,2,0)</f>
        <v>0</v>
      </c>
      <c r="AD434" s="18"/>
      <c r="AE434" s="19">
        <f>VLOOKUP(AB434,'DATABASE F&amp;B'!$C$3:$F$216,4,0)</f>
        <v>0</v>
      </c>
      <c r="AF434" s="19">
        <f t="shared" si="359"/>
        <v>0</v>
      </c>
      <c r="AG434" s="16"/>
      <c r="AH434" s="17">
        <f>VLOOKUP(AG434,'DATABASE F&amp;B'!$C$3:$F$216,2,0)</f>
        <v>0</v>
      </c>
      <c r="AI434" s="18"/>
      <c r="AJ434" s="19">
        <f>VLOOKUP(AG434,'DATABASE F&amp;B'!$C$3:$F$216,4,0)</f>
        <v>0</v>
      </c>
      <c r="AK434" s="19">
        <f t="shared" si="360"/>
        <v>0</v>
      </c>
      <c r="AL434" s="16"/>
      <c r="AM434" s="17">
        <f>VLOOKUP(AL434,'DATABASE F&amp;B'!$C$3:$F$216,2,0)</f>
        <v>0</v>
      </c>
      <c r="AN434" s="18">
        <v>1</v>
      </c>
      <c r="AO434" s="19">
        <f>VLOOKUP(AL434,'DATABASE F&amp;B'!$C$3:$F$216,4,0)</f>
        <v>0</v>
      </c>
      <c r="AP434" s="19">
        <f t="shared" si="361"/>
        <v>0</v>
      </c>
      <c r="AQ434" s="16"/>
      <c r="AR434" s="17">
        <f>VLOOKUP(AQ434,'DATABASE F&amp;B'!$C$3:$F$216,2,0)</f>
        <v>0</v>
      </c>
      <c r="AS434" s="18">
        <v>1</v>
      </c>
      <c r="AT434" s="19">
        <f>VLOOKUP(AQ434,'DATABASE F&amp;B'!$C$3:$F$216,4,0)</f>
        <v>0</v>
      </c>
      <c r="AU434" s="19">
        <f t="shared" si="362"/>
        <v>0</v>
      </c>
      <c r="AV434" s="16"/>
      <c r="AW434" s="17">
        <f>VLOOKUP(AV434,'DATABASE F&amp;B'!$C$3:$F$216,2,0)</f>
        <v>0</v>
      </c>
      <c r="AX434" s="18"/>
      <c r="AY434" s="19">
        <f>VLOOKUP(AV434,'DATABASE F&amp;B'!$C$3:$F$216,4,0)</f>
        <v>0</v>
      </c>
      <c r="AZ434" s="19">
        <f t="shared" si="363"/>
        <v>0</v>
      </c>
      <c r="BA434" s="16"/>
      <c r="BB434" s="17">
        <f>VLOOKUP(BA434,'DATABASE F&amp;B'!$C$3:$F$216,2,0)</f>
        <v>0</v>
      </c>
      <c r="BC434" s="18"/>
      <c r="BD434" s="19">
        <f>VLOOKUP(BA434,'DATABASE F&amp;B'!$C$3:$F$216,4,0)</f>
        <v>0</v>
      </c>
      <c r="BE434" s="19">
        <f t="shared" si="364"/>
        <v>0</v>
      </c>
      <c r="BF434" s="16"/>
      <c r="BG434" s="17">
        <f>VLOOKUP(BF434,'DATABASE F&amp;B'!$C$3:$F$216,2,0)</f>
        <v>0</v>
      </c>
      <c r="BH434" s="18"/>
      <c r="BI434" s="19">
        <f>VLOOKUP(BF434,'DATABASE F&amp;B'!$C$3:$F$216,4,0)</f>
        <v>0</v>
      </c>
      <c r="BJ434" s="19">
        <f t="shared" si="365"/>
        <v>0</v>
      </c>
      <c r="BK434" s="16"/>
      <c r="BL434" s="17">
        <f>VLOOKUP(BK434,'DATABASE F&amp;B'!$C$3:$F$210,2,0)</f>
        <v>0</v>
      </c>
      <c r="BM434" s="18"/>
      <c r="BN434" s="19">
        <f>VLOOKUP(BK434,'DATABASE F&amp;B'!$C$3:$F$210,4,0)</f>
        <v>0</v>
      </c>
      <c r="BO434" s="19">
        <f t="shared" si="366"/>
        <v>0</v>
      </c>
      <c r="BP434" s="16"/>
      <c r="BQ434" s="17">
        <f>VLOOKUP(BP434,'DATABASE F&amp;B'!$C$3:$F$210,2,0)</f>
        <v>0</v>
      </c>
      <c r="BR434" s="18"/>
      <c r="BS434" s="19">
        <f>VLOOKUP(BP434,'DATABASE F&amp;B'!$C$3:$F$210,4,0)</f>
        <v>0</v>
      </c>
      <c r="BT434" s="19">
        <f t="shared" si="367"/>
        <v>0</v>
      </c>
      <c r="BU434" s="16"/>
      <c r="BV434" s="17">
        <f>VLOOKUP(BU434,'DATABASE F&amp;B'!$C$3:$F$210,2,0)</f>
        <v>0</v>
      </c>
      <c r="BW434" s="18"/>
      <c r="BX434" s="19">
        <f>VLOOKUP(BU434,'DATABASE F&amp;B'!$C$3:$F$210,4,0)</f>
        <v>0</v>
      </c>
      <c r="BY434" s="19">
        <f t="shared" si="368"/>
        <v>0</v>
      </c>
      <c r="BZ434" s="16"/>
      <c r="CA434" s="17">
        <f>VLOOKUP(BZ434,'DATABASE F&amp;B'!$C$3:$F$210,2,0)</f>
        <v>0</v>
      </c>
      <c r="CB434" s="18"/>
      <c r="CC434" s="19">
        <f>VLOOKUP(BZ434,'DATABASE F&amp;B'!$C$3:$F$210,4,0)</f>
        <v>0</v>
      </c>
      <c r="CD434" s="19">
        <f t="shared" si="369"/>
        <v>0</v>
      </c>
    </row>
    <row r="435" spans="1:82" ht="13.5" x14ac:dyDescent="0.25">
      <c r="A435" s="32" t="str">
        <f t="shared" si="349"/>
        <v>--20</v>
      </c>
      <c r="B435" s="22">
        <f t="shared" ref="B435:C435" si="419">B434+1</f>
        <v>431</v>
      </c>
      <c r="C435" s="22">
        <f t="shared" si="419"/>
        <v>431</v>
      </c>
      <c r="D435" s="34"/>
      <c r="E435" s="35"/>
      <c r="F435" s="35"/>
      <c r="G435" s="52"/>
      <c r="H435" s="36" t="str">
        <f t="shared" si="374"/>
        <v>RJ--431</v>
      </c>
      <c r="I435" s="36" t="str">
        <f t="shared" si="351"/>
        <v>--20</v>
      </c>
      <c r="J435" s="37" t="e">
        <f>VLOOKUP(D435,Laporan!$C$4:$D$34,2,0)</f>
        <v>#N/A</v>
      </c>
      <c r="K435" s="48"/>
      <c r="L435" s="13"/>
      <c r="M435" s="19">
        <f>SUMIF('DATABASE Room'!$B$3:$B$7,L435,'DATABASE Room'!$D$3:$D$7)</f>
        <v>0</v>
      </c>
      <c r="N435" s="13"/>
      <c r="O435" s="21">
        <f t="shared" si="352"/>
        <v>0</v>
      </c>
      <c r="P435" s="38"/>
      <c r="Q435" s="19">
        <f t="shared" si="353"/>
        <v>0</v>
      </c>
      <c r="R435" s="21">
        <f t="shared" si="354"/>
        <v>0</v>
      </c>
      <c r="S435" s="19">
        <f t="shared" si="355"/>
        <v>2</v>
      </c>
      <c r="T435" s="19">
        <f t="shared" si="356"/>
        <v>0</v>
      </c>
      <c r="U435" s="21">
        <f t="shared" si="357"/>
        <v>0</v>
      </c>
      <c r="V435" s="39"/>
      <c r="W435" s="16"/>
      <c r="X435" s="17">
        <f>VLOOKUP(W435,'DATABASE F&amp;B'!$C$3:$F$216,2,0)</f>
        <v>0</v>
      </c>
      <c r="Y435" s="18"/>
      <c r="Z435" s="19">
        <f>VLOOKUP(W435,'DATABASE F&amp;B'!$C$3:$F$216,4,0)</f>
        <v>0</v>
      </c>
      <c r="AA435" s="19">
        <f t="shared" si="358"/>
        <v>0</v>
      </c>
      <c r="AB435" s="16"/>
      <c r="AC435" s="17">
        <f>VLOOKUP(AB435,'DATABASE F&amp;B'!$C$3:$F$216,2,0)</f>
        <v>0</v>
      </c>
      <c r="AD435" s="18"/>
      <c r="AE435" s="19">
        <f>VLOOKUP(AB435,'DATABASE F&amp;B'!$C$3:$F$216,4,0)</f>
        <v>0</v>
      </c>
      <c r="AF435" s="19">
        <f t="shared" si="359"/>
        <v>0</v>
      </c>
      <c r="AG435" s="16"/>
      <c r="AH435" s="17">
        <f>VLOOKUP(AG435,'DATABASE F&amp;B'!$C$3:$F$216,2,0)</f>
        <v>0</v>
      </c>
      <c r="AI435" s="18"/>
      <c r="AJ435" s="19">
        <f>VLOOKUP(AG435,'DATABASE F&amp;B'!$C$3:$F$216,4,0)</f>
        <v>0</v>
      </c>
      <c r="AK435" s="19">
        <f t="shared" si="360"/>
        <v>0</v>
      </c>
      <c r="AL435" s="16"/>
      <c r="AM435" s="17">
        <f>VLOOKUP(AL435,'DATABASE F&amp;B'!$C$3:$F$216,2,0)</f>
        <v>0</v>
      </c>
      <c r="AN435" s="18">
        <v>1</v>
      </c>
      <c r="AO435" s="19">
        <f>VLOOKUP(AL435,'DATABASE F&amp;B'!$C$3:$F$216,4,0)</f>
        <v>0</v>
      </c>
      <c r="AP435" s="19">
        <f t="shared" si="361"/>
        <v>0</v>
      </c>
      <c r="AQ435" s="16"/>
      <c r="AR435" s="17">
        <f>VLOOKUP(AQ435,'DATABASE F&amp;B'!$C$3:$F$216,2,0)</f>
        <v>0</v>
      </c>
      <c r="AS435" s="18">
        <v>1</v>
      </c>
      <c r="AT435" s="19">
        <f>VLOOKUP(AQ435,'DATABASE F&amp;B'!$C$3:$F$216,4,0)</f>
        <v>0</v>
      </c>
      <c r="AU435" s="19">
        <f t="shared" si="362"/>
        <v>0</v>
      </c>
      <c r="AV435" s="16"/>
      <c r="AW435" s="17">
        <f>VLOOKUP(AV435,'DATABASE F&amp;B'!$C$3:$F$216,2,0)</f>
        <v>0</v>
      </c>
      <c r="AX435" s="18"/>
      <c r="AY435" s="19">
        <f>VLOOKUP(AV435,'DATABASE F&amp;B'!$C$3:$F$216,4,0)</f>
        <v>0</v>
      </c>
      <c r="AZ435" s="19">
        <f t="shared" si="363"/>
        <v>0</v>
      </c>
      <c r="BA435" s="16"/>
      <c r="BB435" s="17">
        <f>VLOOKUP(BA435,'DATABASE F&amp;B'!$C$3:$F$216,2,0)</f>
        <v>0</v>
      </c>
      <c r="BC435" s="18"/>
      <c r="BD435" s="19">
        <f>VLOOKUP(BA435,'DATABASE F&amp;B'!$C$3:$F$216,4,0)</f>
        <v>0</v>
      </c>
      <c r="BE435" s="19">
        <f t="shared" si="364"/>
        <v>0</v>
      </c>
      <c r="BF435" s="16"/>
      <c r="BG435" s="17">
        <f>VLOOKUP(BF435,'DATABASE F&amp;B'!$C$3:$F$216,2,0)</f>
        <v>0</v>
      </c>
      <c r="BH435" s="18"/>
      <c r="BI435" s="19">
        <f>VLOOKUP(BF435,'DATABASE F&amp;B'!$C$3:$F$216,4,0)</f>
        <v>0</v>
      </c>
      <c r="BJ435" s="19">
        <f t="shared" si="365"/>
        <v>0</v>
      </c>
      <c r="BK435" s="16"/>
      <c r="BL435" s="17">
        <f>VLOOKUP(BK435,'DATABASE F&amp;B'!$C$3:$F$210,2,0)</f>
        <v>0</v>
      </c>
      <c r="BM435" s="18"/>
      <c r="BN435" s="19">
        <f>VLOOKUP(BK435,'DATABASE F&amp;B'!$C$3:$F$210,4,0)</f>
        <v>0</v>
      </c>
      <c r="BO435" s="19">
        <f t="shared" si="366"/>
        <v>0</v>
      </c>
      <c r="BP435" s="16"/>
      <c r="BQ435" s="17">
        <f>VLOOKUP(BP435,'DATABASE F&amp;B'!$C$3:$F$210,2,0)</f>
        <v>0</v>
      </c>
      <c r="BR435" s="18"/>
      <c r="BS435" s="19">
        <f>VLOOKUP(BP435,'DATABASE F&amp;B'!$C$3:$F$210,4,0)</f>
        <v>0</v>
      </c>
      <c r="BT435" s="19">
        <f t="shared" si="367"/>
        <v>0</v>
      </c>
      <c r="BU435" s="16"/>
      <c r="BV435" s="17">
        <f>VLOOKUP(BU435,'DATABASE F&amp;B'!$C$3:$F$210,2,0)</f>
        <v>0</v>
      </c>
      <c r="BW435" s="18"/>
      <c r="BX435" s="19">
        <f>VLOOKUP(BU435,'DATABASE F&amp;B'!$C$3:$F$210,4,0)</f>
        <v>0</v>
      </c>
      <c r="BY435" s="19">
        <f t="shared" si="368"/>
        <v>0</v>
      </c>
      <c r="BZ435" s="16"/>
      <c r="CA435" s="17">
        <f>VLOOKUP(BZ435,'DATABASE F&amp;B'!$C$3:$F$210,2,0)</f>
        <v>0</v>
      </c>
      <c r="CB435" s="18"/>
      <c r="CC435" s="19">
        <f>VLOOKUP(BZ435,'DATABASE F&amp;B'!$C$3:$F$210,4,0)</f>
        <v>0</v>
      </c>
      <c r="CD435" s="19">
        <f t="shared" si="369"/>
        <v>0</v>
      </c>
    </row>
    <row r="436" spans="1:82" ht="13.5" x14ac:dyDescent="0.25">
      <c r="A436" s="32" t="str">
        <f t="shared" si="349"/>
        <v>--20</v>
      </c>
      <c r="B436" s="22">
        <f t="shared" ref="B436:C436" si="420">B435+1</f>
        <v>432</v>
      </c>
      <c r="C436" s="22">
        <f t="shared" si="420"/>
        <v>432</v>
      </c>
      <c r="D436" s="34"/>
      <c r="E436" s="35"/>
      <c r="F436" s="35"/>
      <c r="G436" s="52"/>
      <c r="H436" s="36" t="str">
        <f t="shared" si="374"/>
        <v>RJ--432</v>
      </c>
      <c r="I436" s="36" t="str">
        <f t="shared" si="351"/>
        <v>--20</v>
      </c>
      <c r="J436" s="37" t="e">
        <f>VLOOKUP(D436,Laporan!$C$4:$D$34,2,0)</f>
        <v>#N/A</v>
      </c>
      <c r="K436" s="48"/>
      <c r="L436" s="13"/>
      <c r="M436" s="19">
        <f>SUMIF('DATABASE Room'!$B$3:$B$7,L436,'DATABASE Room'!$D$3:$D$7)</f>
        <v>0</v>
      </c>
      <c r="N436" s="13"/>
      <c r="O436" s="21">
        <f t="shared" si="352"/>
        <v>0</v>
      </c>
      <c r="P436" s="38"/>
      <c r="Q436" s="19">
        <f t="shared" si="353"/>
        <v>0</v>
      </c>
      <c r="R436" s="21">
        <f t="shared" si="354"/>
        <v>0</v>
      </c>
      <c r="S436" s="19">
        <f t="shared" si="355"/>
        <v>2</v>
      </c>
      <c r="T436" s="19">
        <f t="shared" si="356"/>
        <v>0</v>
      </c>
      <c r="U436" s="21">
        <f t="shared" si="357"/>
        <v>0</v>
      </c>
      <c r="V436" s="39"/>
      <c r="W436" s="16"/>
      <c r="X436" s="17">
        <f>VLOOKUP(W436,'DATABASE F&amp;B'!$C$3:$F$216,2,0)</f>
        <v>0</v>
      </c>
      <c r="Y436" s="18"/>
      <c r="Z436" s="19">
        <f>VLOOKUP(W436,'DATABASE F&amp;B'!$C$3:$F$216,4,0)</f>
        <v>0</v>
      </c>
      <c r="AA436" s="19">
        <f t="shared" si="358"/>
        <v>0</v>
      </c>
      <c r="AB436" s="16"/>
      <c r="AC436" s="17">
        <f>VLOOKUP(AB436,'DATABASE F&amp;B'!$C$3:$F$216,2,0)</f>
        <v>0</v>
      </c>
      <c r="AD436" s="18"/>
      <c r="AE436" s="19">
        <f>VLOOKUP(AB436,'DATABASE F&amp;B'!$C$3:$F$216,4,0)</f>
        <v>0</v>
      </c>
      <c r="AF436" s="19">
        <f t="shared" si="359"/>
        <v>0</v>
      </c>
      <c r="AG436" s="16"/>
      <c r="AH436" s="17">
        <f>VLOOKUP(AG436,'DATABASE F&amp;B'!$C$3:$F$216,2,0)</f>
        <v>0</v>
      </c>
      <c r="AI436" s="18"/>
      <c r="AJ436" s="19">
        <f>VLOOKUP(AG436,'DATABASE F&amp;B'!$C$3:$F$216,4,0)</f>
        <v>0</v>
      </c>
      <c r="AK436" s="19">
        <f t="shared" si="360"/>
        <v>0</v>
      </c>
      <c r="AL436" s="16"/>
      <c r="AM436" s="17">
        <f>VLOOKUP(AL436,'DATABASE F&amp;B'!$C$3:$F$216,2,0)</f>
        <v>0</v>
      </c>
      <c r="AN436" s="18">
        <v>1</v>
      </c>
      <c r="AO436" s="19">
        <f>VLOOKUP(AL436,'DATABASE F&amp;B'!$C$3:$F$216,4,0)</f>
        <v>0</v>
      </c>
      <c r="AP436" s="19">
        <f t="shared" si="361"/>
        <v>0</v>
      </c>
      <c r="AQ436" s="16"/>
      <c r="AR436" s="17">
        <f>VLOOKUP(AQ436,'DATABASE F&amp;B'!$C$3:$F$216,2,0)</f>
        <v>0</v>
      </c>
      <c r="AS436" s="18">
        <v>1</v>
      </c>
      <c r="AT436" s="19">
        <f>VLOOKUP(AQ436,'DATABASE F&amp;B'!$C$3:$F$216,4,0)</f>
        <v>0</v>
      </c>
      <c r="AU436" s="19">
        <f t="shared" si="362"/>
        <v>0</v>
      </c>
      <c r="AV436" s="16"/>
      <c r="AW436" s="17">
        <f>VLOOKUP(AV436,'DATABASE F&amp;B'!$C$3:$F$216,2,0)</f>
        <v>0</v>
      </c>
      <c r="AX436" s="18"/>
      <c r="AY436" s="19">
        <f>VLOOKUP(AV436,'DATABASE F&amp;B'!$C$3:$F$216,4,0)</f>
        <v>0</v>
      </c>
      <c r="AZ436" s="19">
        <f t="shared" si="363"/>
        <v>0</v>
      </c>
      <c r="BA436" s="16"/>
      <c r="BB436" s="17">
        <f>VLOOKUP(BA436,'DATABASE F&amp;B'!$C$3:$F$216,2,0)</f>
        <v>0</v>
      </c>
      <c r="BC436" s="18"/>
      <c r="BD436" s="19">
        <f>VLOOKUP(BA436,'DATABASE F&amp;B'!$C$3:$F$216,4,0)</f>
        <v>0</v>
      </c>
      <c r="BE436" s="19">
        <f t="shared" si="364"/>
        <v>0</v>
      </c>
      <c r="BF436" s="16"/>
      <c r="BG436" s="17">
        <f>VLOOKUP(BF436,'DATABASE F&amp;B'!$C$3:$F$216,2,0)</f>
        <v>0</v>
      </c>
      <c r="BH436" s="18"/>
      <c r="BI436" s="19">
        <f>VLOOKUP(BF436,'DATABASE F&amp;B'!$C$3:$F$216,4,0)</f>
        <v>0</v>
      </c>
      <c r="BJ436" s="19">
        <f t="shared" si="365"/>
        <v>0</v>
      </c>
      <c r="BK436" s="16"/>
      <c r="BL436" s="17">
        <f>VLOOKUP(BK436,'DATABASE F&amp;B'!$C$3:$F$210,2,0)</f>
        <v>0</v>
      </c>
      <c r="BM436" s="18"/>
      <c r="BN436" s="19">
        <f>VLOOKUP(BK436,'DATABASE F&amp;B'!$C$3:$F$210,4,0)</f>
        <v>0</v>
      </c>
      <c r="BO436" s="19">
        <f t="shared" si="366"/>
        <v>0</v>
      </c>
      <c r="BP436" s="16"/>
      <c r="BQ436" s="17">
        <f>VLOOKUP(BP436,'DATABASE F&amp;B'!$C$3:$F$210,2,0)</f>
        <v>0</v>
      </c>
      <c r="BR436" s="18"/>
      <c r="BS436" s="19">
        <f>VLOOKUP(BP436,'DATABASE F&amp;B'!$C$3:$F$210,4,0)</f>
        <v>0</v>
      </c>
      <c r="BT436" s="19">
        <f t="shared" si="367"/>
        <v>0</v>
      </c>
      <c r="BU436" s="16"/>
      <c r="BV436" s="17">
        <f>VLOOKUP(BU436,'DATABASE F&amp;B'!$C$3:$F$210,2,0)</f>
        <v>0</v>
      </c>
      <c r="BW436" s="18"/>
      <c r="BX436" s="19">
        <f>VLOOKUP(BU436,'DATABASE F&amp;B'!$C$3:$F$210,4,0)</f>
        <v>0</v>
      </c>
      <c r="BY436" s="19">
        <f t="shared" si="368"/>
        <v>0</v>
      </c>
      <c r="BZ436" s="16"/>
      <c r="CA436" s="17">
        <f>VLOOKUP(BZ436,'DATABASE F&amp;B'!$C$3:$F$210,2,0)</f>
        <v>0</v>
      </c>
      <c r="CB436" s="18"/>
      <c r="CC436" s="19">
        <f>VLOOKUP(BZ436,'DATABASE F&amp;B'!$C$3:$F$210,4,0)</f>
        <v>0</v>
      </c>
      <c r="CD436" s="19">
        <f t="shared" si="369"/>
        <v>0</v>
      </c>
    </row>
    <row r="437" spans="1:82" ht="13.5" x14ac:dyDescent="0.25">
      <c r="A437" s="32" t="str">
        <f t="shared" si="349"/>
        <v>--20</v>
      </c>
      <c r="B437" s="22">
        <f t="shared" ref="B437:C437" si="421">B436+1</f>
        <v>433</v>
      </c>
      <c r="C437" s="22">
        <f t="shared" si="421"/>
        <v>433</v>
      </c>
      <c r="D437" s="34"/>
      <c r="E437" s="35"/>
      <c r="F437" s="35"/>
      <c r="G437" s="52"/>
      <c r="H437" s="36" t="str">
        <f t="shared" si="374"/>
        <v>RJ--433</v>
      </c>
      <c r="I437" s="36" t="str">
        <f t="shared" si="351"/>
        <v>--20</v>
      </c>
      <c r="J437" s="37" t="e">
        <f>VLOOKUP(D437,Laporan!$C$4:$D$34,2,0)</f>
        <v>#N/A</v>
      </c>
      <c r="K437" s="48"/>
      <c r="L437" s="13"/>
      <c r="M437" s="19">
        <f>SUMIF('DATABASE Room'!$B$3:$B$7,L437,'DATABASE Room'!$D$3:$D$7)</f>
        <v>0</v>
      </c>
      <c r="N437" s="13"/>
      <c r="O437" s="21">
        <f t="shared" si="352"/>
        <v>0</v>
      </c>
      <c r="P437" s="38"/>
      <c r="Q437" s="19">
        <f t="shared" si="353"/>
        <v>0</v>
      </c>
      <c r="R437" s="21">
        <f t="shared" si="354"/>
        <v>0</v>
      </c>
      <c r="S437" s="19">
        <f t="shared" si="355"/>
        <v>2</v>
      </c>
      <c r="T437" s="19">
        <f t="shared" si="356"/>
        <v>0</v>
      </c>
      <c r="U437" s="21">
        <f t="shared" si="357"/>
        <v>0</v>
      </c>
      <c r="V437" s="39"/>
      <c r="W437" s="16"/>
      <c r="X437" s="17">
        <f>VLOOKUP(W437,'DATABASE F&amp;B'!$C$3:$F$216,2,0)</f>
        <v>0</v>
      </c>
      <c r="Y437" s="18"/>
      <c r="Z437" s="19">
        <f>VLOOKUP(W437,'DATABASE F&amp;B'!$C$3:$F$216,4,0)</f>
        <v>0</v>
      </c>
      <c r="AA437" s="19">
        <f t="shared" si="358"/>
        <v>0</v>
      </c>
      <c r="AB437" s="16"/>
      <c r="AC437" s="17">
        <f>VLOOKUP(AB437,'DATABASE F&amp;B'!$C$3:$F$216,2,0)</f>
        <v>0</v>
      </c>
      <c r="AD437" s="18"/>
      <c r="AE437" s="19">
        <f>VLOOKUP(AB437,'DATABASE F&amp;B'!$C$3:$F$216,4,0)</f>
        <v>0</v>
      </c>
      <c r="AF437" s="19">
        <f t="shared" si="359"/>
        <v>0</v>
      </c>
      <c r="AG437" s="16"/>
      <c r="AH437" s="17">
        <f>VLOOKUP(AG437,'DATABASE F&amp;B'!$C$3:$F$216,2,0)</f>
        <v>0</v>
      </c>
      <c r="AI437" s="18"/>
      <c r="AJ437" s="19">
        <f>VLOOKUP(AG437,'DATABASE F&amp;B'!$C$3:$F$216,4,0)</f>
        <v>0</v>
      </c>
      <c r="AK437" s="19">
        <f t="shared" si="360"/>
        <v>0</v>
      </c>
      <c r="AL437" s="16"/>
      <c r="AM437" s="17">
        <f>VLOOKUP(AL437,'DATABASE F&amp;B'!$C$3:$F$216,2,0)</f>
        <v>0</v>
      </c>
      <c r="AN437" s="18">
        <v>1</v>
      </c>
      <c r="AO437" s="19">
        <f>VLOOKUP(AL437,'DATABASE F&amp;B'!$C$3:$F$216,4,0)</f>
        <v>0</v>
      </c>
      <c r="AP437" s="19">
        <f t="shared" si="361"/>
        <v>0</v>
      </c>
      <c r="AQ437" s="16"/>
      <c r="AR437" s="17">
        <f>VLOOKUP(AQ437,'DATABASE F&amp;B'!$C$3:$F$216,2,0)</f>
        <v>0</v>
      </c>
      <c r="AS437" s="18">
        <v>1</v>
      </c>
      <c r="AT437" s="19">
        <f>VLOOKUP(AQ437,'DATABASE F&amp;B'!$C$3:$F$216,4,0)</f>
        <v>0</v>
      </c>
      <c r="AU437" s="19">
        <f t="shared" si="362"/>
        <v>0</v>
      </c>
      <c r="AV437" s="16"/>
      <c r="AW437" s="17">
        <f>VLOOKUP(AV437,'DATABASE F&amp;B'!$C$3:$F$216,2,0)</f>
        <v>0</v>
      </c>
      <c r="AX437" s="18"/>
      <c r="AY437" s="19">
        <f>VLOOKUP(AV437,'DATABASE F&amp;B'!$C$3:$F$216,4,0)</f>
        <v>0</v>
      </c>
      <c r="AZ437" s="19">
        <f t="shared" si="363"/>
        <v>0</v>
      </c>
      <c r="BA437" s="16"/>
      <c r="BB437" s="17">
        <f>VLOOKUP(BA437,'DATABASE F&amp;B'!$C$3:$F$216,2,0)</f>
        <v>0</v>
      </c>
      <c r="BC437" s="18"/>
      <c r="BD437" s="19">
        <f>VLOOKUP(BA437,'DATABASE F&amp;B'!$C$3:$F$216,4,0)</f>
        <v>0</v>
      </c>
      <c r="BE437" s="19">
        <f t="shared" si="364"/>
        <v>0</v>
      </c>
      <c r="BF437" s="16"/>
      <c r="BG437" s="17">
        <f>VLOOKUP(BF437,'DATABASE F&amp;B'!$C$3:$F$216,2,0)</f>
        <v>0</v>
      </c>
      <c r="BH437" s="18"/>
      <c r="BI437" s="19">
        <f>VLOOKUP(BF437,'DATABASE F&amp;B'!$C$3:$F$216,4,0)</f>
        <v>0</v>
      </c>
      <c r="BJ437" s="19">
        <f t="shared" si="365"/>
        <v>0</v>
      </c>
      <c r="BK437" s="16"/>
      <c r="BL437" s="17">
        <f>VLOOKUP(BK437,'DATABASE F&amp;B'!$C$3:$F$210,2,0)</f>
        <v>0</v>
      </c>
      <c r="BM437" s="18"/>
      <c r="BN437" s="19">
        <f>VLOOKUP(BK437,'DATABASE F&amp;B'!$C$3:$F$210,4,0)</f>
        <v>0</v>
      </c>
      <c r="BO437" s="19">
        <f t="shared" si="366"/>
        <v>0</v>
      </c>
      <c r="BP437" s="16"/>
      <c r="BQ437" s="17">
        <f>VLOOKUP(BP437,'DATABASE F&amp;B'!$C$3:$F$210,2,0)</f>
        <v>0</v>
      </c>
      <c r="BR437" s="18"/>
      <c r="BS437" s="19">
        <f>VLOOKUP(BP437,'DATABASE F&amp;B'!$C$3:$F$210,4,0)</f>
        <v>0</v>
      </c>
      <c r="BT437" s="19">
        <f t="shared" si="367"/>
        <v>0</v>
      </c>
      <c r="BU437" s="16"/>
      <c r="BV437" s="17">
        <f>VLOOKUP(BU437,'DATABASE F&amp;B'!$C$3:$F$210,2,0)</f>
        <v>0</v>
      </c>
      <c r="BW437" s="18"/>
      <c r="BX437" s="19">
        <f>VLOOKUP(BU437,'DATABASE F&amp;B'!$C$3:$F$210,4,0)</f>
        <v>0</v>
      </c>
      <c r="BY437" s="19">
        <f t="shared" si="368"/>
        <v>0</v>
      </c>
      <c r="BZ437" s="16"/>
      <c r="CA437" s="17">
        <f>VLOOKUP(BZ437,'DATABASE F&amp;B'!$C$3:$F$210,2,0)</f>
        <v>0</v>
      </c>
      <c r="CB437" s="18"/>
      <c r="CC437" s="19">
        <f>VLOOKUP(BZ437,'DATABASE F&amp;B'!$C$3:$F$210,4,0)</f>
        <v>0</v>
      </c>
      <c r="CD437" s="19">
        <f t="shared" si="369"/>
        <v>0</v>
      </c>
    </row>
    <row r="438" spans="1:82" ht="13.5" x14ac:dyDescent="0.25">
      <c r="A438" s="32" t="str">
        <f t="shared" si="349"/>
        <v>--20</v>
      </c>
      <c r="B438" s="22">
        <f t="shared" ref="B438:C438" si="422">B437+1</f>
        <v>434</v>
      </c>
      <c r="C438" s="22">
        <f t="shared" si="422"/>
        <v>434</v>
      </c>
      <c r="D438" s="34"/>
      <c r="E438" s="35"/>
      <c r="F438" s="35"/>
      <c r="G438" s="52"/>
      <c r="H438" s="36" t="str">
        <f t="shared" si="374"/>
        <v>RJ--434</v>
      </c>
      <c r="I438" s="36" t="str">
        <f t="shared" si="351"/>
        <v>--20</v>
      </c>
      <c r="J438" s="37" t="e">
        <f>VLOOKUP(D438,Laporan!$C$4:$D$34,2,0)</f>
        <v>#N/A</v>
      </c>
      <c r="K438" s="48"/>
      <c r="L438" s="13"/>
      <c r="M438" s="19">
        <f>SUMIF('DATABASE Room'!$B$3:$B$7,L438,'DATABASE Room'!$D$3:$D$7)</f>
        <v>0</v>
      </c>
      <c r="N438" s="13"/>
      <c r="O438" s="21">
        <f t="shared" si="352"/>
        <v>0</v>
      </c>
      <c r="P438" s="38"/>
      <c r="Q438" s="19">
        <f t="shared" si="353"/>
        <v>0</v>
      </c>
      <c r="R438" s="21">
        <f t="shared" si="354"/>
        <v>0</v>
      </c>
      <c r="S438" s="19">
        <f t="shared" si="355"/>
        <v>2</v>
      </c>
      <c r="T438" s="19">
        <f t="shared" si="356"/>
        <v>0</v>
      </c>
      <c r="U438" s="21">
        <f t="shared" si="357"/>
        <v>0</v>
      </c>
      <c r="V438" s="39"/>
      <c r="W438" s="16"/>
      <c r="X438" s="17">
        <f>VLOOKUP(W438,'DATABASE F&amp;B'!$C$3:$F$216,2,0)</f>
        <v>0</v>
      </c>
      <c r="Y438" s="18"/>
      <c r="Z438" s="19">
        <f>VLOOKUP(W438,'DATABASE F&amp;B'!$C$3:$F$216,4,0)</f>
        <v>0</v>
      </c>
      <c r="AA438" s="19">
        <f t="shared" si="358"/>
        <v>0</v>
      </c>
      <c r="AB438" s="16"/>
      <c r="AC438" s="17">
        <f>VLOOKUP(AB438,'DATABASE F&amp;B'!$C$3:$F$216,2,0)</f>
        <v>0</v>
      </c>
      <c r="AD438" s="18"/>
      <c r="AE438" s="19">
        <f>VLOOKUP(AB438,'DATABASE F&amp;B'!$C$3:$F$216,4,0)</f>
        <v>0</v>
      </c>
      <c r="AF438" s="19">
        <f t="shared" si="359"/>
        <v>0</v>
      </c>
      <c r="AG438" s="16"/>
      <c r="AH438" s="17">
        <f>VLOOKUP(AG438,'DATABASE F&amp;B'!$C$3:$F$216,2,0)</f>
        <v>0</v>
      </c>
      <c r="AI438" s="18"/>
      <c r="AJ438" s="19">
        <f>VLOOKUP(AG438,'DATABASE F&amp;B'!$C$3:$F$216,4,0)</f>
        <v>0</v>
      </c>
      <c r="AK438" s="19">
        <f t="shared" si="360"/>
        <v>0</v>
      </c>
      <c r="AL438" s="16"/>
      <c r="AM438" s="17">
        <f>VLOOKUP(AL438,'DATABASE F&amp;B'!$C$3:$F$216,2,0)</f>
        <v>0</v>
      </c>
      <c r="AN438" s="18">
        <v>1</v>
      </c>
      <c r="AO438" s="19">
        <f>VLOOKUP(AL438,'DATABASE F&amp;B'!$C$3:$F$216,4,0)</f>
        <v>0</v>
      </c>
      <c r="AP438" s="19">
        <f t="shared" si="361"/>
        <v>0</v>
      </c>
      <c r="AQ438" s="16"/>
      <c r="AR438" s="17">
        <f>VLOOKUP(AQ438,'DATABASE F&amp;B'!$C$3:$F$216,2,0)</f>
        <v>0</v>
      </c>
      <c r="AS438" s="18">
        <v>1</v>
      </c>
      <c r="AT438" s="19">
        <f>VLOOKUP(AQ438,'DATABASE F&amp;B'!$C$3:$F$216,4,0)</f>
        <v>0</v>
      </c>
      <c r="AU438" s="19">
        <f t="shared" si="362"/>
        <v>0</v>
      </c>
      <c r="AV438" s="16"/>
      <c r="AW438" s="17">
        <f>VLOOKUP(AV438,'DATABASE F&amp;B'!$C$3:$F$216,2,0)</f>
        <v>0</v>
      </c>
      <c r="AX438" s="18"/>
      <c r="AY438" s="19">
        <f>VLOOKUP(AV438,'DATABASE F&amp;B'!$C$3:$F$216,4,0)</f>
        <v>0</v>
      </c>
      <c r="AZ438" s="19">
        <f t="shared" si="363"/>
        <v>0</v>
      </c>
      <c r="BA438" s="16"/>
      <c r="BB438" s="17">
        <f>VLOOKUP(BA438,'DATABASE F&amp;B'!$C$3:$F$216,2,0)</f>
        <v>0</v>
      </c>
      <c r="BC438" s="18"/>
      <c r="BD438" s="19">
        <f>VLOOKUP(BA438,'DATABASE F&amp;B'!$C$3:$F$216,4,0)</f>
        <v>0</v>
      </c>
      <c r="BE438" s="19">
        <f t="shared" si="364"/>
        <v>0</v>
      </c>
      <c r="BF438" s="16"/>
      <c r="BG438" s="17">
        <f>VLOOKUP(BF438,'DATABASE F&amp;B'!$C$3:$F$216,2,0)</f>
        <v>0</v>
      </c>
      <c r="BH438" s="18"/>
      <c r="BI438" s="19">
        <f>VLOOKUP(BF438,'DATABASE F&amp;B'!$C$3:$F$216,4,0)</f>
        <v>0</v>
      </c>
      <c r="BJ438" s="19">
        <f t="shared" si="365"/>
        <v>0</v>
      </c>
      <c r="BK438" s="16"/>
      <c r="BL438" s="17">
        <f>VLOOKUP(BK438,'DATABASE F&amp;B'!$C$3:$F$210,2,0)</f>
        <v>0</v>
      </c>
      <c r="BM438" s="18"/>
      <c r="BN438" s="19">
        <f>VLOOKUP(BK438,'DATABASE F&amp;B'!$C$3:$F$210,4,0)</f>
        <v>0</v>
      </c>
      <c r="BO438" s="19">
        <f t="shared" si="366"/>
        <v>0</v>
      </c>
      <c r="BP438" s="16"/>
      <c r="BQ438" s="17">
        <f>VLOOKUP(BP438,'DATABASE F&amp;B'!$C$3:$F$210,2,0)</f>
        <v>0</v>
      </c>
      <c r="BR438" s="18"/>
      <c r="BS438" s="19">
        <f>VLOOKUP(BP438,'DATABASE F&amp;B'!$C$3:$F$210,4,0)</f>
        <v>0</v>
      </c>
      <c r="BT438" s="19">
        <f t="shared" si="367"/>
        <v>0</v>
      </c>
      <c r="BU438" s="16"/>
      <c r="BV438" s="17">
        <f>VLOOKUP(BU438,'DATABASE F&amp;B'!$C$3:$F$210,2,0)</f>
        <v>0</v>
      </c>
      <c r="BW438" s="18"/>
      <c r="BX438" s="19">
        <f>VLOOKUP(BU438,'DATABASE F&amp;B'!$C$3:$F$210,4,0)</f>
        <v>0</v>
      </c>
      <c r="BY438" s="19">
        <f t="shared" si="368"/>
        <v>0</v>
      </c>
      <c r="BZ438" s="16"/>
      <c r="CA438" s="17">
        <f>VLOOKUP(BZ438,'DATABASE F&amp;B'!$C$3:$F$210,2,0)</f>
        <v>0</v>
      </c>
      <c r="CB438" s="18"/>
      <c r="CC438" s="19">
        <f>VLOOKUP(BZ438,'DATABASE F&amp;B'!$C$3:$F$210,4,0)</f>
        <v>0</v>
      </c>
      <c r="CD438" s="19">
        <f t="shared" si="369"/>
        <v>0</v>
      </c>
    </row>
    <row r="439" spans="1:82" ht="13.5" x14ac:dyDescent="0.25">
      <c r="A439" s="32" t="str">
        <f t="shared" si="349"/>
        <v>--20</v>
      </c>
      <c r="B439" s="22">
        <f t="shared" ref="B439:C439" si="423">B438+1</f>
        <v>435</v>
      </c>
      <c r="C439" s="22">
        <f t="shared" si="423"/>
        <v>435</v>
      </c>
      <c r="D439" s="34"/>
      <c r="E439" s="35"/>
      <c r="F439" s="35"/>
      <c r="G439" s="52"/>
      <c r="H439" s="36" t="str">
        <f t="shared" si="374"/>
        <v>RJ--435</v>
      </c>
      <c r="I439" s="36" t="str">
        <f t="shared" si="351"/>
        <v>--20</v>
      </c>
      <c r="J439" s="37" t="e">
        <f>VLOOKUP(D439,Laporan!$C$4:$D$34,2,0)</f>
        <v>#N/A</v>
      </c>
      <c r="K439" s="48"/>
      <c r="L439" s="13"/>
      <c r="M439" s="19">
        <f>SUMIF('DATABASE Room'!$B$3:$B$7,L439,'DATABASE Room'!$D$3:$D$7)</f>
        <v>0</v>
      </c>
      <c r="N439" s="13"/>
      <c r="O439" s="21">
        <f t="shared" si="352"/>
        <v>0</v>
      </c>
      <c r="P439" s="38"/>
      <c r="Q439" s="19">
        <f t="shared" si="353"/>
        <v>0</v>
      </c>
      <c r="R439" s="21">
        <f t="shared" si="354"/>
        <v>0</v>
      </c>
      <c r="S439" s="19">
        <f t="shared" si="355"/>
        <v>2</v>
      </c>
      <c r="T439" s="19">
        <f t="shared" si="356"/>
        <v>0</v>
      </c>
      <c r="U439" s="21">
        <f t="shared" si="357"/>
        <v>0</v>
      </c>
      <c r="V439" s="39"/>
      <c r="W439" s="16"/>
      <c r="X439" s="17">
        <f>VLOOKUP(W439,'DATABASE F&amp;B'!$C$3:$F$216,2,0)</f>
        <v>0</v>
      </c>
      <c r="Y439" s="18"/>
      <c r="Z439" s="19">
        <f>VLOOKUP(W439,'DATABASE F&amp;B'!$C$3:$F$216,4,0)</f>
        <v>0</v>
      </c>
      <c r="AA439" s="19">
        <f t="shared" si="358"/>
        <v>0</v>
      </c>
      <c r="AB439" s="16"/>
      <c r="AC439" s="17">
        <f>VLOOKUP(AB439,'DATABASE F&amp;B'!$C$3:$F$216,2,0)</f>
        <v>0</v>
      </c>
      <c r="AD439" s="18"/>
      <c r="AE439" s="19">
        <f>VLOOKUP(AB439,'DATABASE F&amp;B'!$C$3:$F$216,4,0)</f>
        <v>0</v>
      </c>
      <c r="AF439" s="19">
        <f t="shared" si="359"/>
        <v>0</v>
      </c>
      <c r="AG439" s="16"/>
      <c r="AH439" s="17">
        <f>VLOOKUP(AG439,'DATABASE F&amp;B'!$C$3:$F$216,2,0)</f>
        <v>0</v>
      </c>
      <c r="AI439" s="18"/>
      <c r="AJ439" s="19">
        <f>VLOOKUP(AG439,'DATABASE F&amp;B'!$C$3:$F$216,4,0)</f>
        <v>0</v>
      </c>
      <c r="AK439" s="19">
        <f t="shared" si="360"/>
        <v>0</v>
      </c>
      <c r="AL439" s="16"/>
      <c r="AM439" s="17">
        <f>VLOOKUP(AL439,'DATABASE F&amp;B'!$C$3:$F$216,2,0)</f>
        <v>0</v>
      </c>
      <c r="AN439" s="18">
        <v>1</v>
      </c>
      <c r="AO439" s="19">
        <f>VLOOKUP(AL439,'DATABASE F&amp;B'!$C$3:$F$216,4,0)</f>
        <v>0</v>
      </c>
      <c r="AP439" s="19">
        <f t="shared" si="361"/>
        <v>0</v>
      </c>
      <c r="AQ439" s="16"/>
      <c r="AR439" s="17">
        <f>VLOOKUP(AQ439,'DATABASE F&amp;B'!$C$3:$F$216,2,0)</f>
        <v>0</v>
      </c>
      <c r="AS439" s="18">
        <v>1</v>
      </c>
      <c r="AT439" s="19">
        <f>VLOOKUP(AQ439,'DATABASE F&amp;B'!$C$3:$F$216,4,0)</f>
        <v>0</v>
      </c>
      <c r="AU439" s="19">
        <f t="shared" si="362"/>
        <v>0</v>
      </c>
      <c r="AV439" s="16"/>
      <c r="AW439" s="17">
        <f>VLOOKUP(AV439,'DATABASE F&amp;B'!$C$3:$F$216,2,0)</f>
        <v>0</v>
      </c>
      <c r="AX439" s="18"/>
      <c r="AY439" s="19">
        <f>VLOOKUP(AV439,'DATABASE F&amp;B'!$C$3:$F$216,4,0)</f>
        <v>0</v>
      </c>
      <c r="AZ439" s="19">
        <f t="shared" si="363"/>
        <v>0</v>
      </c>
      <c r="BA439" s="16"/>
      <c r="BB439" s="17">
        <f>VLOOKUP(BA439,'DATABASE F&amp;B'!$C$3:$F$216,2,0)</f>
        <v>0</v>
      </c>
      <c r="BC439" s="18"/>
      <c r="BD439" s="19">
        <f>VLOOKUP(BA439,'DATABASE F&amp;B'!$C$3:$F$216,4,0)</f>
        <v>0</v>
      </c>
      <c r="BE439" s="19">
        <f t="shared" si="364"/>
        <v>0</v>
      </c>
      <c r="BF439" s="16"/>
      <c r="BG439" s="17">
        <f>VLOOKUP(BF439,'DATABASE F&amp;B'!$C$3:$F$216,2,0)</f>
        <v>0</v>
      </c>
      <c r="BH439" s="18"/>
      <c r="BI439" s="19">
        <f>VLOOKUP(BF439,'DATABASE F&amp;B'!$C$3:$F$216,4,0)</f>
        <v>0</v>
      </c>
      <c r="BJ439" s="19">
        <f t="shared" si="365"/>
        <v>0</v>
      </c>
      <c r="BK439" s="16"/>
      <c r="BL439" s="17">
        <f>VLOOKUP(BK439,'DATABASE F&amp;B'!$C$3:$F$210,2,0)</f>
        <v>0</v>
      </c>
      <c r="BM439" s="18"/>
      <c r="BN439" s="19">
        <f>VLOOKUP(BK439,'DATABASE F&amp;B'!$C$3:$F$210,4,0)</f>
        <v>0</v>
      </c>
      <c r="BO439" s="19">
        <f t="shared" si="366"/>
        <v>0</v>
      </c>
      <c r="BP439" s="16"/>
      <c r="BQ439" s="17">
        <f>VLOOKUP(BP439,'DATABASE F&amp;B'!$C$3:$F$210,2,0)</f>
        <v>0</v>
      </c>
      <c r="BR439" s="18"/>
      <c r="BS439" s="19">
        <f>VLOOKUP(BP439,'DATABASE F&amp;B'!$C$3:$F$210,4,0)</f>
        <v>0</v>
      </c>
      <c r="BT439" s="19">
        <f t="shared" si="367"/>
        <v>0</v>
      </c>
      <c r="BU439" s="16"/>
      <c r="BV439" s="17">
        <f>VLOOKUP(BU439,'DATABASE F&amp;B'!$C$3:$F$210,2,0)</f>
        <v>0</v>
      </c>
      <c r="BW439" s="18"/>
      <c r="BX439" s="19">
        <f>VLOOKUP(BU439,'DATABASE F&amp;B'!$C$3:$F$210,4,0)</f>
        <v>0</v>
      </c>
      <c r="BY439" s="19">
        <f t="shared" si="368"/>
        <v>0</v>
      </c>
      <c r="BZ439" s="16"/>
      <c r="CA439" s="17">
        <f>VLOOKUP(BZ439,'DATABASE F&amp;B'!$C$3:$F$210,2,0)</f>
        <v>0</v>
      </c>
      <c r="CB439" s="18"/>
      <c r="CC439" s="19">
        <f>VLOOKUP(BZ439,'DATABASE F&amp;B'!$C$3:$F$210,4,0)</f>
        <v>0</v>
      </c>
      <c r="CD439" s="19">
        <f t="shared" si="369"/>
        <v>0</v>
      </c>
    </row>
    <row r="440" spans="1:82" ht="13.5" x14ac:dyDescent="0.25">
      <c r="A440" s="32" t="str">
        <f t="shared" si="349"/>
        <v>--20</v>
      </c>
      <c r="B440" s="22">
        <f t="shared" ref="B440:C440" si="424">B439+1</f>
        <v>436</v>
      </c>
      <c r="C440" s="22">
        <f t="shared" si="424"/>
        <v>436</v>
      </c>
      <c r="D440" s="34"/>
      <c r="E440" s="35"/>
      <c r="F440" s="35"/>
      <c r="G440" s="52"/>
      <c r="H440" s="36" t="str">
        <f t="shared" si="374"/>
        <v>RJ--436</v>
      </c>
      <c r="I440" s="36" t="str">
        <f t="shared" si="351"/>
        <v>--20</v>
      </c>
      <c r="J440" s="37" t="e">
        <f>VLOOKUP(D440,Laporan!$C$4:$D$34,2,0)</f>
        <v>#N/A</v>
      </c>
      <c r="K440" s="48"/>
      <c r="L440" s="13"/>
      <c r="M440" s="19">
        <f>SUMIF('DATABASE Room'!$B$3:$B$7,L440,'DATABASE Room'!$D$3:$D$7)</f>
        <v>0</v>
      </c>
      <c r="N440" s="13"/>
      <c r="O440" s="21">
        <f t="shared" si="352"/>
        <v>0</v>
      </c>
      <c r="P440" s="38"/>
      <c r="Q440" s="19">
        <f t="shared" si="353"/>
        <v>0</v>
      </c>
      <c r="R440" s="21">
        <f t="shared" si="354"/>
        <v>0</v>
      </c>
      <c r="S440" s="19">
        <f t="shared" si="355"/>
        <v>2</v>
      </c>
      <c r="T440" s="19">
        <f t="shared" si="356"/>
        <v>0</v>
      </c>
      <c r="U440" s="21">
        <f t="shared" si="357"/>
        <v>0</v>
      </c>
      <c r="V440" s="39"/>
      <c r="W440" s="16"/>
      <c r="X440" s="17">
        <f>VLOOKUP(W440,'DATABASE F&amp;B'!$C$3:$F$216,2,0)</f>
        <v>0</v>
      </c>
      <c r="Y440" s="18"/>
      <c r="Z440" s="19">
        <f>VLOOKUP(W440,'DATABASE F&amp;B'!$C$3:$F$216,4,0)</f>
        <v>0</v>
      </c>
      <c r="AA440" s="19">
        <f t="shared" si="358"/>
        <v>0</v>
      </c>
      <c r="AB440" s="16"/>
      <c r="AC440" s="17">
        <f>VLOOKUP(AB440,'DATABASE F&amp;B'!$C$3:$F$216,2,0)</f>
        <v>0</v>
      </c>
      <c r="AD440" s="18"/>
      <c r="AE440" s="19">
        <f>VLOOKUP(AB440,'DATABASE F&amp;B'!$C$3:$F$216,4,0)</f>
        <v>0</v>
      </c>
      <c r="AF440" s="19">
        <f t="shared" si="359"/>
        <v>0</v>
      </c>
      <c r="AG440" s="16"/>
      <c r="AH440" s="17">
        <f>VLOOKUP(AG440,'DATABASE F&amp;B'!$C$3:$F$216,2,0)</f>
        <v>0</v>
      </c>
      <c r="AI440" s="18"/>
      <c r="AJ440" s="19">
        <f>VLOOKUP(AG440,'DATABASE F&amp;B'!$C$3:$F$216,4,0)</f>
        <v>0</v>
      </c>
      <c r="AK440" s="19">
        <f t="shared" si="360"/>
        <v>0</v>
      </c>
      <c r="AL440" s="16"/>
      <c r="AM440" s="17">
        <f>VLOOKUP(AL440,'DATABASE F&amp;B'!$C$3:$F$216,2,0)</f>
        <v>0</v>
      </c>
      <c r="AN440" s="18">
        <v>1</v>
      </c>
      <c r="AO440" s="19">
        <f>VLOOKUP(AL440,'DATABASE F&amp;B'!$C$3:$F$216,4,0)</f>
        <v>0</v>
      </c>
      <c r="AP440" s="19">
        <f t="shared" si="361"/>
        <v>0</v>
      </c>
      <c r="AQ440" s="16"/>
      <c r="AR440" s="17">
        <f>VLOOKUP(AQ440,'DATABASE F&amp;B'!$C$3:$F$216,2,0)</f>
        <v>0</v>
      </c>
      <c r="AS440" s="18">
        <v>1</v>
      </c>
      <c r="AT440" s="19">
        <f>VLOOKUP(AQ440,'DATABASE F&amp;B'!$C$3:$F$216,4,0)</f>
        <v>0</v>
      </c>
      <c r="AU440" s="19">
        <f t="shared" si="362"/>
        <v>0</v>
      </c>
      <c r="AV440" s="16"/>
      <c r="AW440" s="17">
        <f>VLOOKUP(AV440,'DATABASE F&amp;B'!$C$3:$F$216,2,0)</f>
        <v>0</v>
      </c>
      <c r="AX440" s="18"/>
      <c r="AY440" s="19">
        <f>VLOOKUP(AV440,'DATABASE F&amp;B'!$C$3:$F$216,4,0)</f>
        <v>0</v>
      </c>
      <c r="AZ440" s="19">
        <f t="shared" si="363"/>
        <v>0</v>
      </c>
      <c r="BA440" s="16"/>
      <c r="BB440" s="17">
        <f>VLOOKUP(BA440,'DATABASE F&amp;B'!$C$3:$F$216,2,0)</f>
        <v>0</v>
      </c>
      <c r="BC440" s="18"/>
      <c r="BD440" s="19">
        <f>VLOOKUP(BA440,'DATABASE F&amp;B'!$C$3:$F$216,4,0)</f>
        <v>0</v>
      </c>
      <c r="BE440" s="19">
        <f t="shared" si="364"/>
        <v>0</v>
      </c>
      <c r="BF440" s="16"/>
      <c r="BG440" s="17">
        <f>VLOOKUP(BF440,'DATABASE F&amp;B'!$C$3:$F$216,2,0)</f>
        <v>0</v>
      </c>
      <c r="BH440" s="18"/>
      <c r="BI440" s="19">
        <f>VLOOKUP(BF440,'DATABASE F&amp;B'!$C$3:$F$216,4,0)</f>
        <v>0</v>
      </c>
      <c r="BJ440" s="19">
        <f t="shared" si="365"/>
        <v>0</v>
      </c>
      <c r="BK440" s="16"/>
      <c r="BL440" s="17">
        <f>VLOOKUP(BK440,'DATABASE F&amp;B'!$C$3:$F$210,2,0)</f>
        <v>0</v>
      </c>
      <c r="BM440" s="18"/>
      <c r="BN440" s="19">
        <f>VLOOKUP(BK440,'DATABASE F&amp;B'!$C$3:$F$210,4,0)</f>
        <v>0</v>
      </c>
      <c r="BO440" s="19">
        <f t="shared" si="366"/>
        <v>0</v>
      </c>
      <c r="BP440" s="16"/>
      <c r="BQ440" s="17">
        <f>VLOOKUP(BP440,'DATABASE F&amp;B'!$C$3:$F$210,2,0)</f>
        <v>0</v>
      </c>
      <c r="BR440" s="18"/>
      <c r="BS440" s="19">
        <f>VLOOKUP(BP440,'DATABASE F&amp;B'!$C$3:$F$210,4,0)</f>
        <v>0</v>
      </c>
      <c r="BT440" s="19">
        <f t="shared" si="367"/>
        <v>0</v>
      </c>
      <c r="BU440" s="16"/>
      <c r="BV440" s="17">
        <f>VLOOKUP(BU440,'DATABASE F&amp;B'!$C$3:$F$210,2,0)</f>
        <v>0</v>
      </c>
      <c r="BW440" s="18"/>
      <c r="BX440" s="19">
        <f>VLOOKUP(BU440,'DATABASE F&amp;B'!$C$3:$F$210,4,0)</f>
        <v>0</v>
      </c>
      <c r="BY440" s="19">
        <f t="shared" si="368"/>
        <v>0</v>
      </c>
      <c r="BZ440" s="16"/>
      <c r="CA440" s="17">
        <f>VLOOKUP(BZ440,'DATABASE F&amp;B'!$C$3:$F$210,2,0)</f>
        <v>0</v>
      </c>
      <c r="CB440" s="18"/>
      <c r="CC440" s="19">
        <f>VLOOKUP(BZ440,'DATABASE F&amp;B'!$C$3:$F$210,4,0)</f>
        <v>0</v>
      </c>
      <c r="CD440" s="19">
        <f t="shared" si="369"/>
        <v>0</v>
      </c>
    </row>
    <row r="441" spans="1:82" ht="13.5" x14ac:dyDescent="0.25">
      <c r="A441" s="32" t="str">
        <f t="shared" si="349"/>
        <v>--20</v>
      </c>
      <c r="B441" s="22">
        <f t="shared" ref="B441:C441" si="425">B440+1</f>
        <v>437</v>
      </c>
      <c r="C441" s="22">
        <f t="shared" si="425"/>
        <v>437</v>
      </c>
      <c r="D441" s="34"/>
      <c r="E441" s="35"/>
      <c r="F441" s="35"/>
      <c r="G441" s="52"/>
      <c r="H441" s="36" t="str">
        <f t="shared" si="374"/>
        <v>RJ--437</v>
      </c>
      <c r="I441" s="36" t="str">
        <f t="shared" si="351"/>
        <v>--20</v>
      </c>
      <c r="J441" s="37" t="e">
        <f>VLOOKUP(D441,Laporan!$C$4:$D$34,2,0)</f>
        <v>#N/A</v>
      </c>
      <c r="K441" s="48"/>
      <c r="L441" s="13"/>
      <c r="M441" s="19">
        <f>SUMIF('DATABASE Room'!$B$3:$B$7,L441,'DATABASE Room'!$D$3:$D$7)</f>
        <v>0</v>
      </c>
      <c r="N441" s="13"/>
      <c r="O441" s="21">
        <f t="shared" si="352"/>
        <v>0</v>
      </c>
      <c r="P441" s="38"/>
      <c r="Q441" s="19">
        <f t="shared" si="353"/>
        <v>0</v>
      </c>
      <c r="R441" s="21">
        <f t="shared" si="354"/>
        <v>0</v>
      </c>
      <c r="S441" s="19">
        <f t="shared" si="355"/>
        <v>2</v>
      </c>
      <c r="T441" s="19">
        <f t="shared" si="356"/>
        <v>0</v>
      </c>
      <c r="U441" s="21">
        <f t="shared" si="357"/>
        <v>0</v>
      </c>
      <c r="V441" s="39"/>
      <c r="W441" s="16"/>
      <c r="X441" s="17">
        <f>VLOOKUP(W441,'DATABASE F&amp;B'!$C$3:$F$216,2,0)</f>
        <v>0</v>
      </c>
      <c r="Y441" s="18"/>
      <c r="Z441" s="19">
        <f>VLOOKUP(W441,'DATABASE F&amp;B'!$C$3:$F$216,4,0)</f>
        <v>0</v>
      </c>
      <c r="AA441" s="19">
        <f t="shared" si="358"/>
        <v>0</v>
      </c>
      <c r="AB441" s="16"/>
      <c r="AC441" s="17">
        <f>VLOOKUP(AB441,'DATABASE F&amp;B'!$C$3:$F$216,2,0)</f>
        <v>0</v>
      </c>
      <c r="AD441" s="18"/>
      <c r="AE441" s="19">
        <f>VLOOKUP(AB441,'DATABASE F&amp;B'!$C$3:$F$216,4,0)</f>
        <v>0</v>
      </c>
      <c r="AF441" s="19">
        <f t="shared" si="359"/>
        <v>0</v>
      </c>
      <c r="AG441" s="16"/>
      <c r="AH441" s="17">
        <f>VLOOKUP(AG441,'DATABASE F&amp;B'!$C$3:$F$216,2,0)</f>
        <v>0</v>
      </c>
      <c r="AI441" s="18"/>
      <c r="AJ441" s="19">
        <f>VLOOKUP(AG441,'DATABASE F&amp;B'!$C$3:$F$216,4,0)</f>
        <v>0</v>
      </c>
      <c r="AK441" s="19">
        <f t="shared" si="360"/>
        <v>0</v>
      </c>
      <c r="AL441" s="16"/>
      <c r="AM441" s="17">
        <f>VLOOKUP(AL441,'DATABASE F&amp;B'!$C$3:$F$216,2,0)</f>
        <v>0</v>
      </c>
      <c r="AN441" s="18">
        <v>1</v>
      </c>
      <c r="AO441" s="19">
        <f>VLOOKUP(AL441,'DATABASE F&amp;B'!$C$3:$F$216,4,0)</f>
        <v>0</v>
      </c>
      <c r="AP441" s="19">
        <f t="shared" si="361"/>
        <v>0</v>
      </c>
      <c r="AQ441" s="16"/>
      <c r="AR441" s="17">
        <f>VLOOKUP(AQ441,'DATABASE F&amp;B'!$C$3:$F$216,2,0)</f>
        <v>0</v>
      </c>
      <c r="AS441" s="18">
        <v>1</v>
      </c>
      <c r="AT441" s="19">
        <f>VLOOKUP(AQ441,'DATABASE F&amp;B'!$C$3:$F$216,4,0)</f>
        <v>0</v>
      </c>
      <c r="AU441" s="19">
        <f t="shared" si="362"/>
        <v>0</v>
      </c>
      <c r="AV441" s="16"/>
      <c r="AW441" s="17">
        <f>VLOOKUP(AV441,'DATABASE F&amp;B'!$C$3:$F$216,2,0)</f>
        <v>0</v>
      </c>
      <c r="AX441" s="18"/>
      <c r="AY441" s="19">
        <f>VLOOKUP(AV441,'DATABASE F&amp;B'!$C$3:$F$216,4,0)</f>
        <v>0</v>
      </c>
      <c r="AZ441" s="19">
        <f t="shared" si="363"/>
        <v>0</v>
      </c>
      <c r="BA441" s="16"/>
      <c r="BB441" s="17">
        <f>VLOOKUP(BA441,'DATABASE F&amp;B'!$C$3:$F$216,2,0)</f>
        <v>0</v>
      </c>
      <c r="BC441" s="18"/>
      <c r="BD441" s="19">
        <f>VLOOKUP(BA441,'DATABASE F&amp;B'!$C$3:$F$216,4,0)</f>
        <v>0</v>
      </c>
      <c r="BE441" s="19">
        <f t="shared" si="364"/>
        <v>0</v>
      </c>
      <c r="BF441" s="16"/>
      <c r="BG441" s="17">
        <f>VLOOKUP(BF441,'DATABASE F&amp;B'!$C$3:$F$216,2,0)</f>
        <v>0</v>
      </c>
      <c r="BH441" s="18"/>
      <c r="BI441" s="19">
        <f>VLOOKUP(BF441,'DATABASE F&amp;B'!$C$3:$F$216,4,0)</f>
        <v>0</v>
      </c>
      <c r="BJ441" s="19">
        <f t="shared" si="365"/>
        <v>0</v>
      </c>
      <c r="BK441" s="16"/>
      <c r="BL441" s="17">
        <f>VLOOKUP(BK441,'DATABASE F&amp;B'!$C$3:$F$210,2,0)</f>
        <v>0</v>
      </c>
      <c r="BM441" s="18"/>
      <c r="BN441" s="19">
        <f>VLOOKUP(BK441,'DATABASE F&amp;B'!$C$3:$F$210,4,0)</f>
        <v>0</v>
      </c>
      <c r="BO441" s="19">
        <f t="shared" si="366"/>
        <v>0</v>
      </c>
      <c r="BP441" s="16"/>
      <c r="BQ441" s="17">
        <f>VLOOKUP(BP441,'DATABASE F&amp;B'!$C$3:$F$210,2,0)</f>
        <v>0</v>
      </c>
      <c r="BR441" s="18"/>
      <c r="BS441" s="19">
        <f>VLOOKUP(BP441,'DATABASE F&amp;B'!$C$3:$F$210,4,0)</f>
        <v>0</v>
      </c>
      <c r="BT441" s="19">
        <f t="shared" si="367"/>
        <v>0</v>
      </c>
      <c r="BU441" s="16"/>
      <c r="BV441" s="17">
        <f>VLOOKUP(BU441,'DATABASE F&amp;B'!$C$3:$F$210,2,0)</f>
        <v>0</v>
      </c>
      <c r="BW441" s="18"/>
      <c r="BX441" s="19">
        <f>VLOOKUP(BU441,'DATABASE F&amp;B'!$C$3:$F$210,4,0)</f>
        <v>0</v>
      </c>
      <c r="BY441" s="19">
        <f t="shared" si="368"/>
        <v>0</v>
      </c>
      <c r="BZ441" s="16"/>
      <c r="CA441" s="17">
        <f>VLOOKUP(BZ441,'DATABASE F&amp;B'!$C$3:$F$210,2,0)</f>
        <v>0</v>
      </c>
      <c r="CB441" s="18"/>
      <c r="CC441" s="19">
        <f>VLOOKUP(BZ441,'DATABASE F&amp;B'!$C$3:$F$210,4,0)</f>
        <v>0</v>
      </c>
      <c r="CD441" s="19">
        <f t="shared" si="369"/>
        <v>0</v>
      </c>
    </row>
    <row r="442" spans="1:82" ht="13.5" x14ac:dyDescent="0.25">
      <c r="A442" s="32" t="str">
        <f t="shared" si="349"/>
        <v>--20</v>
      </c>
      <c r="B442" s="22">
        <f t="shared" ref="B442:C442" si="426">B441+1</f>
        <v>438</v>
      </c>
      <c r="C442" s="22">
        <f t="shared" si="426"/>
        <v>438</v>
      </c>
      <c r="D442" s="34"/>
      <c r="E442" s="35"/>
      <c r="F442" s="35"/>
      <c r="G442" s="52"/>
      <c r="H442" s="36" t="str">
        <f t="shared" si="374"/>
        <v>RJ--438</v>
      </c>
      <c r="I442" s="36" t="str">
        <f t="shared" si="351"/>
        <v>--20</v>
      </c>
      <c r="J442" s="37" t="e">
        <f>VLOOKUP(D442,Laporan!$C$4:$D$34,2,0)</f>
        <v>#N/A</v>
      </c>
      <c r="K442" s="48"/>
      <c r="L442" s="13"/>
      <c r="M442" s="19">
        <f>SUMIF('DATABASE Room'!$B$3:$B$7,L442,'DATABASE Room'!$D$3:$D$7)</f>
        <v>0</v>
      </c>
      <c r="N442" s="13"/>
      <c r="O442" s="21">
        <f t="shared" si="352"/>
        <v>0</v>
      </c>
      <c r="P442" s="38"/>
      <c r="Q442" s="19">
        <f t="shared" si="353"/>
        <v>0</v>
      </c>
      <c r="R442" s="21">
        <f t="shared" si="354"/>
        <v>0</v>
      </c>
      <c r="S442" s="19">
        <f t="shared" si="355"/>
        <v>2</v>
      </c>
      <c r="T442" s="19">
        <f t="shared" si="356"/>
        <v>0</v>
      </c>
      <c r="U442" s="21">
        <f t="shared" si="357"/>
        <v>0</v>
      </c>
      <c r="V442" s="39"/>
      <c r="W442" s="16"/>
      <c r="X442" s="17">
        <f>VLOOKUP(W442,'DATABASE F&amp;B'!$C$3:$F$216,2,0)</f>
        <v>0</v>
      </c>
      <c r="Y442" s="18"/>
      <c r="Z442" s="19">
        <f>VLOOKUP(W442,'DATABASE F&amp;B'!$C$3:$F$216,4,0)</f>
        <v>0</v>
      </c>
      <c r="AA442" s="19">
        <f t="shared" si="358"/>
        <v>0</v>
      </c>
      <c r="AB442" s="16"/>
      <c r="AC442" s="17">
        <f>VLOOKUP(AB442,'DATABASE F&amp;B'!$C$3:$F$216,2,0)</f>
        <v>0</v>
      </c>
      <c r="AD442" s="18"/>
      <c r="AE442" s="19">
        <f>VLOOKUP(AB442,'DATABASE F&amp;B'!$C$3:$F$216,4,0)</f>
        <v>0</v>
      </c>
      <c r="AF442" s="19">
        <f t="shared" si="359"/>
        <v>0</v>
      </c>
      <c r="AG442" s="16"/>
      <c r="AH442" s="17">
        <f>VLOOKUP(AG442,'DATABASE F&amp;B'!$C$3:$F$216,2,0)</f>
        <v>0</v>
      </c>
      <c r="AI442" s="18"/>
      <c r="AJ442" s="19">
        <f>VLOOKUP(AG442,'DATABASE F&amp;B'!$C$3:$F$216,4,0)</f>
        <v>0</v>
      </c>
      <c r="AK442" s="19">
        <f t="shared" si="360"/>
        <v>0</v>
      </c>
      <c r="AL442" s="16"/>
      <c r="AM442" s="17">
        <f>VLOOKUP(AL442,'DATABASE F&amp;B'!$C$3:$F$216,2,0)</f>
        <v>0</v>
      </c>
      <c r="AN442" s="18">
        <v>1</v>
      </c>
      <c r="AO442" s="19">
        <f>VLOOKUP(AL442,'DATABASE F&amp;B'!$C$3:$F$216,4,0)</f>
        <v>0</v>
      </c>
      <c r="AP442" s="19">
        <f t="shared" si="361"/>
        <v>0</v>
      </c>
      <c r="AQ442" s="16"/>
      <c r="AR442" s="17">
        <f>VLOOKUP(AQ442,'DATABASE F&amp;B'!$C$3:$F$216,2,0)</f>
        <v>0</v>
      </c>
      <c r="AS442" s="18">
        <v>1</v>
      </c>
      <c r="AT442" s="19">
        <f>VLOOKUP(AQ442,'DATABASE F&amp;B'!$C$3:$F$216,4,0)</f>
        <v>0</v>
      </c>
      <c r="AU442" s="19">
        <f t="shared" si="362"/>
        <v>0</v>
      </c>
      <c r="AV442" s="16"/>
      <c r="AW442" s="17">
        <f>VLOOKUP(AV442,'DATABASE F&amp;B'!$C$3:$F$216,2,0)</f>
        <v>0</v>
      </c>
      <c r="AX442" s="18"/>
      <c r="AY442" s="19">
        <f>VLOOKUP(AV442,'DATABASE F&amp;B'!$C$3:$F$216,4,0)</f>
        <v>0</v>
      </c>
      <c r="AZ442" s="19">
        <f t="shared" si="363"/>
        <v>0</v>
      </c>
      <c r="BA442" s="16"/>
      <c r="BB442" s="17">
        <f>VLOOKUP(BA442,'DATABASE F&amp;B'!$C$3:$F$216,2,0)</f>
        <v>0</v>
      </c>
      <c r="BC442" s="18"/>
      <c r="BD442" s="19">
        <f>VLOOKUP(BA442,'DATABASE F&amp;B'!$C$3:$F$216,4,0)</f>
        <v>0</v>
      </c>
      <c r="BE442" s="19">
        <f t="shared" si="364"/>
        <v>0</v>
      </c>
      <c r="BF442" s="16"/>
      <c r="BG442" s="17">
        <f>VLOOKUP(BF442,'DATABASE F&amp;B'!$C$3:$F$216,2,0)</f>
        <v>0</v>
      </c>
      <c r="BH442" s="18"/>
      <c r="BI442" s="19">
        <f>VLOOKUP(BF442,'DATABASE F&amp;B'!$C$3:$F$216,4,0)</f>
        <v>0</v>
      </c>
      <c r="BJ442" s="19">
        <f t="shared" si="365"/>
        <v>0</v>
      </c>
      <c r="BK442" s="16"/>
      <c r="BL442" s="17">
        <f>VLOOKUP(BK442,'DATABASE F&amp;B'!$C$3:$F$210,2,0)</f>
        <v>0</v>
      </c>
      <c r="BM442" s="18"/>
      <c r="BN442" s="19">
        <f>VLOOKUP(BK442,'DATABASE F&amp;B'!$C$3:$F$210,4,0)</f>
        <v>0</v>
      </c>
      <c r="BO442" s="19">
        <f t="shared" si="366"/>
        <v>0</v>
      </c>
      <c r="BP442" s="16"/>
      <c r="BQ442" s="17">
        <f>VLOOKUP(BP442,'DATABASE F&amp;B'!$C$3:$F$210,2,0)</f>
        <v>0</v>
      </c>
      <c r="BR442" s="18"/>
      <c r="BS442" s="19">
        <f>VLOOKUP(BP442,'DATABASE F&amp;B'!$C$3:$F$210,4,0)</f>
        <v>0</v>
      </c>
      <c r="BT442" s="19">
        <f t="shared" si="367"/>
        <v>0</v>
      </c>
      <c r="BU442" s="16"/>
      <c r="BV442" s="17">
        <f>VLOOKUP(BU442,'DATABASE F&amp;B'!$C$3:$F$210,2,0)</f>
        <v>0</v>
      </c>
      <c r="BW442" s="18"/>
      <c r="BX442" s="19">
        <f>VLOOKUP(BU442,'DATABASE F&amp;B'!$C$3:$F$210,4,0)</f>
        <v>0</v>
      </c>
      <c r="BY442" s="19">
        <f t="shared" si="368"/>
        <v>0</v>
      </c>
      <c r="BZ442" s="16"/>
      <c r="CA442" s="17">
        <f>VLOOKUP(BZ442,'DATABASE F&amp;B'!$C$3:$F$210,2,0)</f>
        <v>0</v>
      </c>
      <c r="CB442" s="18"/>
      <c r="CC442" s="19">
        <f>VLOOKUP(BZ442,'DATABASE F&amp;B'!$C$3:$F$210,4,0)</f>
        <v>0</v>
      </c>
      <c r="CD442" s="19">
        <f t="shared" si="369"/>
        <v>0</v>
      </c>
    </row>
    <row r="443" spans="1:82" ht="13.5" x14ac:dyDescent="0.25">
      <c r="A443" s="32" t="str">
        <f t="shared" si="349"/>
        <v>--20</v>
      </c>
      <c r="B443" s="22">
        <f t="shared" ref="B443:C443" si="427">B442+1</f>
        <v>439</v>
      </c>
      <c r="C443" s="22">
        <f t="shared" si="427"/>
        <v>439</v>
      </c>
      <c r="D443" s="34"/>
      <c r="E443" s="35"/>
      <c r="F443" s="35"/>
      <c r="G443" s="52"/>
      <c r="H443" s="36" t="str">
        <f t="shared" si="374"/>
        <v>RJ--439</v>
      </c>
      <c r="I443" s="36" t="str">
        <f t="shared" si="351"/>
        <v>--20</v>
      </c>
      <c r="J443" s="37" t="e">
        <f>VLOOKUP(D443,Laporan!$C$4:$D$34,2,0)</f>
        <v>#N/A</v>
      </c>
      <c r="K443" s="48"/>
      <c r="L443" s="13"/>
      <c r="M443" s="19">
        <f>SUMIF('DATABASE Room'!$B$3:$B$7,L443,'DATABASE Room'!$D$3:$D$7)</f>
        <v>0</v>
      </c>
      <c r="N443" s="13"/>
      <c r="O443" s="21">
        <f t="shared" si="352"/>
        <v>0</v>
      </c>
      <c r="P443" s="38"/>
      <c r="Q443" s="19">
        <f t="shared" si="353"/>
        <v>0</v>
      </c>
      <c r="R443" s="21">
        <f t="shared" si="354"/>
        <v>0</v>
      </c>
      <c r="S443" s="19">
        <f t="shared" si="355"/>
        <v>2</v>
      </c>
      <c r="T443" s="19">
        <f t="shared" si="356"/>
        <v>0</v>
      </c>
      <c r="U443" s="21">
        <f t="shared" si="357"/>
        <v>0</v>
      </c>
      <c r="V443" s="39"/>
      <c r="W443" s="16"/>
      <c r="X443" s="17">
        <f>VLOOKUP(W443,'DATABASE F&amp;B'!$C$3:$F$216,2,0)</f>
        <v>0</v>
      </c>
      <c r="Y443" s="18"/>
      <c r="Z443" s="19">
        <f>VLOOKUP(W443,'DATABASE F&amp;B'!$C$3:$F$216,4,0)</f>
        <v>0</v>
      </c>
      <c r="AA443" s="19">
        <f t="shared" si="358"/>
        <v>0</v>
      </c>
      <c r="AB443" s="16"/>
      <c r="AC443" s="17">
        <f>VLOOKUP(AB443,'DATABASE F&amp;B'!$C$3:$F$216,2,0)</f>
        <v>0</v>
      </c>
      <c r="AD443" s="18"/>
      <c r="AE443" s="19">
        <f>VLOOKUP(AB443,'DATABASE F&amp;B'!$C$3:$F$216,4,0)</f>
        <v>0</v>
      </c>
      <c r="AF443" s="19">
        <f t="shared" si="359"/>
        <v>0</v>
      </c>
      <c r="AG443" s="16"/>
      <c r="AH443" s="17">
        <f>VLOOKUP(AG443,'DATABASE F&amp;B'!$C$3:$F$216,2,0)</f>
        <v>0</v>
      </c>
      <c r="AI443" s="18"/>
      <c r="AJ443" s="19">
        <f>VLOOKUP(AG443,'DATABASE F&amp;B'!$C$3:$F$216,4,0)</f>
        <v>0</v>
      </c>
      <c r="AK443" s="19">
        <f t="shared" si="360"/>
        <v>0</v>
      </c>
      <c r="AL443" s="16"/>
      <c r="AM443" s="17">
        <f>VLOOKUP(AL443,'DATABASE F&amp;B'!$C$3:$F$216,2,0)</f>
        <v>0</v>
      </c>
      <c r="AN443" s="18">
        <v>1</v>
      </c>
      <c r="AO443" s="19">
        <f>VLOOKUP(AL443,'DATABASE F&amp;B'!$C$3:$F$216,4,0)</f>
        <v>0</v>
      </c>
      <c r="AP443" s="19">
        <f t="shared" si="361"/>
        <v>0</v>
      </c>
      <c r="AQ443" s="16"/>
      <c r="AR443" s="17">
        <f>VLOOKUP(AQ443,'DATABASE F&amp;B'!$C$3:$F$216,2,0)</f>
        <v>0</v>
      </c>
      <c r="AS443" s="18">
        <v>1</v>
      </c>
      <c r="AT443" s="19">
        <f>VLOOKUP(AQ443,'DATABASE F&amp;B'!$C$3:$F$216,4,0)</f>
        <v>0</v>
      </c>
      <c r="AU443" s="19">
        <f t="shared" si="362"/>
        <v>0</v>
      </c>
      <c r="AV443" s="16"/>
      <c r="AW443" s="17">
        <f>VLOOKUP(AV443,'DATABASE F&amp;B'!$C$3:$F$216,2,0)</f>
        <v>0</v>
      </c>
      <c r="AX443" s="18"/>
      <c r="AY443" s="19">
        <f>VLOOKUP(AV443,'DATABASE F&amp;B'!$C$3:$F$216,4,0)</f>
        <v>0</v>
      </c>
      <c r="AZ443" s="19">
        <f t="shared" si="363"/>
        <v>0</v>
      </c>
      <c r="BA443" s="16"/>
      <c r="BB443" s="17">
        <f>VLOOKUP(BA443,'DATABASE F&amp;B'!$C$3:$F$216,2,0)</f>
        <v>0</v>
      </c>
      <c r="BC443" s="18"/>
      <c r="BD443" s="19">
        <f>VLOOKUP(BA443,'DATABASE F&amp;B'!$C$3:$F$216,4,0)</f>
        <v>0</v>
      </c>
      <c r="BE443" s="19">
        <f t="shared" si="364"/>
        <v>0</v>
      </c>
      <c r="BF443" s="16"/>
      <c r="BG443" s="17">
        <f>VLOOKUP(BF443,'DATABASE F&amp;B'!$C$3:$F$216,2,0)</f>
        <v>0</v>
      </c>
      <c r="BH443" s="18"/>
      <c r="BI443" s="19">
        <f>VLOOKUP(BF443,'DATABASE F&amp;B'!$C$3:$F$216,4,0)</f>
        <v>0</v>
      </c>
      <c r="BJ443" s="19">
        <f t="shared" si="365"/>
        <v>0</v>
      </c>
      <c r="BK443" s="16"/>
      <c r="BL443" s="17">
        <f>VLOOKUP(BK443,'DATABASE F&amp;B'!$C$3:$F$210,2,0)</f>
        <v>0</v>
      </c>
      <c r="BM443" s="18"/>
      <c r="BN443" s="19">
        <f>VLOOKUP(BK443,'DATABASE F&amp;B'!$C$3:$F$210,4,0)</f>
        <v>0</v>
      </c>
      <c r="BO443" s="19">
        <f t="shared" si="366"/>
        <v>0</v>
      </c>
      <c r="BP443" s="16"/>
      <c r="BQ443" s="17">
        <f>VLOOKUP(BP443,'DATABASE F&amp;B'!$C$3:$F$210,2,0)</f>
        <v>0</v>
      </c>
      <c r="BR443" s="18"/>
      <c r="BS443" s="19">
        <f>VLOOKUP(BP443,'DATABASE F&amp;B'!$C$3:$F$210,4,0)</f>
        <v>0</v>
      </c>
      <c r="BT443" s="19">
        <f t="shared" si="367"/>
        <v>0</v>
      </c>
      <c r="BU443" s="16"/>
      <c r="BV443" s="17">
        <f>VLOOKUP(BU443,'DATABASE F&amp;B'!$C$3:$F$210,2,0)</f>
        <v>0</v>
      </c>
      <c r="BW443" s="18"/>
      <c r="BX443" s="19">
        <f>VLOOKUP(BU443,'DATABASE F&amp;B'!$C$3:$F$210,4,0)</f>
        <v>0</v>
      </c>
      <c r="BY443" s="19">
        <f t="shared" si="368"/>
        <v>0</v>
      </c>
      <c r="BZ443" s="16"/>
      <c r="CA443" s="17">
        <f>VLOOKUP(BZ443,'DATABASE F&amp;B'!$C$3:$F$210,2,0)</f>
        <v>0</v>
      </c>
      <c r="CB443" s="18"/>
      <c r="CC443" s="19">
        <f>VLOOKUP(BZ443,'DATABASE F&amp;B'!$C$3:$F$210,4,0)</f>
        <v>0</v>
      </c>
      <c r="CD443" s="19">
        <f t="shared" si="369"/>
        <v>0</v>
      </c>
    </row>
    <row r="444" spans="1:82" ht="13.5" x14ac:dyDescent="0.25">
      <c r="A444" s="32" t="str">
        <f t="shared" si="349"/>
        <v>--20</v>
      </c>
      <c r="B444" s="22">
        <f t="shared" ref="B444:C444" si="428">B443+1</f>
        <v>440</v>
      </c>
      <c r="C444" s="22">
        <f t="shared" si="428"/>
        <v>440</v>
      </c>
      <c r="D444" s="34"/>
      <c r="E444" s="35"/>
      <c r="F444" s="35"/>
      <c r="G444" s="52"/>
      <c r="H444" s="36" t="str">
        <f t="shared" si="374"/>
        <v>RJ--440</v>
      </c>
      <c r="I444" s="36" t="str">
        <f t="shared" si="351"/>
        <v>--20</v>
      </c>
      <c r="J444" s="37" t="e">
        <f>VLOOKUP(D444,Laporan!$C$4:$D$34,2,0)</f>
        <v>#N/A</v>
      </c>
      <c r="K444" s="48"/>
      <c r="L444" s="13"/>
      <c r="M444" s="19">
        <f>SUMIF('DATABASE Room'!$B$3:$B$7,L444,'DATABASE Room'!$D$3:$D$7)</f>
        <v>0</v>
      </c>
      <c r="N444" s="13"/>
      <c r="O444" s="21">
        <f t="shared" si="352"/>
        <v>0</v>
      </c>
      <c r="P444" s="38"/>
      <c r="Q444" s="19">
        <f t="shared" si="353"/>
        <v>0</v>
      </c>
      <c r="R444" s="21">
        <f t="shared" si="354"/>
        <v>0</v>
      </c>
      <c r="S444" s="19">
        <f t="shared" si="355"/>
        <v>2</v>
      </c>
      <c r="T444" s="19">
        <f t="shared" si="356"/>
        <v>0</v>
      </c>
      <c r="U444" s="21">
        <f t="shared" si="357"/>
        <v>0</v>
      </c>
      <c r="V444" s="39"/>
      <c r="W444" s="16"/>
      <c r="X444" s="17">
        <f>VLOOKUP(W444,'DATABASE F&amp;B'!$C$3:$F$216,2,0)</f>
        <v>0</v>
      </c>
      <c r="Y444" s="18"/>
      <c r="Z444" s="19">
        <f>VLOOKUP(W444,'DATABASE F&amp;B'!$C$3:$F$216,4,0)</f>
        <v>0</v>
      </c>
      <c r="AA444" s="19">
        <f t="shared" si="358"/>
        <v>0</v>
      </c>
      <c r="AB444" s="16"/>
      <c r="AC444" s="17">
        <f>VLOOKUP(AB444,'DATABASE F&amp;B'!$C$3:$F$216,2,0)</f>
        <v>0</v>
      </c>
      <c r="AD444" s="18"/>
      <c r="AE444" s="19">
        <f>VLOOKUP(AB444,'DATABASE F&amp;B'!$C$3:$F$216,4,0)</f>
        <v>0</v>
      </c>
      <c r="AF444" s="19">
        <f t="shared" si="359"/>
        <v>0</v>
      </c>
      <c r="AG444" s="16"/>
      <c r="AH444" s="17">
        <f>VLOOKUP(AG444,'DATABASE F&amp;B'!$C$3:$F$216,2,0)</f>
        <v>0</v>
      </c>
      <c r="AI444" s="18"/>
      <c r="AJ444" s="19">
        <f>VLOOKUP(AG444,'DATABASE F&amp;B'!$C$3:$F$216,4,0)</f>
        <v>0</v>
      </c>
      <c r="AK444" s="19">
        <f t="shared" si="360"/>
        <v>0</v>
      </c>
      <c r="AL444" s="16"/>
      <c r="AM444" s="17">
        <f>VLOOKUP(AL444,'DATABASE F&amp;B'!$C$3:$F$216,2,0)</f>
        <v>0</v>
      </c>
      <c r="AN444" s="18">
        <v>1</v>
      </c>
      <c r="AO444" s="19">
        <f>VLOOKUP(AL444,'DATABASE F&amp;B'!$C$3:$F$216,4,0)</f>
        <v>0</v>
      </c>
      <c r="AP444" s="19">
        <f t="shared" si="361"/>
        <v>0</v>
      </c>
      <c r="AQ444" s="16"/>
      <c r="AR444" s="17">
        <f>VLOOKUP(AQ444,'DATABASE F&amp;B'!$C$3:$F$216,2,0)</f>
        <v>0</v>
      </c>
      <c r="AS444" s="18">
        <v>1</v>
      </c>
      <c r="AT444" s="19">
        <f>VLOOKUP(AQ444,'DATABASE F&amp;B'!$C$3:$F$216,4,0)</f>
        <v>0</v>
      </c>
      <c r="AU444" s="19">
        <f t="shared" si="362"/>
        <v>0</v>
      </c>
      <c r="AV444" s="16"/>
      <c r="AW444" s="17">
        <f>VLOOKUP(AV444,'DATABASE F&amp;B'!$C$3:$F$216,2,0)</f>
        <v>0</v>
      </c>
      <c r="AX444" s="18"/>
      <c r="AY444" s="19">
        <f>VLOOKUP(AV444,'DATABASE F&amp;B'!$C$3:$F$216,4,0)</f>
        <v>0</v>
      </c>
      <c r="AZ444" s="19">
        <f t="shared" si="363"/>
        <v>0</v>
      </c>
      <c r="BA444" s="16"/>
      <c r="BB444" s="17">
        <f>VLOOKUP(BA444,'DATABASE F&amp;B'!$C$3:$F$216,2,0)</f>
        <v>0</v>
      </c>
      <c r="BC444" s="18"/>
      <c r="BD444" s="19">
        <f>VLOOKUP(BA444,'DATABASE F&amp;B'!$C$3:$F$216,4,0)</f>
        <v>0</v>
      </c>
      <c r="BE444" s="19">
        <f t="shared" si="364"/>
        <v>0</v>
      </c>
      <c r="BF444" s="16"/>
      <c r="BG444" s="17">
        <f>VLOOKUP(BF444,'DATABASE F&amp;B'!$C$3:$F$216,2,0)</f>
        <v>0</v>
      </c>
      <c r="BH444" s="18"/>
      <c r="BI444" s="19">
        <f>VLOOKUP(BF444,'DATABASE F&amp;B'!$C$3:$F$216,4,0)</f>
        <v>0</v>
      </c>
      <c r="BJ444" s="19">
        <f t="shared" si="365"/>
        <v>0</v>
      </c>
      <c r="BK444" s="16"/>
      <c r="BL444" s="17">
        <f>VLOOKUP(BK444,'DATABASE F&amp;B'!$C$3:$F$210,2,0)</f>
        <v>0</v>
      </c>
      <c r="BM444" s="18"/>
      <c r="BN444" s="19">
        <f>VLOOKUP(BK444,'DATABASE F&amp;B'!$C$3:$F$210,4,0)</f>
        <v>0</v>
      </c>
      <c r="BO444" s="19">
        <f t="shared" si="366"/>
        <v>0</v>
      </c>
      <c r="BP444" s="16"/>
      <c r="BQ444" s="17">
        <f>VLOOKUP(BP444,'DATABASE F&amp;B'!$C$3:$F$210,2,0)</f>
        <v>0</v>
      </c>
      <c r="BR444" s="18"/>
      <c r="BS444" s="19">
        <f>VLOOKUP(BP444,'DATABASE F&amp;B'!$C$3:$F$210,4,0)</f>
        <v>0</v>
      </c>
      <c r="BT444" s="19">
        <f t="shared" si="367"/>
        <v>0</v>
      </c>
      <c r="BU444" s="16"/>
      <c r="BV444" s="17">
        <f>VLOOKUP(BU444,'DATABASE F&amp;B'!$C$3:$F$210,2,0)</f>
        <v>0</v>
      </c>
      <c r="BW444" s="18"/>
      <c r="BX444" s="19">
        <f>VLOOKUP(BU444,'DATABASE F&amp;B'!$C$3:$F$210,4,0)</f>
        <v>0</v>
      </c>
      <c r="BY444" s="19">
        <f t="shared" si="368"/>
        <v>0</v>
      </c>
      <c r="BZ444" s="16"/>
      <c r="CA444" s="17">
        <f>VLOOKUP(BZ444,'DATABASE F&amp;B'!$C$3:$F$210,2,0)</f>
        <v>0</v>
      </c>
      <c r="CB444" s="18"/>
      <c r="CC444" s="19">
        <f>VLOOKUP(BZ444,'DATABASE F&amp;B'!$C$3:$F$210,4,0)</f>
        <v>0</v>
      </c>
      <c r="CD444" s="19">
        <f t="shared" si="369"/>
        <v>0</v>
      </c>
    </row>
    <row r="445" spans="1:82" ht="13.5" x14ac:dyDescent="0.25">
      <c r="A445" s="32" t="str">
        <f t="shared" si="349"/>
        <v>--20</v>
      </c>
      <c r="B445" s="22">
        <f t="shared" ref="B445:C445" si="429">B444+1</f>
        <v>441</v>
      </c>
      <c r="C445" s="22">
        <f t="shared" si="429"/>
        <v>441</v>
      </c>
      <c r="D445" s="34"/>
      <c r="E445" s="35"/>
      <c r="F445" s="35"/>
      <c r="G445" s="52"/>
      <c r="H445" s="36" t="str">
        <f t="shared" si="374"/>
        <v>RJ--441</v>
      </c>
      <c r="I445" s="36" t="str">
        <f t="shared" si="351"/>
        <v>--20</v>
      </c>
      <c r="J445" s="37" t="e">
        <f>VLOOKUP(D445,Laporan!$C$4:$D$34,2,0)</f>
        <v>#N/A</v>
      </c>
      <c r="K445" s="48"/>
      <c r="L445" s="13"/>
      <c r="M445" s="19">
        <f>SUMIF('DATABASE Room'!$B$3:$B$7,L445,'DATABASE Room'!$D$3:$D$7)</f>
        <v>0</v>
      </c>
      <c r="N445" s="13"/>
      <c r="O445" s="21">
        <f t="shared" si="352"/>
        <v>0</v>
      </c>
      <c r="P445" s="38"/>
      <c r="Q445" s="19">
        <f t="shared" si="353"/>
        <v>0</v>
      </c>
      <c r="R445" s="21">
        <f t="shared" si="354"/>
        <v>0</v>
      </c>
      <c r="S445" s="19">
        <f t="shared" si="355"/>
        <v>2</v>
      </c>
      <c r="T445" s="19">
        <f t="shared" si="356"/>
        <v>0</v>
      </c>
      <c r="U445" s="21">
        <f t="shared" si="357"/>
        <v>0</v>
      </c>
      <c r="V445" s="39"/>
      <c r="W445" s="16"/>
      <c r="X445" s="17">
        <f>VLOOKUP(W445,'DATABASE F&amp;B'!$C$3:$F$216,2,0)</f>
        <v>0</v>
      </c>
      <c r="Y445" s="18"/>
      <c r="Z445" s="19">
        <f>VLOOKUP(W445,'DATABASE F&amp;B'!$C$3:$F$216,4,0)</f>
        <v>0</v>
      </c>
      <c r="AA445" s="19">
        <f t="shared" si="358"/>
        <v>0</v>
      </c>
      <c r="AB445" s="16"/>
      <c r="AC445" s="17">
        <f>VLOOKUP(AB445,'DATABASE F&amp;B'!$C$3:$F$216,2,0)</f>
        <v>0</v>
      </c>
      <c r="AD445" s="18"/>
      <c r="AE445" s="19">
        <f>VLOOKUP(AB445,'DATABASE F&amp;B'!$C$3:$F$216,4,0)</f>
        <v>0</v>
      </c>
      <c r="AF445" s="19">
        <f t="shared" si="359"/>
        <v>0</v>
      </c>
      <c r="AG445" s="16"/>
      <c r="AH445" s="17">
        <f>VLOOKUP(AG445,'DATABASE F&amp;B'!$C$3:$F$216,2,0)</f>
        <v>0</v>
      </c>
      <c r="AI445" s="18"/>
      <c r="AJ445" s="19">
        <f>VLOOKUP(AG445,'DATABASE F&amp;B'!$C$3:$F$216,4,0)</f>
        <v>0</v>
      </c>
      <c r="AK445" s="19">
        <f t="shared" si="360"/>
        <v>0</v>
      </c>
      <c r="AL445" s="16"/>
      <c r="AM445" s="17">
        <f>VLOOKUP(AL445,'DATABASE F&amp;B'!$C$3:$F$216,2,0)</f>
        <v>0</v>
      </c>
      <c r="AN445" s="18">
        <v>1</v>
      </c>
      <c r="AO445" s="19">
        <f>VLOOKUP(AL445,'DATABASE F&amp;B'!$C$3:$F$216,4,0)</f>
        <v>0</v>
      </c>
      <c r="AP445" s="19">
        <f t="shared" si="361"/>
        <v>0</v>
      </c>
      <c r="AQ445" s="16"/>
      <c r="AR445" s="17">
        <f>VLOOKUP(AQ445,'DATABASE F&amp;B'!$C$3:$F$216,2,0)</f>
        <v>0</v>
      </c>
      <c r="AS445" s="18">
        <v>1</v>
      </c>
      <c r="AT445" s="19">
        <f>VLOOKUP(AQ445,'DATABASE F&amp;B'!$C$3:$F$216,4,0)</f>
        <v>0</v>
      </c>
      <c r="AU445" s="19">
        <f t="shared" si="362"/>
        <v>0</v>
      </c>
      <c r="AV445" s="16"/>
      <c r="AW445" s="17">
        <f>VLOOKUP(AV445,'DATABASE F&amp;B'!$C$3:$F$216,2,0)</f>
        <v>0</v>
      </c>
      <c r="AX445" s="18"/>
      <c r="AY445" s="19">
        <f>VLOOKUP(AV445,'DATABASE F&amp;B'!$C$3:$F$216,4,0)</f>
        <v>0</v>
      </c>
      <c r="AZ445" s="19">
        <f t="shared" si="363"/>
        <v>0</v>
      </c>
      <c r="BA445" s="16"/>
      <c r="BB445" s="17">
        <f>VLOOKUP(BA445,'DATABASE F&amp;B'!$C$3:$F$216,2,0)</f>
        <v>0</v>
      </c>
      <c r="BC445" s="18"/>
      <c r="BD445" s="19">
        <f>VLOOKUP(BA445,'DATABASE F&amp;B'!$C$3:$F$216,4,0)</f>
        <v>0</v>
      </c>
      <c r="BE445" s="19">
        <f t="shared" si="364"/>
        <v>0</v>
      </c>
      <c r="BF445" s="16"/>
      <c r="BG445" s="17">
        <f>VLOOKUP(BF445,'DATABASE F&amp;B'!$C$3:$F$216,2,0)</f>
        <v>0</v>
      </c>
      <c r="BH445" s="18"/>
      <c r="BI445" s="19">
        <f>VLOOKUP(BF445,'DATABASE F&amp;B'!$C$3:$F$216,4,0)</f>
        <v>0</v>
      </c>
      <c r="BJ445" s="19">
        <f t="shared" si="365"/>
        <v>0</v>
      </c>
      <c r="BK445" s="16"/>
      <c r="BL445" s="17">
        <f>VLOOKUP(BK445,'DATABASE F&amp;B'!$C$3:$F$210,2,0)</f>
        <v>0</v>
      </c>
      <c r="BM445" s="18"/>
      <c r="BN445" s="19">
        <f>VLOOKUP(BK445,'DATABASE F&amp;B'!$C$3:$F$210,4,0)</f>
        <v>0</v>
      </c>
      <c r="BO445" s="19">
        <f t="shared" si="366"/>
        <v>0</v>
      </c>
      <c r="BP445" s="16"/>
      <c r="BQ445" s="17">
        <f>VLOOKUP(BP445,'DATABASE F&amp;B'!$C$3:$F$210,2,0)</f>
        <v>0</v>
      </c>
      <c r="BR445" s="18"/>
      <c r="BS445" s="19">
        <f>VLOOKUP(BP445,'DATABASE F&amp;B'!$C$3:$F$210,4,0)</f>
        <v>0</v>
      </c>
      <c r="BT445" s="19">
        <f t="shared" si="367"/>
        <v>0</v>
      </c>
      <c r="BU445" s="16"/>
      <c r="BV445" s="17">
        <f>VLOOKUP(BU445,'DATABASE F&amp;B'!$C$3:$F$210,2,0)</f>
        <v>0</v>
      </c>
      <c r="BW445" s="18"/>
      <c r="BX445" s="19">
        <f>VLOOKUP(BU445,'DATABASE F&amp;B'!$C$3:$F$210,4,0)</f>
        <v>0</v>
      </c>
      <c r="BY445" s="19">
        <f t="shared" si="368"/>
        <v>0</v>
      </c>
      <c r="BZ445" s="16"/>
      <c r="CA445" s="17">
        <f>VLOOKUP(BZ445,'DATABASE F&amp;B'!$C$3:$F$210,2,0)</f>
        <v>0</v>
      </c>
      <c r="CB445" s="18"/>
      <c r="CC445" s="19">
        <f>VLOOKUP(BZ445,'DATABASE F&amp;B'!$C$3:$F$210,4,0)</f>
        <v>0</v>
      </c>
      <c r="CD445" s="19">
        <f t="shared" si="369"/>
        <v>0</v>
      </c>
    </row>
    <row r="446" spans="1:82" ht="13.5" x14ac:dyDescent="0.25">
      <c r="A446" s="32" t="str">
        <f t="shared" si="349"/>
        <v>--20</v>
      </c>
      <c r="B446" s="22">
        <f t="shared" ref="B446:C446" si="430">B445+1</f>
        <v>442</v>
      </c>
      <c r="C446" s="22">
        <f t="shared" si="430"/>
        <v>442</v>
      </c>
      <c r="D446" s="34"/>
      <c r="E446" s="35"/>
      <c r="F446" s="35"/>
      <c r="G446" s="52"/>
      <c r="H446" s="36" t="str">
        <f t="shared" si="374"/>
        <v>RJ--442</v>
      </c>
      <c r="I446" s="36" t="str">
        <f t="shared" si="351"/>
        <v>--20</v>
      </c>
      <c r="J446" s="37" t="e">
        <f>VLOOKUP(D446,Laporan!$C$4:$D$34,2,0)</f>
        <v>#N/A</v>
      </c>
      <c r="K446" s="48"/>
      <c r="L446" s="13"/>
      <c r="M446" s="19">
        <f>SUMIF('DATABASE Room'!$B$3:$B$7,L446,'DATABASE Room'!$D$3:$D$7)</f>
        <v>0</v>
      </c>
      <c r="N446" s="13"/>
      <c r="O446" s="21">
        <f t="shared" si="352"/>
        <v>0</v>
      </c>
      <c r="P446" s="38"/>
      <c r="Q446" s="19">
        <f t="shared" si="353"/>
        <v>0</v>
      </c>
      <c r="R446" s="21">
        <f t="shared" si="354"/>
        <v>0</v>
      </c>
      <c r="S446" s="19">
        <f t="shared" si="355"/>
        <v>2</v>
      </c>
      <c r="T446" s="19">
        <f t="shared" si="356"/>
        <v>0</v>
      </c>
      <c r="U446" s="21">
        <f t="shared" si="357"/>
        <v>0</v>
      </c>
      <c r="V446" s="39"/>
      <c r="W446" s="16"/>
      <c r="X446" s="17">
        <f>VLOOKUP(W446,'DATABASE F&amp;B'!$C$3:$F$216,2,0)</f>
        <v>0</v>
      </c>
      <c r="Y446" s="18"/>
      <c r="Z446" s="19">
        <f>VLOOKUP(W446,'DATABASE F&amp;B'!$C$3:$F$216,4,0)</f>
        <v>0</v>
      </c>
      <c r="AA446" s="19">
        <f t="shared" si="358"/>
        <v>0</v>
      </c>
      <c r="AB446" s="16"/>
      <c r="AC446" s="17">
        <f>VLOOKUP(AB446,'DATABASE F&amp;B'!$C$3:$F$216,2,0)</f>
        <v>0</v>
      </c>
      <c r="AD446" s="18"/>
      <c r="AE446" s="19">
        <f>VLOOKUP(AB446,'DATABASE F&amp;B'!$C$3:$F$216,4,0)</f>
        <v>0</v>
      </c>
      <c r="AF446" s="19">
        <f t="shared" si="359"/>
        <v>0</v>
      </c>
      <c r="AG446" s="16"/>
      <c r="AH446" s="17">
        <f>VLOOKUP(AG446,'DATABASE F&amp;B'!$C$3:$F$216,2,0)</f>
        <v>0</v>
      </c>
      <c r="AI446" s="18"/>
      <c r="AJ446" s="19">
        <f>VLOOKUP(AG446,'DATABASE F&amp;B'!$C$3:$F$216,4,0)</f>
        <v>0</v>
      </c>
      <c r="AK446" s="19">
        <f t="shared" si="360"/>
        <v>0</v>
      </c>
      <c r="AL446" s="16"/>
      <c r="AM446" s="17">
        <f>VLOOKUP(AL446,'DATABASE F&amp;B'!$C$3:$F$216,2,0)</f>
        <v>0</v>
      </c>
      <c r="AN446" s="18">
        <v>1</v>
      </c>
      <c r="AO446" s="19">
        <f>VLOOKUP(AL446,'DATABASE F&amp;B'!$C$3:$F$216,4,0)</f>
        <v>0</v>
      </c>
      <c r="AP446" s="19">
        <f t="shared" si="361"/>
        <v>0</v>
      </c>
      <c r="AQ446" s="16"/>
      <c r="AR446" s="17">
        <f>VLOOKUP(AQ446,'DATABASE F&amp;B'!$C$3:$F$216,2,0)</f>
        <v>0</v>
      </c>
      <c r="AS446" s="18">
        <v>1</v>
      </c>
      <c r="AT446" s="19">
        <f>VLOOKUP(AQ446,'DATABASE F&amp;B'!$C$3:$F$216,4,0)</f>
        <v>0</v>
      </c>
      <c r="AU446" s="19">
        <f t="shared" si="362"/>
        <v>0</v>
      </c>
      <c r="AV446" s="16"/>
      <c r="AW446" s="17">
        <f>VLOOKUP(AV446,'DATABASE F&amp;B'!$C$3:$F$216,2,0)</f>
        <v>0</v>
      </c>
      <c r="AX446" s="18"/>
      <c r="AY446" s="19">
        <f>VLOOKUP(AV446,'DATABASE F&amp;B'!$C$3:$F$216,4,0)</f>
        <v>0</v>
      </c>
      <c r="AZ446" s="19">
        <f t="shared" si="363"/>
        <v>0</v>
      </c>
      <c r="BA446" s="16"/>
      <c r="BB446" s="17">
        <f>VLOOKUP(BA446,'DATABASE F&amp;B'!$C$3:$F$216,2,0)</f>
        <v>0</v>
      </c>
      <c r="BC446" s="18"/>
      <c r="BD446" s="19">
        <f>VLOOKUP(BA446,'DATABASE F&amp;B'!$C$3:$F$216,4,0)</f>
        <v>0</v>
      </c>
      <c r="BE446" s="19">
        <f t="shared" si="364"/>
        <v>0</v>
      </c>
      <c r="BF446" s="16"/>
      <c r="BG446" s="17">
        <f>VLOOKUP(BF446,'DATABASE F&amp;B'!$C$3:$F$216,2,0)</f>
        <v>0</v>
      </c>
      <c r="BH446" s="18"/>
      <c r="BI446" s="19">
        <f>VLOOKUP(BF446,'DATABASE F&amp;B'!$C$3:$F$216,4,0)</f>
        <v>0</v>
      </c>
      <c r="BJ446" s="19">
        <f t="shared" si="365"/>
        <v>0</v>
      </c>
      <c r="BK446" s="16"/>
      <c r="BL446" s="17">
        <f>VLOOKUP(BK446,'DATABASE F&amp;B'!$C$3:$F$210,2,0)</f>
        <v>0</v>
      </c>
      <c r="BM446" s="18"/>
      <c r="BN446" s="19">
        <f>VLOOKUP(BK446,'DATABASE F&amp;B'!$C$3:$F$210,4,0)</f>
        <v>0</v>
      </c>
      <c r="BO446" s="19">
        <f t="shared" si="366"/>
        <v>0</v>
      </c>
      <c r="BP446" s="16"/>
      <c r="BQ446" s="17">
        <f>VLOOKUP(BP446,'DATABASE F&amp;B'!$C$3:$F$210,2,0)</f>
        <v>0</v>
      </c>
      <c r="BR446" s="18"/>
      <c r="BS446" s="19">
        <f>VLOOKUP(BP446,'DATABASE F&amp;B'!$C$3:$F$210,4,0)</f>
        <v>0</v>
      </c>
      <c r="BT446" s="19">
        <f t="shared" si="367"/>
        <v>0</v>
      </c>
      <c r="BU446" s="16"/>
      <c r="BV446" s="17">
        <f>VLOOKUP(BU446,'DATABASE F&amp;B'!$C$3:$F$210,2,0)</f>
        <v>0</v>
      </c>
      <c r="BW446" s="18"/>
      <c r="BX446" s="19">
        <f>VLOOKUP(BU446,'DATABASE F&amp;B'!$C$3:$F$210,4,0)</f>
        <v>0</v>
      </c>
      <c r="BY446" s="19">
        <f t="shared" si="368"/>
        <v>0</v>
      </c>
      <c r="BZ446" s="16"/>
      <c r="CA446" s="17">
        <f>VLOOKUP(BZ446,'DATABASE F&amp;B'!$C$3:$F$210,2,0)</f>
        <v>0</v>
      </c>
      <c r="CB446" s="18"/>
      <c r="CC446" s="19">
        <f>VLOOKUP(BZ446,'DATABASE F&amp;B'!$C$3:$F$210,4,0)</f>
        <v>0</v>
      </c>
      <c r="CD446" s="19">
        <f t="shared" si="369"/>
        <v>0</v>
      </c>
    </row>
    <row r="447" spans="1:82" ht="13.5" x14ac:dyDescent="0.25">
      <c r="A447" s="32" t="str">
        <f t="shared" si="349"/>
        <v>--20</v>
      </c>
      <c r="B447" s="22">
        <f t="shared" ref="B447:C447" si="431">B446+1</f>
        <v>443</v>
      </c>
      <c r="C447" s="22">
        <f t="shared" si="431"/>
        <v>443</v>
      </c>
      <c r="D447" s="34"/>
      <c r="E447" s="35"/>
      <c r="F447" s="35"/>
      <c r="G447" s="52"/>
      <c r="H447" s="36" t="str">
        <f t="shared" si="374"/>
        <v>RJ--443</v>
      </c>
      <c r="I447" s="36" t="str">
        <f t="shared" si="351"/>
        <v>--20</v>
      </c>
      <c r="J447" s="37" t="e">
        <f>VLOOKUP(D447,Laporan!$C$4:$D$34,2,0)</f>
        <v>#N/A</v>
      </c>
      <c r="K447" s="48"/>
      <c r="L447" s="13"/>
      <c r="M447" s="19">
        <f>SUMIF('DATABASE Room'!$B$3:$B$7,L447,'DATABASE Room'!$D$3:$D$7)</f>
        <v>0</v>
      </c>
      <c r="N447" s="13"/>
      <c r="O447" s="21">
        <f t="shared" si="352"/>
        <v>0</v>
      </c>
      <c r="P447" s="38"/>
      <c r="Q447" s="19">
        <f t="shared" si="353"/>
        <v>0</v>
      </c>
      <c r="R447" s="21">
        <f t="shared" si="354"/>
        <v>0</v>
      </c>
      <c r="S447" s="19">
        <f t="shared" si="355"/>
        <v>2</v>
      </c>
      <c r="T447" s="19">
        <f t="shared" si="356"/>
        <v>0</v>
      </c>
      <c r="U447" s="21">
        <f t="shared" si="357"/>
        <v>0</v>
      </c>
      <c r="V447" s="39"/>
      <c r="W447" s="16"/>
      <c r="X447" s="17">
        <f>VLOOKUP(W447,'DATABASE F&amp;B'!$C$3:$F$216,2,0)</f>
        <v>0</v>
      </c>
      <c r="Y447" s="18"/>
      <c r="Z447" s="19">
        <f>VLOOKUP(W447,'DATABASE F&amp;B'!$C$3:$F$216,4,0)</f>
        <v>0</v>
      </c>
      <c r="AA447" s="19">
        <f t="shared" si="358"/>
        <v>0</v>
      </c>
      <c r="AB447" s="16"/>
      <c r="AC447" s="17">
        <f>VLOOKUP(AB447,'DATABASE F&amp;B'!$C$3:$F$216,2,0)</f>
        <v>0</v>
      </c>
      <c r="AD447" s="18"/>
      <c r="AE447" s="19">
        <f>VLOOKUP(AB447,'DATABASE F&amp;B'!$C$3:$F$216,4,0)</f>
        <v>0</v>
      </c>
      <c r="AF447" s="19">
        <f t="shared" si="359"/>
        <v>0</v>
      </c>
      <c r="AG447" s="16"/>
      <c r="AH447" s="17">
        <f>VLOOKUP(AG447,'DATABASE F&amp;B'!$C$3:$F$216,2,0)</f>
        <v>0</v>
      </c>
      <c r="AI447" s="18"/>
      <c r="AJ447" s="19">
        <f>VLOOKUP(AG447,'DATABASE F&amp;B'!$C$3:$F$216,4,0)</f>
        <v>0</v>
      </c>
      <c r="AK447" s="19">
        <f t="shared" si="360"/>
        <v>0</v>
      </c>
      <c r="AL447" s="16"/>
      <c r="AM447" s="17">
        <f>VLOOKUP(AL447,'DATABASE F&amp;B'!$C$3:$F$216,2,0)</f>
        <v>0</v>
      </c>
      <c r="AN447" s="18">
        <v>1</v>
      </c>
      <c r="AO447" s="19">
        <f>VLOOKUP(AL447,'DATABASE F&amp;B'!$C$3:$F$216,4,0)</f>
        <v>0</v>
      </c>
      <c r="AP447" s="19">
        <f t="shared" si="361"/>
        <v>0</v>
      </c>
      <c r="AQ447" s="16"/>
      <c r="AR447" s="17">
        <f>VLOOKUP(AQ447,'DATABASE F&amp;B'!$C$3:$F$216,2,0)</f>
        <v>0</v>
      </c>
      <c r="AS447" s="18">
        <v>1</v>
      </c>
      <c r="AT447" s="19">
        <f>VLOOKUP(AQ447,'DATABASE F&amp;B'!$C$3:$F$216,4,0)</f>
        <v>0</v>
      </c>
      <c r="AU447" s="19">
        <f t="shared" si="362"/>
        <v>0</v>
      </c>
      <c r="AV447" s="16"/>
      <c r="AW447" s="17">
        <f>VLOOKUP(AV447,'DATABASE F&amp;B'!$C$3:$F$216,2,0)</f>
        <v>0</v>
      </c>
      <c r="AX447" s="18"/>
      <c r="AY447" s="19">
        <f>VLOOKUP(AV447,'DATABASE F&amp;B'!$C$3:$F$216,4,0)</f>
        <v>0</v>
      </c>
      <c r="AZ447" s="19">
        <f t="shared" si="363"/>
        <v>0</v>
      </c>
      <c r="BA447" s="16"/>
      <c r="BB447" s="17">
        <f>VLOOKUP(BA447,'DATABASE F&amp;B'!$C$3:$F$216,2,0)</f>
        <v>0</v>
      </c>
      <c r="BC447" s="18"/>
      <c r="BD447" s="19">
        <f>VLOOKUP(BA447,'DATABASE F&amp;B'!$C$3:$F$216,4,0)</f>
        <v>0</v>
      </c>
      <c r="BE447" s="19">
        <f t="shared" si="364"/>
        <v>0</v>
      </c>
      <c r="BF447" s="16"/>
      <c r="BG447" s="17">
        <f>VLOOKUP(BF447,'DATABASE F&amp;B'!$C$3:$F$216,2,0)</f>
        <v>0</v>
      </c>
      <c r="BH447" s="18"/>
      <c r="BI447" s="19">
        <f>VLOOKUP(BF447,'DATABASE F&amp;B'!$C$3:$F$216,4,0)</f>
        <v>0</v>
      </c>
      <c r="BJ447" s="19">
        <f t="shared" si="365"/>
        <v>0</v>
      </c>
      <c r="BK447" s="16"/>
      <c r="BL447" s="17">
        <f>VLOOKUP(BK447,'DATABASE F&amp;B'!$C$3:$F$210,2,0)</f>
        <v>0</v>
      </c>
      <c r="BM447" s="18"/>
      <c r="BN447" s="19">
        <f>VLOOKUP(BK447,'DATABASE F&amp;B'!$C$3:$F$210,4,0)</f>
        <v>0</v>
      </c>
      <c r="BO447" s="19">
        <f t="shared" si="366"/>
        <v>0</v>
      </c>
      <c r="BP447" s="16"/>
      <c r="BQ447" s="17">
        <f>VLOOKUP(BP447,'DATABASE F&amp;B'!$C$3:$F$210,2,0)</f>
        <v>0</v>
      </c>
      <c r="BR447" s="18"/>
      <c r="BS447" s="19">
        <f>VLOOKUP(BP447,'DATABASE F&amp;B'!$C$3:$F$210,4,0)</f>
        <v>0</v>
      </c>
      <c r="BT447" s="19">
        <f t="shared" si="367"/>
        <v>0</v>
      </c>
      <c r="BU447" s="16"/>
      <c r="BV447" s="17">
        <f>VLOOKUP(BU447,'DATABASE F&amp;B'!$C$3:$F$210,2,0)</f>
        <v>0</v>
      </c>
      <c r="BW447" s="18"/>
      <c r="BX447" s="19">
        <f>VLOOKUP(BU447,'DATABASE F&amp;B'!$C$3:$F$210,4,0)</f>
        <v>0</v>
      </c>
      <c r="BY447" s="19">
        <f t="shared" si="368"/>
        <v>0</v>
      </c>
      <c r="BZ447" s="16"/>
      <c r="CA447" s="17">
        <f>VLOOKUP(BZ447,'DATABASE F&amp;B'!$C$3:$F$210,2,0)</f>
        <v>0</v>
      </c>
      <c r="CB447" s="18"/>
      <c r="CC447" s="19">
        <f>VLOOKUP(BZ447,'DATABASE F&amp;B'!$C$3:$F$210,4,0)</f>
        <v>0</v>
      </c>
      <c r="CD447" s="19">
        <f t="shared" si="369"/>
        <v>0</v>
      </c>
    </row>
    <row r="448" spans="1:82" ht="13.5" x14ac:dyDescent="0.25">
      <c r="A448" s="32" t="str">
        <f t="shared" si="349"/>
        <v>--20</v>
      </c>
      <c r="B448" s="22">
        <f t="shared" ref="B448:C448" si="432">B447+1</f>
        <v>444</v>
      </c>
      <c r="C448" s="22">
        <f t="shared" si="432"/>
        <v>444</v>
      </c>
      <c r="D448" s="34"/>
      <c r="E448" s="35"/>
      <c r="F448" s="35"/>
      <c r="G448" s="52"/>
      <c r="H448" s="36" t="str">
        <f t="shared" si="374"/>
        <v>RJ--444</v>
      </c>
      <c r="I448" s="36" t="str">
        <f t="shared" si="351"/>
        <v>--20</v>
      </c>
      <c r="J448" s="37" t="e">
        <f>VLOOKUP(D448,Laporan!$C$4:$D$34,2,0)</f>
        <v>#N/A</v>
      </c>
      <c r="K448" s="48"/>
      <c r="L448" s="13"/>
      <c r="M448" s="19">
        <f>SUMIF('DATABASE Room'!$B$3:$B$7,L448,'DATABASE Room'!$D$3:$D$7)</f>
        <v>0</v>
      </c>
      <c r="N448" s="13"/>
      <c r="O448" s="21">
        <f t="shared" si="352"/>
        <v>0</v>
      </c>
      <c r="P448" s="38"/>
      <c r="Q448" s="19">
        <f t="shared" si="353"/>
        <v>0</v>
      </c>
      <c r="R448" s="21">
        <f t="shared" si="354"/>
        <v>0</v>
      </c>
      <c r="S448" s="19">
        <f t="shared" si="355"/>
        <v>2</v>
      </c>
      <c r="T448" s="19">
        <f t="shared" si="356"/>
        <v>0</v>
      </c>
      <c r="U448" s="21">
        <f t="shared" si="357"/>
        <v>0</v>
      </c>
      <c r="V448" s="39"/>
      <c r="W448" s="16"/>
      <c r="X448" s="17">
        <f>VLOOKUP(W448,'DATABASE F&amp;B'!$C$3:$F$216,2,0)</f>
        <v>0</v>
      </c>
      <c r="Y448" s="18"/>
      <c r="Z448" s="19">
        <f>VLOOKUP(W448,'DATABASE F&amp;B'!$C$3:$F$216,4,0)</f>
        <v>0</v>
      </c>
      <c r="AA448" s="19">
        <f t="shared" si="358"/>
        <v>0</v>
      </c>
      <c r="AB448" s="16"/>
      <c r="AC448" s="17">
        <f>VLOOKUP(AB448,'DATABASE F&amp;B'!$C$3:$F$216,2,0)</f>
        <v>0</v>
      </c>
      <c r="AD448" s="18"/>
      <c r="AE448" s="19">
        <f>VLOOKUP(AB448,'DATABASE F&amp;B'!$C$3:$F$216,4,0)</f>
        <v>0</v>
      </c>
      <c r="AF448" s="19">
        <f t="shared" si="359"/>
        <v>0</v>
      </c>
      <c r="AG448" s="16"/>
      <c r="AH448" s="17">
        <f>VLOOKUP(AG448,'DATABASE F&amp;B'!$C$3:$F$216,2,0)</f>
        <v>0</v>
      </c>
      <c r="AI448" s="18"/>
      <c r="AJ448" s="19">
        <f>VLOOKUP(AG448,'DATABASE F&amp;B'!$C$3:$F$216,4,0)</f>
        <v>0</v>
      </c>
      <c r="AK448" s="19">
        <f t="shared" si="360"/>
        <v>0</v>
      </c>
      <c r="AL448" s="16"/>
      <c r="AM448" s="17">
        <f>VLOOKUP(AL448,'DATABASE F&amp;B'!$C$3:$F$216,2,0)</f>
        <v>0</v>
      </c>
      <c r="AN448" s="18">
        <v>1</v>
      </c>
      <c r="AO448" s="19">
        <f>VLOOKUP(AL448,'DATABASE F&amp;B'!$C$3:$F$216,4,0)</f>
        <v>0</v>
      </c>
      <c r="AP448" s="19">
        <f t="shared" si="361"/>
        <v>0</v>
      </c>
      <c r="AQ448" s="16"/>
      <c r="AR448" s="17">
        <f>VLOOKUP(AQ448,'DATABASE F&amp;B'!$C$3:$F$216,2,0)</f>
        <v>0</v>
      </c>
      <c r="AS448" s="18">
        <v>1</v>
      </c>
      <c r="AT448" s="19">
        <f>VLOOKUP(AQ448,'DATABASE F&amp;B'!$C$3:$F$216,4,0)</f>
        <v>0</v>
      </c>
      <c r="AU448" s="19">
        <f t="shared" si="362"/>
        <v>0</v>
      </c>
      <c r="AV448" s="16"/>
      <c r="AW448" s="17">
        <f>VLOOKUP(AV448,'DATABASE F&amp;B'!$C$3:$F$216,2,0)</f>
        <v>0</v>
      </c>
      <c r="AX448" s="18"/>
      <c r="AY448" s="19">
        <f>VLOOKUP(AV448,'DATABASE F&amp;B'!$C$3:$F$216,4,0)</f>
        <v>0</v>
      </c>
      <c r="AZ448" s="19">
        <f t="shared" si="363"/>
        <v>0</v>
      </c>
      <c r="BA448" s="16"/>
      <c r="BB448" s="17">
        <f>VLOOKUP(BA448,'DATABASE F&amp;B'!$C$3:$F$216,2,0)</f>
        <v>0</v>
      </c>
      <c r="BC448" s="18"/>
      <c r="BD448" s="19">
        <f>VLOOKUP(BA448,'DATABASE F&amp;B'!$C$3:$F$216,4,0)</f>
        <v>0</v>
      </c>
      <c r="BE448" s="19">
        <f t="shared" si="364"/>
        <v>0</v>
      </c>
      <c r="BF448" s="16"/>
      <c r="BG448" s="17">
        <f>VLOOKUP(BF448,'DATABASE F&amp;B'!$C$3:$F$216,2,0)</f>
        <v>0</v>
      </c>
      <c r="BH448" s="18"/>
      <c r="BI448" s="19">
        <f>VLOOKUP(BF448,'DATABASE F&amp;B'!$C$3:$F$216,4,0)</f>
        <v>0</v>
      </c>
      <c r="BJ448" s="19">
        <f t="shared" si="365"/>
        <v>0</v>
      </c>
      <c r="BK448" s="16"/>
      <c r="BL448" s="17">
        <f>VLOOKUP(BK448,'DATABASE F&amp;B'!$C$3:$F$210,2,0)</f>
        <v>0</v>
      </c>
      <c r="BM448" s="18"/>
      <c r="BN448" s="19">
        <f>VLOOKUP(BK448,'DATABASE F&amp;B'!$C$3:$F$210,4,0)</f>
        <v>0</v>
      </c>
      <c r="BO448" s="19">
        <f t="shared" si="366"/>
        <v>0</v>
      </c>
      <c r="BP448" s="16"/>
      <c r="BQ448" s="17">
        <f>VLOOKUP(BP448,'DATABASE F&amp;B'!$C$3:$F$210,2,0)</f>
        <v>0</v>
      </c>
      <c r="BR448" s="18"/>
      <c r="BS448" s="19">
        <f>VLOOKUP(BP448,'DATABASE F&amp;B'!$C$3:$F$210,4,0)</f>
        <v>0</v>
      </c>
      <c r="BT448" s="19">
        <f t="shared" si="367"/>
        <v>0</v>
      </c>
      <c r="BU448" s="16"/>
      <c r="BV448" s="17">
        <f>VLOOKUP(BU448,'DATABASE F&amp;B'!$C$3:$F$210,2,0)</f>
        <v>0</v>
      </c>
      <c r="BW448" s="18"/>
      <c r="BX448" s="19">
        <f>VLOOKUP(BU448,'DATABASE F&amp;B'!$C$3:$F$210,4,0)</f>
        <v>0</v>
      </c>
      <c r="BY448" s="19">
        <f t="shared" si="368"/>
        <v>0</v>
      </c>
      <c r="BZ448" s="16"/>
      <c r="CA448" s="17">
        <f>VLOOKUP(BZ448,'DATABASE F&amp;B'!$C$3:$F$210,2,0)</f>
        <v>0</v>
      </c>
      <c r="CB448" s="18"/>
      <c r="CC448" s="19">
        <f>VLOOKUP(BZ448,'DATABASE F&amp;B'!$C$3:$F$210,4,0)</f>
        <v>0</v>
      </c>
      <c r="CD448" s="19">
        <f t="shared" si="369"/>
        <v>0</v>
      </c>
    </row>
    <row r="449" spans="1:82" ht="13.5" x14ac:dyDescent="0.25">
      <c r="A449" s="32" t="str">
        <f t="shared" si="349"/>
        <v>--20</v>
      </c>
      <c r="B449" s="22">
        <f t="shared" ref="B449:C449" si="433">B448+1</f>
        <v>445</v>
      </c>
      <c r="C449" s="22">
        <f t="shared" si="433"/>
        <v>445</v>
      </c>
      <c r="D449" s="34"/>
      <c r="E449" s="35"/>
      <c r="F449" s="35"/>
      <c r="G449" s="52"/>
      <c r="H449" s="36" t="str">
        <f t="shared" si="374"/>
        <v>RJ--445</v>
      </c>
      <c r="I449" s="36" t="str">
        <f t="shared" si="351"/>
        <v>--20</v>
      </c>
      <c r="J449" s="37" t="e">
        <f>VLOOKUP(D449,Laporan!$C$4:$D$34,2,0)</f>
        <v>#N/A</v>
      </c>
      <c r="K449" s="48"/>
      <c r="L449" s="13"/>
      <c r="M449" s="19">
        <f>SUMIF('DATABASE Room'!$B$3:$B$7,L449,'DATABASE Room'!$D$3:$D$7)</f>
        <v>0</v>
      </c>
      <c r="N449" s="13"/>
      <c r="O449" s="21">
        <f t="shared" si="352"/>
        <v>0</v>
      </c>
      <c r="P449" s="38"/>
      <c r="Q449" s="19">
        <f t="shared" si="353"/>
        <v>0</v>
      </c>
      <c r="R449" s="21">
        <f t="shared" si="354"/>
        <v>0</v>
      </c>
      <c r="S449" s="19">
        <f t="shared" si="355"/>
        <v>2</v>
      </c>
      <c r="T449" s="19">
        <f t="shared" si="356"/>
        <v>0</v>
      </c>
      <c r="U449" s="21">
        <f t="shared" si="357"/>
        <v>0</v>
      </c>
      <c r="V449" s="39"/>
      <c r="W449" s="16"/>
      <c r="X449" s="17">
        <f>VLOOKUP(W449,'DATABASE F&amp;B'!$C$3:$F$216,2,0)</f>
        <v>0</v>
      </c>
      <c r="Y449" s="18"/>
      <c r="Z449" s="19">
        <f>VLOOKUP(W449,'DATABASE F&amp;B'!$C$3:$F$216,4,0)</f>
        <v>0</v>
      </c>
      <c r="AA449" s="19">
        <f t="shared" si="358"/>
        <v>0</v>
      </c>
      <c r="AB449" s="16"/>
      <c r="AC449" s="17">
        <f>VLOOKUP(AB449,'DATABASE F&amp;B'!$C$3:$F$216,2,0)</f>
        <v>0</v>
      </c>
      <c r="AD449" s="18"/>
      <c r="AE449" s="19">
        <f>VLOOKUP(AB449,'DATABASE F&amp;B'!$C$3:$F$216,4,0)</f>
        <v>0</v>
      </c>
      <c r="AF449" s="19">
        <f t="shared" si="359"/>
        <v>0</v>
      </c>
      <c r="AG449" s="16"/>
      <c r="AH449" s="17">
        <f>VLOOKUP(AG449,'DATABASE F&amp;B'!$C$3:$F$216,2,0)</f>
        <v>0</v>
      </c>
      <c r="AI449" s="18"/>
      <c r="AJ449" s="19">
        <f>VLOOKUP(AG449,'DATABASE F&amp;B'!$C$3:$F$216,4,0)</f>
        <v>0</v>
      </c>
      <c r="AK449" s="19">
        <f t="shared" si="360"/>
        <v>0</v>
      </c>
      <c r="AL449" s="16"/>
      <c r="AM449" s="17">
        <f>VLOOKUP(AL449,'DATABASE F&amp;B'!$C$3:$F$216,2,0)</f>
        <v>0</v>
      </c>
      <c r="AN449" s="18">
        <v>1</v>
      </c>
      <c r="AO449" s="19">
        <f>VLOOKUP(AL449,'DATABASE F&amp;B'!$C$3:$F$216,4,0)</f>
        <v>0</v>
      </c>
      <c r="AP449" s="19">
        <f t="shared" si="361"/>
        <v>0</v>
      </c>
      <c r="AQ449" s="16"/>
      <c r="AR449" s="17">
        <f>VLOOKUP(AQ449,'DATABASE F&amp;B'!$C$3:$F$216,2,0)</f>
        <v>0</v>
      </c>
      <c r="AS449" s="18">
        <v>1</v>
      </c>
      <c r="AT449" s="19">
        <f>VLOOKUP(AQ449,'DATABASE F&amp;B'!$C$3:$F$216,4,0)</f>
        <v>0</v>
      </c>
      <c r="AU449" s="19">
        <f t="shared" si="362"/>
        <v>0</v>
      </c>
      <c r="AV449" s="16"/>
      <c r="AW449" s="17">
        <f>VLOOKUP(AV449,'DATABASE F&amp;B'!$C$3:$F$216,2,0)</f>
        <v>0</v>
      </c>
      <c r="AX449" s="18"/>
      <c r="AY449" s="19">
        <f>VLOOKUP(AV449,'DATABASE F&amp;B'!$C$3:$F$216,4,0)</f>
        <v>0</v>
      </c>
      <c r="AZ449" s="19">
        <f t="shared" si="363"/>
        <v>0</v>
      </c>
      <c r="BA449" s="16"/>
      <c r="BB449" s="17">
        <f>VLOOKUP(BA449,'DATABASE F&amp;B'!$C$3:$F$216,2,0)</f>
        <v>0</v>
      </c>
      <c r="BC449" s="18"/>
      <c r="BD449" s="19">
        <f>VLOOKUP(BA449,'DATABASE F&amp;B'!$C$3:$F$216,4,0)</f>
        <v>0</v>
      </c>
      <c r="BE449" s="19">
        <f t="shared" si="364"/>
        <v>0</v>
      </c>
      <c r="BF449" s="16"/>
      <c r="BG449" s="17">
        <f>VLOOKUP(BF449,'DATABASE F&amp;B'!$C$3:$F$216,2,0)</f>
        <v>0</v>
      </c>
      <c r="BH449" s="18"/>
      <c r="BI449" s="19">
        <f>VLOOKUP(BF449,'DATABASE F&amp;B'!$C$3:$F$216,4,0)</f>
        <v>0</v>
      </c>
      <c r="BJ449" s="19">
        <f t="shared" si="365"/>
        <v>0</v>
      </c>
      <c r="BK449" s="16"/>
      <c r="BL449" s="17">
        <f>VLOOKUP(BK449,'DATABASE F&amp;B'!$C$3:$F$210,2,0)</f>
        <v>0</v>
      </c>
      <c r="BM449" s="18"/>
      <c r="BN449" s="19">
        <f>VLOOKUP(BK449,'DATABASE F&amp;B'!$C$3:$F$210,4,0)</f>
        <v>0</v>
      </c>
      <c r="BO449" s="19">
        <f t="shared" si="366"/>
        <v>0</v>
      </c>
      <c r="BP449" s="16"/>
      <c r="BQ449" s="17">
        <f>VLOOKUP(BP449,'DATABASE F&amp;B'!$C$3:$F$210,2,0)</f>
        <v>0</v>
      </c>
      <c r="BR449" s="18"/>
      <c r="BS449" s="19">
        <f>VLOOKUP(BP449,'DATABASE F&amp;B'!$C$3:$F$210,4,0)</f>
        <v>0</v>
      </c>
      <c r="BT449" s="19">
        <f t="shared" si="367"/>
        <v>0</v>
      </c>
      <c r="BU449" s="16"/>
      <c r="BV449" s="17">
        <f>VLOOKUP(BU449,'DATABASE F&amp;B'!$C$3:$F$210,2,0)</f>
        <v>0</v>
      </c>
      <c r="BW449" s="18"/>
      <c r="BX449" s="19">
        <f>VLOOKUP(BU449,'DATABASE F&amp;B'!$C$3:$F$210,4,0)</f>
        <v>0</v>
      </c>
      <c r="BY449" s="19">
        <f t="shared" si="368"/>
        <v>0</v>
      </c>
      <c r="BZ449" s="16"/>
      <c r="CA449" s="17">
        <f>VLOOKUP(BZ449,'DATABASE F&amp;B'!$C$3:$F$210,2,0)</f>
        <v>0</v>
      </c>
      <c r="CB449" s="18"/>
      <c r="CC449" s="19">
        <f>VLOOKUP(BZ449,'DATABASE F&amp;B'!$C$3:$F$210,4,0)</f>
        <v>0</v>
      </c>
      <c r="CD449" s="19">
        <f t="shared" si="369"/>
        <v>0</v>
      </c>
    </row>
    <row r="450" spans="1:82" ht="13.5" x14ac:dyDescent="0.25">
      <c r="A450" s="32" t="str">
        <f t="shared" ref="A450:A513" si="434">CONCATENATE(F450,"-",E450,"-20",G450)</f>
        <v>--20</v>
      </c>
      <c r="B450" s="22">
        <f t="shared" ref="B450:C450" si="435">B449+1</f>
        <v>446</v>
      </c>
      <c r="C450" s="22">
        <f t="shared" si="435"/>
        <v>446</v>
      </c>
      <c r="D450" s="34"/>
      <c r="E450" s="35"/>
      <c r="F450" s="35"/>
      <c r="G450" s="52"/>
      <c r="H450" s="36" t="str">
        <f t="shared" si="374"/>
        <v>RJ--446</v>
      </c>
      <c r="I450" s="36" t="str">
        <f t="shared" ref="I450:I513" si="436">CONCATENATE(E450,"-",F450,"-20",G450)</f>
        <v>--20</v>
      </c>
      <c r="J450" s="37" t="e">
        <f>VLOOKUP(D450,Laporan!$C$4:$D$34,2,0)</f>
        <v>#N/A</v>
      </c>
      <c r="K450" s="48"/>
      <c r="L450" s="13"/>
      <c r="M450" s="19">
        <f>SUMIF('DATABASE Room'!$B$3:$B$7,L450,'DATABASE Room'!$D$3:$D$7)</f>
        <v>0</v>
      </c>
      <c r="N450" s="13"/>
      <c r="O450" s="21">
        <f t="shared" ref="O450:O513" si="437">N450*M450</f>
        <v>0</v>
      </c>
      <c r="P450" s="38"/>
      <c r="Q450" s="19">
        <f t="shared" ref="Q450:Q513" si="438">P450*M450</f>
        <v>0</v>
      </c>
      <c r="R450" s="21">
        <f t="shared" ref="R450:R513" si="439">O450+Q450</f>
        <v>0</v>
      </c>
      <c r="S450" s="19">
        <f t="shared" ref="S450:S513" si="440">SUMIF($W$4:$CD$4,$S$4,W450:CD450)</f>
        <v>2</v>
      </c>
      <c r="T450" s="19">
        <f t="shared" ref="T450:T513" si="441">SUMIF($W$4:$CD$4,$T$4,W450:CD450)</f>
        <v>0</v>
      </c>
      <c r="U450" s="21">
        <f t="shared" ref="U450:U513" si="442">R450+T450</f>
        <v>0</v>
      </c>
      <c r="V450" s="39"/>
      <c r="W450" s="16"/>
      <c r="X450" s="17">
        <f>VLOOKUP(W450,'DATABASE F&amp;B'!$C$3:$F$216,2,0)</f>
        <v>0</v>
      </c>
      <c r="Y450" s="18"/>
      <c r="Z450" s="19">
        <f>VLOOKUP(W450,'DATABASE F&amp;B'!$C$3:$F$216,4,0)</f>
        <v>0</v>
      </c>
      <c r="AA450" s="19">
        <f t="shared" ref="AA450:AA513" si="443">Y450*Z450</f>
        <v>0</v>
      </c>
      <c r="AB450" s="16"/>
      <c r="AC450" s="17">
        <f>VLOOKUP(AB450,'DATABASE F&amp;B'!$C$3:$F$216,2,0)</f>
        <v>0</v>
      </c>
      <c r="AD450" s="18"/>
      <c r="AE450" s="19">
        <f>VLOOKUP(AB450,'DATABASE F&amp;B'!$C$3:$F$216,4,0)</f>
        <v>0</v>
      </c>
      <c r="AF450" s="19">
        <f t="shared" ref="AF450:AF513" si="444">AD450*AE450</f>
        <v>0</v>
      </c>
      <c r="AG450" s="16"/>
      <c r="AH450" s="17">
        <f>VLOOKUP(AG450,'DATABASE F&amp;B'!$C$3:$F$216,2,0)</f>
        <v>0</v>
      </c>
      <c r="AI450" s="18"/>
      <c r="AJ450" s="19">
        <f>VLOOKUP(AG450,'DATABASE F&amp;B'!$C$3:$F$216,4,0)</f>
        <v>0</v>
      </c>
      <c r="AK450" s="19">
        <f t="shared" ref="AK450:AK513" si="445">AI450*AJ450</f>
        <v>0</v>
      </c>
      <c r="AL450" s="16"/>
      <c r="AM450" s="17">
        <f>VLOOKUP(AL450,'DATABASE F&amp;B'!$C$3:$F$216,2,0)</f>
        <v>0</v>
      </c>
      <c r="AN450" s="18">
        <v>1</v>
      </c>
      <c r="AO450" s="19">
        <f>VLOOKUP(AL450,'DATABASE F&amp;B'!$C$3:$F$216,4,0)</f>
        <v>0</v>
      </c>
      <c r="AP450" s="19">
        <f t="shared" ref="AP450:AP513" si="446">AN450*AO450</f>
        <v>0</v>
      </c>
      <c r="AQ450" s="16"/>
      <c r="AR450" s="17">
        <f>VLOOKUP(AQ450,'DATABASE F&amp;B'!$C$3:$F$216,2,0)</f>
        <v>0</v>
      </c>
      <c r="AS450" s="18">
        <v>1</v>
      </c>
      <c r="AT450" s="19">
        <f>VLOOKUP(AQ450,'DATABASE F&amp;B'!$C$3:$F$216,4,0)</f>
        <v>0</v>
      </c>
      <c r="AU450" s="19">
        <f t="shared" ref="AU450:AU513" si="447">AS450*AT450</f>
        <v>0</v>
      </c>
      <c r="AV450" s="16"/>
      <c r="AW450" s="17">
        <f>VLOOKUP(AV450,'DATABASE F&amp;B'!$C$3:$F$216,2,0)</f>
        <v>0</v>
      </c>
      <c r="AX450" s="18"/>
      <c r="AY450" s="19">
        <f>VLOOKUP(AV450,'DATABASE F&amp;B'!$C$3:$F$216,4,0)</f>
        <v>0</v>
      </c>
      <c r="AZ450" s="19">
        <f t="shared" ref="AZ450:AZ513" si="448">AX450*AY450</f>
        <v>0</v>
      </c>
      <c r="BA450" s="16"/>
      <c r="BB450" s="17">
        <f>VLOOKUP(BA450,'DATABASE F&amp;B'!$C$3:$F$216,2,0)</f>
        <v>0</v>
      </c>
      <c r="BC450" s="18"/>
      <c r="BD450" s="19">
        <f>VLOOKUP(BA450,'DATABASE F&amp;B'!$C$3:$F$216,4,0)</f>
        <v>0</v>
      </c>
      <c r="BE450" s="19">
        <f t="shared" ref="BE450:BE513" si="449">BC450*BD450</f>
        <v>0</v>
      </c>
      <c r="BF450" s="16"/>
      <c r="BG450" s="17">
        <f>VLOOKUP(BF450,'DATABASE F&amp;B'!$C$3:$F$216,2,0)</f>
        <v>0</v>
      </c>
      <c r="BH450" s="18"/>
      <c r="BI450" s="19">
        <f>VLOOKUP(BF450,'DATABASE F&amp;B'!$C$3:$F$216,4,0)</f>
        <v>0</v>
      </c>
      <c r="BJ450" s="19">
        <f t="shared" ref="BJ450:BJ513" si="450">BH450*BI450</f>
        <v>0</v>
      </c>
      <c r="BK450" s="16"/>
      <c r="BL450" s="17">
        <f>VLOOKUP(BK450,'DATABASE F&amp;B'!$C$3:$F$210,2,0)</f>
        <v>0</v>
      </c>
      <c r="BM450" s="18"/>
      <c r="BN450" s="19">
        <f>VLOOKUP(BK450,'DATABASE F&amp;B'!$C$3:$F$210,4,0)</f>
        <v>0</v>
      </c>
      <c r="BO450" s="19">
        <f t="shared" ref="BO450:BO513" si="451">BM450*BN450</f>
        <v>0</v>
      </c>
      <c r="BP450" s="16"/>
      <c r="BQ450" s="17">
        <f>VLOOKUP(BP450,'DATABASE F&amp;B'!$C$3:$F$210,2,0)</f>
        <v>0</v>
      </c>
      <c r="BR450" s="18"/>
      <c r="BS450" s="19">
        <f>VLOOKUP(BP450,'DATABASE F&amp;B'!$C$3:$F$210,4,0)</f>
        <v>0</v>
      </c>
      <c r="BT450" s="19">
        <f t="shared" ref="BT450:BT513" si="452">BR450*BS450</f>
        <v>0</v>
      </c>
      <c r="BU450" s="16"/>
      <c r="BV450" s="17">
        <f>VLOOKUP(BU450,'DATABASE F&amp;B'!$C$3:$F$210,2,0)</f>
        <v>0</v>
      </c>
      <c r="BW450" s="18"/>
      <c r="BX450" s="19">
        <f>VLOOKUP(BU450,'DATABASE F&amp;B'!$C$3:$F$210,4,0)</f>
        <v>0</v>
      </c>
      <c r="BY450" s="19">
        <f t="shared" ref="BY450:BY513" si="453">BW450*BX450</f>
        <v>0</v>
      </c>
      <c r="BZ450" s="16"/>
      <c r="CA450" s="17">
        <f>VLOOKUP(BZ450,'DATABASE F&amp;B'!$C$3:$F$210,2,0)</f>
        <v>0</v>
      </c>
      <c r="CB450" s="18"/>
      <c r="CC450" s="19">
        <f>VLOOKUP(BZ450,'DATABASE F&amp;B'!$C$3:$F$210,4,0)</f>
        <v>0</v>
      </c>
      <c r="CD450" s="19">
        <f t="shared" ref="CD450:CD513" si="454">CB450*CC450</f>
        <v>0</v>
      </c>
    </row>
    <row r="451" spans="1:82" ht="13.5" x14ac:dyDescent="0.25">
      <c r="A451" s="32" t="str">
        <f t="shared" si="434"/>
        <v>--20</v>
      </c>
      <c r="B451" s="22">
        <f t="shared" ref="B451:C451" si="455">B450+1</f>
        <v>447</v>
      </c>
      <c r="C451" s="22">
        <f t="shared" si="455"/>
        <v>447</v>
      </c>
      <c r="D451" s="34"/>
      <c r="E451" s="35"/>
      <c r="F451" s="35"/>
      <c r="G451" s="52"/>
      <c r="H451" s="36" t="str">
        <f t="shared" si="374"/>
        <v>RJ--447</v>
      </c>
      <c r="I451" s="36" t="str">
        <f t="shared" si="436"/>
        <v>--20</v>
      </c>
      <c r="J451" s="37" t="e">
        <f>VLOOKUP(D451,Laporan!$C$4:$D$34,2,0)</f>
        <v>#N/A</v>
      </c>
      <c r="K451" s="48"/>
      <c r="L451" s="13"/>
      <c r="M451" s="19">
        <f>SUMIF('DATABASE Room'!$B$3:$B$7,L451,'DATABASE Room'!$D$3:$D$7)</f>
        <v>0</v>
      </c>
      <c r="N451" s="13"/>
      <c r="O451" s="21">
        <f t="shared" si="437"/>
        <v>0</v>
      </c>
      <c r="P451" s="38"/>
      <c r="Q451" s="19">
        <f t="shared" si="438"/>
        <v>0</v>
      </c>
      <c r="R451" s="21">
        <f t="shared" si="439"/>
        <v>0</v>
      </c>
      <c r="S451" s="19">
        <f t="shared" si="440"/>
        <v>2</v>
      </c>
      <c r="T451" s="19">
        <f t="shared" si="441"/>
        <v>0</v>
      </c>
      <c r="U451" s="21">
        <f t="shared" si="442"/>
        <v>0</v>
      </c>
      <c r="V451" s="39"/>
      <c r="W451" s="16"/>
      <c r="X451" s="17">
        <f>VLOOKUP(W451,'DATABASE F&amp;B'!$C$3:$F$216,2,0)</f>
        <v>0</v>
      </c>
      <c r="Y451" s="18"/>
      <c r="Z451" s="19">
        <f>VLOOKUP(W451,'DATABASE F&amp;B'!$C$3:$F$216,4,0)</f>
        <v>0</v>
      </c>
      <c r="AA451" s="19">
        <f t="shared" si="443"/>
        <v>0</v>
      </c>
      <c r="AB451" s="16"/>
      <c r="AC451" s="17">
        <f>VLOOKUP(AB451,'DATABASE F&amp;B'!$C$3:$F$216,2,0)</f>
        <v>0</v>
      </c>
      <c r="AD451" s="18"/>
      <c r="AE451" s="19">
        <f>VLOOKUP(AB451,'DATABASE F&amp;B'!$C$3:$F$216,4,0)</f>
        <v>0</v>
      </c>
      <c r="AF451" s="19">
        <f t="shared" si="444"/>
        <v>0</v>
      </c>
      <c r="AG451" s="16"/>
      <c r="AH451" s="17">
        <f>VLOOKUP(AG451,'DATABASE F&amp;B'!$C$3:$F$216,2,0)</f>
        <v>0</v>
      </c>
      <c r="AI451" s="18"/>
      <c r="AJ451" s="19">
        <f>VLOOKUP(AG451,'DATABASE F&amp;B'!$C$3:$F$216,4,0)</f>
        <v>0</v>
      </c>
      <c r="AK451" s="19">
        <f t="shared" si="445"/>
        <v>0</v>
      </c>
      <c r="AL451" s="16"/>
      <c r="AM451" s="17">
        <f>VLOOKUP(AL451,'DATABASE F&amp;B'!$C$3:$F$216,2,0)</f>
        <v>0</v>
      </c>
      <c r="AN451" s="18">
        <v>1</v>
      </c>
      <c r="AO451" s="19">
        <f>VLOOKUP(AL451,'DATABASE F&amp;B'!$C$3:$F$216,4,0)</f>
        <v>0</v>
      </c>
      <c r="AP451" s="19">
        <f t="shared" si="446"/>
        <v>0</v>
      </c>
      <c r="AQ451" s="16"/>
      <c r="AR451" s="17">
        <f>VLOOKUP(AQ451,'DATABASE F&amp;B'!$C$3:$F$216,2,0)</f>
        <v>0</v>
      </c>
      <c r="AS451" s="18">
        <v>1</v>
      </c>
      <c r="AT451" s="19">
        <f>VLOOKUP(AQ451,'DATABASE F&amp;B'!$C$3:$F$216,4,0)</f>
        <v>0</v>
      </c>
      <c r="AU451" s="19">
        <f t="shared" si="447"/>
        <v>0</v>
      </c>
      <c r="AV451" s="16"/>
      <c r="AW451" s="17">
        <f>VLOOKUP(AV451,'DATABASE F&amp;B'!$C$3:$F$216,2,0)</f>
        <v>0</v>
      </c>
      <c r="AX451" s="18"/>
      <c r="AY451" s="19">
        <f>VLOOKUP(AV451,'DATABASE F&amp;B'!$C$3:$F$216,4,0)</f>
        <v>0</v>
      </c>
      <c r="AZ451" s="19">
        <f t="shared" si="448"/>
        <v>0</v>
      </c>
      <c r="BA451" s="16"/>
      <c r="BB451" s="17">
        <f>VLOOKUP(BA451,'DATABASE F&amp;B'!$C$3:$F$216,2,0)</f>
        <v>0</v>
      </c>
      <c r="BC451" s="18"/>
      <c r="BD451" s="19">
        <f>VLOOKUP(BA451,'DATABASE F&amp;B'!$C$3:$F$216,4,0)</f>
        <v>0</v>
      </c>
      <c r="BE451" s="19">
        <f t="shared" si="449"/>
        <v>0</v>
      </c>
      <c r="BF451" s="16"/>
      <c r="BG451" s="17">
        <f>VLOOKUP(BF451,'DATABASE F&amp;B'!$C$3:$F$216,2,0)</f>
        <v>0</v>
      </c>
      <c r="BH451" s="18"/>
      <c r="BI451" s="19">
        <f>VLOOKUP(BF451,'DATABASE F&amp;B'!$C$3:$F$216,4,0)</f>
        <v>0</v>
      </c>
      <c r="BJ451" s="19">
        <f t="shared" si="450"/>
        <v>0</v>
      </c>
      <c r="BK451" s="16"/>
      <c r="BL451" s="17">
        <f>VLOOKUP(BK451,'DATABASE F&amp;B'!$C$3:$F$210,2,0)</f>
        <v>0</v>
      </c>
      <c r="BM451" s="18"/>
      <c r="BN451" s="19">
        <f>VLOOKUP(BK451,'DATABASE F&amp;B'!$C$3:$F$210,4,0)</f>
        <v>0</v>
      </c>
      <c r="BO451" s="19">
        <f t="shared" si="451"/>
        <v>0</v>
      </c>
      <c r="BP451" s="16"/>
      <c r="BQ451" s="17">
        <f>VLOOKUP(BP451,'DATABASE F&amp;B'!$C$3:$F$210,2,0)</f>
        <v>0</v>
      </c>
      <c r="BR451" s="18"/>
      <c r="BS451" s="19">
        <f>VLOOKUP(BP451,'DATABASE F&amp;B'!$C$3:$F$210,4,0)</f>
        <v>0</v>
      </c>
      <c r="BT451" s="19">
        <f t="shared" si="452"/>
        <v>0</v>
      </c>
      <c r="BU451" s="16"/>
      <c r="BV451" s="17">
        <f>VLOOKUP(BU451,'DATABASE F&amp;B'!$C$3:$F$210,2,0)</f>
        <v>0</v>
      </c>
      <c r="BW451" s="18"/>
      <c r="BX451" s="19">
        <f>VLOOKUP(BU451,'DATABASE F&amp;B'!$C$3:$F$210,4,0)</f>
        <v>0</v>
      </c>
      <c r="BY451" s="19">
        <f t="shared" si="453"/>
        <v>0</v>
      </c>
      <c r="BZ451" s="16"/>
      <c r="CA451" s="17">
        <f>VLOOKUP(BZ451,'DATABASE F&amp;B'!$C$3:$F$210,2,0)</f>
        <v>0</v>
      </c>
      <c r="CB451" s="18"/>
      <c r="CC451" s="19">
        <f>VLOOKUP(BZ451,'DATABASE F&amp;B'!$C$3:$F$210,4,0)</f>
        <v>0</v>
      </c>
      <c r="CD451" s="19">
        <f t="shared" si="454"/>
        <v>0</v>
      </c>
    </row>
    <row r="452" spans="1:82" ht="13.5" x14ac:dyDescent="0.25">
      <c r="A452" s="32" t="str">
        <f t="shared" si="434"/>
        <v>--20</v>
      </c>
      <c r="B452" s="22">
        <f t="shared" ref="B452:C452" si="456">B451+1</f>
        <v>448</v>
      </c>
      <c r="C452" s="22">
        <f t="shared" si="456"/>
        <v>448</v>
      </c>
      <c r="D452" s="34"/>
      <c r="E452" s="35"/>
      <c r="F452" s="35"/>
      <c r="G452" s="52"/>
      <c r="H452" s="36" t="str">
        <f t="shared" si="374"/>
        <v>RJ--448</v>
      </c>
      <c r="I452" s="36" t="str">
        <f t="shared" si="436"/>
        <v>--20</v>
      </c>
      <c r="J452" s="37" t="e">
        <f>VLOOKUP(D452,Laporan!$C$4:$D$34,2,0)</f>
        <v>#N/A</v>
      </c>
      <c r="K452" s="48"/>
      <c r="L452" s="13"/>
      <c r="M452" s="19">
        <f>SUMIF('DATABASE Room'!$B$3:$B$7,L452,'DATABASE Room'!$D$3:$D$7)</f>
        <v>0</v>
      </c>
      <c r="N452" s="13"/>
      <c r="O452" s="21">
        <f t="shared" si="437"/>
        <v>0</v>
      </c>
      <c r="P452" s="38"/>
      <c r="Q452" s="19">
        <f t="shared" si="438"/>
        <v>0</v>
      </c>
      <c r="R452" s="21">
        <f t="shared" si="439"/>
        <v>0</v>
      </c>
      <c r="S452" s="19">
        <f t="shared" si="440"/>
        <v>2</v>
      </c>
      <c r="T452" s="19">
        <f t="shared" si="441"/>
        <v>0</v>
      </c>
      <c r="U452" s="21">
        <f t="shared" si="442"/>
        <v>0</v>
      </c>
      <c r="V452" s="39"/>
      <c r="W452" s="16"/>
      <c r="X452" s="17">
        <f>VLOOKUP(W452,'DATABASE F&amp;B'!$C$3:$F$216,2,0)</f>
        <v>0</v>
      </c>
      <c r="Y452" s="18"/>
      <c r="Z452" s="19">
        <f>VLOOKUP(W452,'DATABASE F&amp;B'!$C$3:$F$216,4,0)</f>
        <v>0</v>
      </c>
      <c r="AA452" s="19">
        <f t="shared" si="443"/>
        <v>0</v>
      </c>
      <c r="AB452" s="16"/>
      <c r="AC452" s="17">
        <f>VLOOKUP(AB452,'DATABASE F&amp;B'!$C$3:$F$216,2,0)</f>
        <v>0</v>
      </c>
      <c r="AD452" s="18"/>
      <c r="AE452" s="19">
        <f>VLOOKUP(AB452,'DATABASE F&amp;B'!$C$3:$F$216,4,0)</f>
        <v>0</v>
      </c>
      <c r="AF452" s="19">
        <f t="shared" si="444"/>
        <v>0</v>
      </c>
      <c r="AG452" s="16"/>
      <c r="AH452" s="17">
        <f>VLOOKUP(AG452,'DATABASE F&amp;B'!$C$3:$F$216,2,0)</f>
        <v>0</v>
      </c>
      <c r="AI452" s="18"/>
      <c r="AJ452" s="19">
        <f>VLOOKUP(AG452,'DATABASE F&amp;B'!$C$3:$F$216,4,0)</f>
        <v>0</v>
      </c>
      <c r="AK452" s="19">
        <f t="shared" si="445"/>
        <v>0</v>
      </c>
      <c r="AL452" s="16"/>
      <c r="AM452" s="17">
        <f>VLOOKUP(AL452,'DATABASE F&amp;B'!$C$3:$F$216,2,0)</f>
        <v>0</v>
      </c>
      <c r="AN452" s="18">
        <v>1</v>
      </c>
      <c r="AO452" s="19">
        <f>VLOOKUP(AL452,'DATABASE F&amp;B'!$C$3:$F$216,4,0)</f>
        <v>0</v>
      </c>
      <c r="AP452" s="19">
        <f t="shared" si="446"/>
        <v>0</v>
      </c>
      <c r="AQ452" s="16"/>
      <c r="AR452" s="17">
        <f>VLOOKUP(AQ452,'DATABASE F&amp;B'!$C$3:$F$216,2,0)</f>
        <v>0</v>
      </c>
      <c r="AS452" s="18">
        <v>1</v>
      </c>
      <c r="AT452" s="19">
        <f>VLOOKUP(AQ452,'DATABASE F&amp;B'!$C$3:$F$216,4,0)</f>
        <v>0</v>
      </c>
      <c r="AU452" s="19">
        <f t="shared" si="447"/>
        <v>0</v>
      </c>
      <c r="AV452" s="16"/>
      <c r="AW452" s="17">
        <f>VLOOKUP(AV452,'DATABASE F&amp;B'!$C$3:$F$216,2,0)</f>
        <v>0</v>
      </c>
      <c r="AX452" s="18"/>
      <c r="AY452" s="19">
        <f>VLOOKUP(AV452,'DATABASE F&amp;B'!$C$3:$F$216,4,0)</f>
        <v>0</v>
      </c>
      <c r="AZ452" s="19">
        <f t="shared" si="448"/>
        <v>0</v>
      </c>
      <c r="BA452" s="16"/>
      <c r="BB452" s="17">
        <f>VLOOKUP(BA452,'DATABASE F&amp;B'!$C$3:$F$216,2,0)</f>
        <v>0</v>
      </c>
      <c r="BC452" s="18"/>
      <c r="BD452" s="19">
        <f>VLOOKUP(BA452,'DATABASE F&amp;B'!$C$3:$F$216,4,0)</f>
        <v>0</v>
      </c>
      <c r="BE452" s="19">
        <f t="shared" si="449"/>
        <v>0</v>
      </c>
      <c r="BF452" s="16"/>
      <c r="BG452" s="17">
        <f>VLOOKUP(BF452,'DATABASE F&amp;B'!$C$3:$F$216,2,0)</f>
        <v>0</v>
      </c>
      <c r="BH452" s="18"/>
      <c r="BI452" s="19">
        <f>VLOOKUP(BF452,'DATABASE F&amp;B'!$C$3:$F$216,4,0)</f>
        <v>0</v>
      </c>
      <c r="BJ452" s="19">
        <f t="shared" si="450"/>
        <v>0</v>
      </c>
      <c r="BK452" s="16"/>
      <c r="BL452" s="17">
        <f>VLOOKUP(BK452,'DATABASE F&amp;B'!$C$3:$F$210,2,0)</f>
        <v>0</v>
      </c>
      <c r="BM452" s="18"/>
      <c r="BN452" s="19">
        <f>VLOOKUP(BK452,'DATABASE F&amp;B'!$C$3:$F$210,4,0)</f>
        <v>0</v>
      </c>
      <c r="BO452" s="19">
        <f t="shared" si="451"/>
        <v>0</v>
      </c>
      <c r="BP452" s="16"/>
      <c r="BQ452" s="17">
        <f>VLOOKUP(BP452,'DATABASE F&amp;B'!$C$3:$F$210,2,0)</f>
        <v>0</v>
      </c>
      <c r="BR452" s="18"/>
      <c r="BS452" s="19">
        <f>VLOOKUP(BP452,'DATABASE F&amp;B'!$C$3:$F$210,4,0)</f>
        <v>0</v>
      </c>
      <c r="BT452" s="19">
        <f t="shared" si="452"/>
        <v>0</v>
      </c>
      <c r="BU452" s="16"/>
      <c r="BV452" s="17">
        <f>VLOOKUP(BU452,'DATABASE F&amp;B'!$C$3:$F$210,2,0)</f>
        <v>0</v>
      </c>
      <c r="BW452" s="18"/>
      <c r="BX452" s="19">
        <f>VLOOKUP(BU452,'DATABASE F&amp;B'!$C$3:$F$210,4,0)</f>
        <v>0</v>
      </c>
      <c r="BY452" s="19">
        <f t="shared" si="453"/>
        <v>0</v>
      </c>
      <c r="BZ452" s="16"/>
      <c r="CA452" s="17">
        <f>VLOOKUP(BZ452,'DATABASE F&amp;B'!$C$3:$F$210,2,0)</f>
        <v>0</v>
      </c>
      <c r="CB452" s="18"/>
      <c r="CC452" s="19">
        <f>VLOOKUP(BZ452,'DATABASE F&amp;B'!$C$3:$F$210,4,0)</f>
        <v>0</v>
      </c>
      <c r="CD452" s="19">
        <f t="shared" si="454"/>
        <v>0</v>
      </c>
    </row>
    <row r="453" spans="1:82" ht="13.5" x14ac:dyDescent="0.25">
      <c r="A453" s="32" t="str">
        <f t="shared" si="434"/>
        <v>--20</v>
      </c>
      <c r="B453" s="22">
        <f t="shared" ref="B453:C453" si="457">B452+1</f>
        <v>449</v>
      </c>
      <c r="C453" s="22">
        <f t="shared" si="457"/>
        <v>449</v>
      </c>
      <c r="D453" s="34"/>
      <c r="E453" s="35"/>
      <c r="F453" s="35"/>
      <c r="G453" s="52"/>
      <c r="H453" s="36" t="str">
        <f t="shared" si="374"/>
        <v>RJ--449</v>
      </c>
      <c r="I453" s="36" t="str">
        <f t="shared" si="436"/>
        <v>--20</v>
      </c>
      <c r="J453" s="37" t="e">
        <f>VLOOKUP(D453,Laporan!$C$4:$D$34,2,0)</f>
        <v>#N/A</v>
      </c>
      <c r="K453" s="48"/>
      <c r="L453" s="13"/>
      <c r="M453" s="19">
        <f>SUMIF('DATABASE Room'!$B$3:$B$7,L453,'DATABASE Room'!$D$3:$D$7)</f>
        <v>0</v>
      </c>
      <c r="N453" s="13"/>
      <c r="O453" s="21">
        <f t="shared" si="437"/>
        <v>0</v>
      </c>
      <c r="P453" s="38"/>
      <c r="Q453" s="19">
        <f t="shared" si="438"/>
        <v>0</v>
      </c>
      <c r="R453" s="21">
        <f t="shared" si="439"/>
        <v>0</v>
      </c>
      <c r="S453" s="19">
        <f t="shared" si="440"/>
        <v>2</v>
      </c>
      <c r="T453" s="19">
        <f t="shared" si="441"/>
        <v>0</v>
      </c>
      <c r="U453" s="21">
        <f t="shared" si="442"/>
        <v>0</v>
      </c>
      <c r="V453" s="39"/>
      <c r="W453" s="16"/>
      <c r="X453" s="17">
        <f>VLOOKUP(W453,'DATABASE F&amp;B'!$C$3:$F$216,2,0)</f>
        <v>0</v>
      </c>
      <c r="Y453" s="18"/>
      <c r="Z453" s="19">
        <f>VLOOKUP(W453,'DATABASE F&amp;B'!$C$3:$F$216,4,0)</f>
        <v>0</v>
      </c>
      <c r="AA453" s="19">
        <f t="shared" si="443"/>
        <v>0</v>
      </c>
      <c r="AB453" s="16"/>
      <c r="AC453" s="17">
        <f>VLOOKUP(AB453,'DATABASE F&amp;B'!$C$3:$F$216,2,0)</f>
        <v>0</v>
      </c>
      <c r="AD453" s="18"/>
      <c r="AE453" s="19">
        <f>VLOOKUP(AB453,'DATABASE F&amp;B'!$C$3:$F$216,4,0)</f>
        <v>0</v>
      </c>
      <c r="AF453" s="19">
        <f t="shared" si="444"/>
        <v>0</v>
      </c>
      <c r="AG453" s="16"/>
      <c r="AH453" s="17">
        <f>VLOOKUP(AG453,'DATABASE F&amp;B'!$C$3:$F$216,2,0)</f>
        <v>0</v>
      </c>
      <c r="AI453" s="18"/>
      <c r="AJ453" s="19">
        <f>VLOOKUP(AG453,'DATABASE F&amp;B'!$C$3:$F$216,4,0)</f>
        <v>0</v>
      </c>
      <c r="AK453" s="19">
        <f t="shared" si="445"/>
        <v>0</v>
      </c>
      <c r="AL453" s="16"/>
      <c r="AM453" s="17">
        <f>VLOOKUP(AL453,'DATABASE F&amp;B'!$C$3:$F$216,2,0)</f>
        <v>0</v>
      </c>
      <c r="AN453" s="18">
        <v>1</v>
      </c>
      <c r="AO453" s="19">
        <f>VLOOKUP(AL453,'DATABASE F&amp;B'!$C$3:$F$216,4,0)</f>
        <v>0</v>
      </c>
      <c r="AP453" s="19">
        <f t="shared" si="446"/>
        <v>0</v>
      </c>
      <c r="AQ453" s="16"/>
      <c r="AR453" s="17">
        <f>VLOOKUP(AQ453,'DATABASE F&amp;B'!$C$3:$F$216,2,0)</f>
        <v>0</v>
      </c>
      <c r="AS453" s="18">
        <v>1</v>
      </c>
      <c r="AT453" s="19">
        <f>VLOOKUP(AQ453,'DATABASE F&amp;B'!$C$3:$F$216,4,0)</f>
        <v>0</v>
      </c>
      <c r="AU453" s="19">
        <f t="shared" si="447"/>
        <v>0</v>
      </c>
      <c r="AV453" s="16"/>
      <c r="AW453" s="17">
        <f>VLOOKUP(AV453,'DATABASE F&amp;B'!$C$3:$F$216,2,0)</f>
        <v>0</v>
      </c>
      <c r="AX453" s="18"/>
      <c r="AY453" s="19">
        <f>VLOOKUP(AV453,'DATABASE F&amp;B'!$C$3:$F$216,4,0)</f>
        <v>0</v>
      </c>
      <c r="AZ453" s="19">
        <f t="shared" si="448"/>
        <v>0</v>
      </c>
      <c r="BA453" s="16"/>
      <c r="BB453" s="17">
        <f>VLOOKUP(BA453,'DATABASE F&amp;B'!$C$3:$F$216,2,0)</f>
        <v>0</v>
      </c>
      <c r="BC453" s="18"/>
      <c r="BD453" s="19">
        <f>VLOOKUP(BA453,'DATABASE F&amp;B'!$C$3:$F$216,4,0)</f>
        <v>0</v>
      </c>
      <c r="BE453" s="19">
        <f t="shared" si="449"/>
        <v>0</v>
      </c>
      <c r="BF453" s="16"/>
      <c r="BG453" s="17">
        <f>VLOOKUP(BF453,'DATABASE F&amp;B'!$C$3:$F$216,2,0)</f>
        <v>0</v>
      </c>
      <c r="BH453" s="18"/>
      <c r="BI453" s="19">
        <f>VLOOKUP(BF453,'DATABASE F&amp;B'!$C$3:$F$216,4,0)</f>
        <v>0</v>
      </c>
      <c r="BJ453" s="19">
        <f t="shared" si="450"/>
        <v>0</v>
      </c>
      <c r="BK453" s="16"/>
      <c r="BL453" s="17">
        <f>VLOOKUP(BK453,'DATABASE F&amp;B'!$C$3:$F$210,2,0)</f>
        <v>0</v>
      </c>
      <c r="BM453" s="18"/>
      <c r="BN453" s="19">
        <f>VLOOKUP(BK453,'DATABASE F&amp;B'!$C$3:$F$210,4,0)</f>
        <v>0</v>
      </c>
      <c r="BO453" s="19">
        <f t="shared" si="451"/>
        <v>0</v>
      </c>
      <c r="BP453" s="16"/>
      <c r="BQ453" s="17">
        <f>VLOOKUP(BP453,'DATABASE F&amp;B'!$C$3:$F$210,2,0)</f>
        <v>0</v>
      </c>
      <c r="BR453" s="18"/>
      <c r="BS453" s="19">
        <f>VLOOKUP(BP453,'DATABASE F&amp;B'!$C$3:$F$210,4,0)</f>
        <v>0</v>
      </c>
      <c r="BT453" s="19">
        <f t="shared" si="452"/>
        <v>0</v>
      </c>
      <c r="BU453" s="16"/>
      <c r="BV453" s="17">
        <f>VLOOKUP(BU453,'DATABASE F&amp;B'!$C$3:$F$210,2,0)</f>
        <v>0</v>
      </c>
      <c r="BW453" s="18"/>
      <c r="BX453" s="19">
        <f>VLOOKUP(BU453,'DATABASE F&amp;B'!$C$3:$F$210,4,0)</f>
        <v>0</v>
      </c>
      <c r="BY453" s="19">
        <f t="shared" si="453"/>
        <v>0</v>
      </c>
      <c r="BZ453" s="16"/>
      <c r="CA453" s="17">
        <f>VLOOKUP(BZ453,'DATABASE F&amp;B'!$C$3:$F$210,2,0)</f>
        <v>0</v>
      </c>
      <c r="CB453" s="18"/>
      <c r="CC453" s="19">
        <f>VLOOKUP(BZ453,'DATABASE F&amp;B'!$C$3:$F$210,4,0)</f>
        <v>0</v>
      </c>
      <c r="CD453" s="19">
        <f t="shared" si="454"/>
        <v>0</v>
      </c>
    </row>
    <row r="454" spans="1:82" ht="13.5" x14ac:dyDescent="0.25">
      <c r="A454" s="32" t="str">
        <f t="shared" si="434"/>
        <v>--20</v>
      </c>
      <c r="B454" s="22">
        <f t="shared" ref="B454:C454" si="458">B453+1</f>
        <v>450</v>
      </c>
      <c r="C454" s="22">
        <f t="shared" si="458"/>
        <v>450</v>
      </c>
      <c r="D454" s="34"/>
      <c r="E454" s="35"/>
      <c r="F454" s="35"/>
      <c r="G454" s="52"/>
      <c r="H454" s="36" t="str">
        <f t="shared" ref="H454:H517" si="459">CONCATENATE("RJ","-",E454,F454,G454,"-",B454)</f>
        <v>RJ--450</v>
      </c>
      <c r="I454" s="36" t="str">
        <f t="shared" si="436"/>
        <v>--20</v>
      </c>
      <c r="J454" s="37" t="e">
        <f>VLOOKUP(D454,Laporan!$C$4:$D$34,2,0)</f>
        <v>#N/A</v>
      </c>
      <c r="K454" s="48"/>
      <c r="L454" s="13"/>
      <c r="M454" s="19">
        <f>SUMIF('DATABASE Room'!$B$3:$B$7,L454,'DATABASE Room'!$D$3:$D$7)</f>
        <v>0</v>
      </c>
      <c r="N454" s="13"/>
      <c r="O454" s="21">
        <f t="shared" si="437"/>
        <v>0</v>
      </c>
      <c r="P454" s="38"/>
      <c r="Q454" s="19">
        <f t="shared" si="438"/>
        <v>0</v>
      </c>
      <c r="R454" s="21">
        <f t="shared" si="439"/>
        <v>0</v>
      </c>
      <c r="S454" s="19">
        <f t="shared" si="440"/>
        <v>2</v>
      </c>
      <c r="T454" s="19">
        <f t="shared" si="441"/>
        <v>0</v>
      </c>
      <c r="U454" s="21">
        <f t="shared" si="442"/>
        <v>0</v>
      </c>
      <c r="V454" s="39"/>
      <c r="W454" s="16"/>
      <c r="X454" s="17">
        <f>VLOOKUP(W454,'DATABASE F&amp;B'!$C$3:$F$216,2,0)</f>
        <v>0</v>
      </c>
      <c r="Y454" s="18"/>
      <c r="Z454" s="19">
        <f>VLOOKUP(W454,'DATABASE F&amp;B'!$C$3:$F$216,4,0)</f>
        <v>0</v>
      </c>
      <c r="AA454" s="19">
        <f t="shared" si="443"/>
        <v>0</v>
      </c>
      <c r="AB454" s="16"/>
      <c r="AC454" s="17">
        <f>VLOOKUP(AB454,'DATABASE F&amp;B'!$C$3:$F$216,2,0)</f>
        <v>0</v>
      </c>
      <c r="AD454" s="18"/>
      <c r="AE454" s="19">
        <f>VLOOKUP(AB454,'DATABASE F&amp;B'!$C$3:$F$216,4,0)</f>
        <v>0</v>
      </c>
      <c r="AF454" s="19">
        <f t="shared" si="444"/>
        <v>0</v>
      </c>
      <c r="AG454" s="16"/>
      <c r="AH454" s="17">
        <f>VLOOKUP(AG454,'DATABASE F&amp;B'!$C$3:$F$216,2,0)</f>
        <v>0</v>
      </c>
      <c r="AI454" s="18"/>
      <c r="AJ454" s="19">
        <f>VLOOKUP(AG454,'DATABASE F&amp;B'!$C$3:$F$216,4,0)</f>
        <v>0</v>
      </c>
      <c r="AK454" s="19">
        <f t="shared" si="445"/>
        <v>0</v>
      </c>
      <c r="AL454" s="16"/>
      <c r="AM454" s="17">
        <f>VLOOKUP(AL454,'DATABASE F&amp;B'!$C$3:$F$216,2,0)</f>
        <v>0</v>
      </c>
      <c r="AN454" s="18">
        <v>1</v>
      </c>
      <c r="AO454" s="19">
        <f>VLOOKUP(AL454,'DATABASE F&amp;B'!$C$3:$F$216,4,0)</f>
        <v>0</v>
      </c>
      <c r="AP454" s="19">
        <f t="shared" si="446"/>
        <v>0</v>
      </c>
      <c r="AQ454" s="16"/>
      <c r="AR454" s="17">
        <f>VLOOKUP(AQ454,'DATABASE F&amp;B'!$C$3:$F$216,2,0)</f>
        <v>0</v>
      </c>
      <c r="AS454" s="18">
        <v>1</v>
      </c>
      <c r="AT454" s="19">
        <f>VLOOKUP(AQ454,'DATABASE F&amp;B'!$C$3:$F$216,4,0)</f>
        <v>0</v>
      </c>
      <c r="AU454" s="19">
        <f t="shared" si="447"/>
        <v>0</v>
      </c>
      <c r="AV454" s="16"/>
      <c r="AW454" s="17">
        <f>VLOOKUP(AV454,'DATABASE F&amp;B'!$C$3:$F$216,2,0)</f>
        <v>0</v>
      </c>
      <c r="AX454" s="18"/>
      <c r="AY454" s="19">
        <f>VLOOKUP(AV454,'DATABASE F&amp;B'!$C$3:$F$216,4,0)</f>
        <v>0</v>
      </c>
      <c r="AZ454" s="19">
        <f t="shared" si="448"/>
        <v>0</v>
      </c>
      <c r="BA454" s="16"/>
      <c r="BB454" s="17">
        <f>VLOOKUP(BA454,'DATABASE F&amp;B'!$C$3:$F$216,2,0)</f>
        <v>0</v>
      </c>
      <c r="BC454" s="18"/>
      <c r="BD454" s="19">
        <f>VLOOKUP(BA454,'DATABASE F&amp;B'!$C$3:$F$216,4,0)</f>
        <v>0</v>
      </c>
      <c r="BE454" s="19">
        <f t="shared" si="449"/>
        <v>0</v>
      </c>
      <c r="BF454" s="16"/>
      <c r="BG454" s="17">
        <f>VLOOKUP(BF454,'DATABASE F&amp;B'!$C$3:$F$216,2,0)</f>
        <v>0</v>
      </c>
      <c r="BH454" s="18"/>
      <c r="BI454" s="19">
        <f>VLOOKUP(BF454,'DATABASE F&amp;B'!$C$3:$F$216,4,0)</f>
        <v>0</v>
      </c>
      <c r="BJ454" s="19">
        <f t="shared" si="450"/>
        <v>0</v>
      </c>
      <c r="BK454" s="16"/>
      <c r="BL454" s="17">
        <f>VLOOKUP(BK454,'DATABASE F&amp;B'!$C$3:$F$210,2,0)</f>
        <v>0</v>
      </c>
      <c r="BM454" s="18"/>
      <c r="BN454" s="19">
        <f>VLOOKUP(BK454,'DATABASE F&amp;B'!$C$3:$F$210,4,0)</f>
        <v>0</v>
      </c>
      <c r="BO454" s="19">
        <f t="shared" si="451"/>
        <v>0</v>
      </c>
      <c r="BP454" s="16"/>
      <c r="BQ454" s="17">
        <f>VLOOKUP(BP454,'DATABASE F&amp;B'!$C$3:$F$210,2,0)</f>
        <v>0</v>
      </c>
      <c r="BR454" s="18"/>
      <c r="BS454" s="19">
        <f>VLOOKUP(BP454,'DATABASE F&amp;B'!$C$3:$F$210,4,0)</f>
        <v>0</v>
      </c>
      <c r="BT454" s="19">
        <f t="shared" si="452"/>
        <v>0</v>
      </c>
      <c r="BU454" s="16"/>
      <c r="BV454" s="17">
        <f>VLOOKUP(BU454,'DATABASE F&amp;B'!$C$3:$F$210,2,0)</f>
        <v>0</v>
      </c>
      <c r="BW454" s="18"/>
      <c r="BX454" s="19">
        <f>VLOOKUP(BU454,'DATABASE F&amp;B'!$C$3:$F$210,4,0)</f>
        <v>0</v>
      </c>
      <c r="BY454" s="19">
        <f t="shared" si="453"/>
        <v>0</v>
      </c>
      <c r="BZ454" s="16"/>
      <c r="CA454" s="17">
        <f>VLOOKUP(BZ454,'DATABASE F&amp;B'!$C$3:$F$210,2,0)</f>
        <v>0</v>
      </c>
      <c r="CB454" s="18"/>
      <c r="CC454" s="19">
        <f>VLOOKUP(BZ454,'DATABASE F&amp;B'!$C$3:$F$210,4,0)</f>
        <v>0</v>
      </c>
      <c r="CD454" s="19">
        <f t="shared" si="454"/>
        <v>0</v>
      </c>
    </row>
    <row r="455" spans="1:82" ht="13.5" x14ac:dyDescent="0.25">
      <c r="A455" s="32" t="str">
        <f t="shared" si="434"/>
        <v>--20</v>
      </c>
      <c r="B455" s="22">
        <f t="shared" ref="B455:C455" si="460">B454+1</f>
        <v>451</v>
      </c>
      <c r="C455" s="22">
        <f t="shared" si="460"/>
        <v>451</v>
      </c>
      <c r="D455" s="34"/>
      <c r="E455" s="35"/>
      <c r="F455" s="35"/>
      <c r="G455" s="52"/>
      <c r="H455" s="36" t="str">
        <f t="shared" si="459"/>
        <v>RJ--451</v>
      </c>
      <c r="I455" s="36" t="str">
        <f t="shared" si="436"/>
        <v>--20</v>
      </c>
      <c r="J455" s="37" t="e">
        <f>VLOOKUP(D455,Laporan!$C$4:$D$34,2,0)</f>
        <v>#N/A</v>
      </c>
      <c r="K455" s="48"/>
      <c r="L455" s="13"/>
      <c r="M455" s="19">
        <f>SUMIF('DATABASE Room'!$B$3:$B$7,L455,'DATABASE Room'!$D$3:$D$7)</f>
        <v>0</v>
      </c>
      <c r="N455" s="13"/>
      <c r="O455" s="21">
        <f t="shared" si="437"/>
        <v>0</v>
      </c>
      <c r="P455" s="38"/>
      <c r="Q455" s="19">
        <f t="shared" si="438"/>
        <v>0</v>
      </c>
      <c r="R455" s="21">
        <f t="shared" si="439"/>
        <v>0</v>
      </c>
      <c r="S455" s="19">
        <f t="shared" si="440"/>
        <v>2</v>
      </c>
      <c r="T455" s="19">
        <f t="shared" si="441"/>
        <v>0</v>
      </c>
      <c r="U455" s="21">
        <f t="shared" si="442"/>
        <v>0</v>
      </c>
      <c r="V455" s="39"/>
      <c r="W455" s="16"/>
      <c r="X455" s="17">
        <f>VLOOKUP(W455,'DATABASE F&amp;B'!$C$3:$F$216,2,0)</f>
        <v>0</v>
      </c>
      <c r="Y455" s="18"/>
      <c r="Z455" s="19">
        <f>VLOOKUP(W455,'DATABASE F&amp;B'!$C$3:$F$216,4,0)</f>
        <v>0</v>
      </c>
      <c r="AA455" s="19">
        <f t="shared" si="443"/>
        <v>0</v>
      </c>
      <c r="AB455" s="16"/>
      <c r="AC455" s="17">
        <f>VLOOKUP(AB455,'DATABASE F&amp;B'!$C$3:$F$216,2,0)</f>
        <v>0</v>
      </c>
      <c r="AD455" s="18"/>
      <c r="AE455" s="19">
        <f>VLOOKUP(AB455,'DATABASE F&amp;B'!$C$3:$F$216,4,0)</f>
        <v>0</v>
      </c>
      <c r="AF455" s="19">
        <f t="shared" si="444"/>
        <v>0</v>
      </c>
      <c r="AG455" s="16"/>
      <c r="AH455" s="17">
        <f>VLOOKUP(AG455,'DATABASE F&amp;B'!$C$3:$F$216,2,0)</f>
        <v>0</v>
      </c>
      <c r="AI455" s="18"/>
      <c r="AJ455" s="19">
        <f>VLOOKUP(AG455,'DATABASE F&amp;B'!$C$3:$F$216,4,0)</f>
        <v>0</v>
      </c>
      <c r="AK455" s="19">
        <f t="shared" si="445"/>
        <v>0</v>
      </c>
      <c r="AL455" s="16"/>
      <c r="AM455" s="17">
        <f>VLOOKUP(AL455,'DATABASE F&amp;B'!$C$3:$F$216,2,0)</f>
        <v>0</v>
      </c>
      <c r="AN455" s="18">
        <v>1</v>
      </c>
      <c r="AO455" s="19">
        <f>VLOOKUP(AL455,'DATABASE F&amp;B'!$C$3:$F$216,4,0)</f>
        <v>0</v>
      </c>
      <c r="AP455" s="19">
        <f t="shared" si="446"/>
        <v>0</v>
      </c>
      <c r="AQ455" s="16"/>
      <c r="AR455" s="17">
        <f>VLOOKUP(AQ455,'DATABASE F&amp;B'!$C$3:$F$216,2,0)</f>
        <v>0</v>
      </c>
      <c r="AS455" s="18">
        <v>1</v>
      </c>
      <c r="AT455" s="19">
        <f>VLOOKUP(AQ455,'DATABASE F&amp;B'!$C$3:$F$216,4,0)</f>
        <v>0</v>
      </c>
      <c r="AU455" s="19">
        <f t="shared" si="447"/>
        <v>0</v>
      </c>
      <c r="AV455" s="16"/>
      <c r="AW455" s="17">
        <f>VLOOKUP(AV455,'DATABASE F&amp;B'!$C$3:$F$216,2,0)</f>
        <v>0</v>
      </c>
      <c r="AX455" s="18"/>
      <c r="AY455" s="19">
        <f>VLOOKUP(AV455,'DATABASE F&amp;B'!$C$3:$F$216,4,0)</f>
        <v>0</v>
      </c>
      <c r="AZ455" s="19">
        <f t="shared" si="448"/>
        <v>0</v>
      </c>
      <c r="BA455" s="16"/>
      <c r="BB455" s="17">
        <f>VLOOKUP(BA455,'DATABASE F&amp;B'!$C$3:$F$216,2,0)</f>
        <v>0</v>
      </c>
      <c r="BC455" s="18"/>
      <c r="BD455" s="19">
        <f>VLOOKUP(BA455,'DATABASE F&amp;B'!$C$3:$F$216,4,0)</f>
        <v>0</v>
      </c>
      <c r="BE455" s="19">
        <f t="shared" si="449"/>
        <v>0</v>
      </c>
      <c r="BF455" s="16"/>
      <c r="BG455" s="17">
        <f>VLOOKUP(BF455,'DATABASE F&amp;B'!$C$3:$F$216,2,0)</f>
        <v>0</v>
      </c>
      <c r="BH455" s="18"/>
      <c r="BI455" s="19">
        <f>VLOOKUP(BF455,'DATABASE F&amp;B'!$C$3:$F$216,4,0)</f>
        <v>0</v>
      </c>
      <c r="BJ455" s="19">
        <f t="shared" si="450"/>
        <v>0</v>
      </c>
      <c r="BK455" s="16"/>
      <c r="BL455" s="17">
        <f>VLOOKUP(BK455,'DATABASE F&amp;B'!$C$3:$F$210,2,0)</f>
        <v>0</v>
      </c>
      <c r="BM455" s="18"/>
      <c r="BN455" s="19">
        <f>VLOOKUP(BK455,'DATABASE F&amp;B'!$C$3:$F$210,4,0)</f>
        <v>0</v>
      </c>
      <c r="BO455" s="19">
        <f t="shared" si="451"/>
        <v>0</v>
      </c>
      <c r="BP455" s="16"/>
      <c r="BQ455" s="17">
        <f>VLOOKUP(BP455,'DATABASE F&amp;B'!$C$3:$F$210,2,0)</f>
        <v>0</v>
      </c>
      <c r="BR455" s="18"/>
      <c r="BS455" s="19">
        <f>VLOOKUP(BP455,'DATABASE F&amp;B'!$C$3:$F$210,4,0)</f>
        <v>0</v>
      </c>
      <c r="BT455" s="19">
        <f t="shared" si="452"/>
        <v>0</v>
      </c>
      <c r="BU455" s="16"/>
      <c r="BV455" s="17">
        <f>VLOOKUP(BU455,'DATABASE F&amp;B'!$C$3:$F$210,2,0)</f>
        <v>0</v>
      </c>
      <c r="BW455" s="18"/>
      <c r="BX455" s="19">
        <f>VLOOKUP(BU455,'DATABASE F&amp;B'!$C$3:$F$210,4,0)</f>
        <v>0</v>
      </c>
      <c r="BY455" s="19">
        <f t="shared" si="453"/>
        <v>0</v>
      </c>
      <c r="BZ455" s="16"/>
      <c r="CA455" s="17">
        <f>VLOOKUP(BZ455,'DATABASE F&amp;B'!$C$3:$F$210,2,0)</f>
        <v>0</v>
      </c>
      <c r="CB455" s="18"/>
      <c r="CC455" s="19">
        <f>VLOOKUP(BZ455,'DATABASE F&amp;B'!$C$3:$F$210,4,0)</f>
        <v>0</v>
      </c>
      <c r="CD455" s="19">
        <f t="shared" si="454"/>
        <v>0</v>
      </c>
    </row>
    <row r="456" spans="1:82" ht="13.5" x14ac:dyDescent="0.25">
      <c r="A456" s="32" t="str">
        <f t="shared" si="434"/>
        <v>--20</v>
      </c>
      <c r="B456" s="22">
        <f t="shared" ref="B456:C456" si="461">B455+1</f>
        <v>452</v>
      </c>
      <c r="C456" s="22">
        <f t="shared" si="461"/>
        <v>452</v>
      </c>
      <c r="D456" s="34"/>
      <c r="E456" s="35"/>
      <c r="F456" s="35"/>
      <c r="G456" s="52"/>
      <c r="H456" s="36" t="str">
        <f t="shared" si="459"/>
        <v>RJ--452</v>
      </c>
      <c r="I456" s="36" t="str">
        <f t="shared" si="436"/>
        <v>--20</v>
      </c>
      <c r="J456" s="37" t="e">
        <f>VLOOKUP(D456,Laporan!$C$4:$D$34,2,0)</f>
        <v>#N/A</v>
      </c>
      <c r="K456" s="48"/>
      <c r="L456" s="13"/>
      <c r="M456" s="19">
        <f>SUMIF('DATABASE Room'!$B$3:$B$7,L456,'DATABASE Room'!$D$3:$D$7)</f>
        <v>0</v>
      </c>
      <c r="N456" s="13"/>
      <c r="O456" s="21">
        <f t="shared" si="437"/>
        <v>0</v>
      </c>
      <c r="P456" s="38"/>
      <c r="Q456" s="19">
        <f t="shared" si="438"/>
        <v>0</v>
      </c>
      <c r="R456" s="21">
        <f t="shared" si="439"/>
        <v>0</v>
      </c>
      <c r="S456" s="19">
        <f t="shared" si="440"/>
        <v>2</v>
      </c>
      <c r="T456" s="19">
        <f t="shared" si="441"/>
        <v>0</v>
      </c>
      <c r="U456" s="21">
        <f t="shared" si="442"/>
        <v>0</v>
      </c>
      <c r="V456" s="39"/>
      <c r="W456" s="16"/>
      <c r="X456" s="17">
        <f>VLOOKUP(W456,'DATABASE F&amp;B'!$C$3:$F$216,2,0)</f>
        <v>0</v>
      </c>
      <c r="Y456" s="18"/>
      <c r="Z456" s="19">
        <f>VLOOKUP(W456,'DATABASE F&amp;B'!$C$3:$F$216,4,0)</f>
        <v>0</v>
      </c>
      <c r="AA456" s="19">
        <f t="shared" si="443"/>
        <v>0</v>
      </c>
      <c r="AB456" s="16"/>
      <c r="AC456" s="17">
        <f>VLOOKUP(AB456,'DATABASE F&amp;B'!$C$3:$F$216,2,0)</f>
        <v>0</v>
      </c>
      <c r="AD456" s="18"/>
      <c r="AE456" s="19">
        <f>VLOOKUP(AB456,'DATABASE F&amp;B'!$C$3:$F$216,4,0)</f>
        <v>0</v>
      </c>
      <c r="AF456" s="19">
        <f t="shared" si="444"/>
        <v>0</v>
      </c>
      <c r="AG456" s="16"/>
      <c r="AH456" s="17">
        <f>VLOOKUP(AG456,'DATABASE F&amp;B'!$C$3:$F$216,2,0)</f>
        <v>0</v>
      </c>
      <c r="AI456" s="18"/>
      <c r="AJ456" s="19">
        <f>VLOOKUP(AG456,'DATABASE F&amp;B'!$C$3:$F$216,4,0)</f>
        <v>0</v>
      </c>
      <c r="AK456" s="19">
        <f t="shared" si="445"/>
        <v>0</v>
      </c>
      <c r="AL456" s="16"/>
      <c r="AM456" s="17">
        <f>VLOOKUP(AL456,'DATABASE F&amp;B'!$C$3:$F$216,2,0)</f>
        <v>0</v>
      </c>
      <c r="AN456" s="18">
        <v>1</v>
      </c>
      <c r="AO456" s="19">
        <f>VLOOKUP(AL456,'DATABASE F&amp;B'!$C$3:$F$216,4,0)</f>
        <v>0</v>
      </c>
      <c r="AP456" s="19">
        <f t="shared" si="446"/>
        <v>0</v>
      </c>
      <c r="AQ456" s="16"/>
      <c r="AR456" s="17">
        <f>VLOOKUP(AQ456,'DATABASE F&amp;B'!$C$3:$F$216,2,0)</f>
        <v>0</v>
      </c>
      <c r="AS456" s="18">
        <v>1</v>
      </c>
      <c r="AT456" s="19">
        <f>VLOOKUP(AQ456,'DATABASE F&amp;B'!$C$3:$F$216,4,0)</f>
        <v>0</v>
      </c>
      <c r="AU456" s="19">
        <f t="shared" si="447"/>
        <v>0</v>
      </c>
      <c r="AV456" s="16"/>
      <c r="AW456" s="17">
        <f>VLOOKUP(AV456,'DATABASE F&amp;B'!$C$3:$F$216,2,0)</f>
        <v>0</v>
      </c>
      <c r="AX456" s="18"/>
      <c r="AY456" s="19">
        <f>VLOOKUP(AV456,'DATABASE F&amp;B'!$C$3:$F$216,4,0)</f>
        <v>0</v>
      </c>
      <c r="AZ456" s="19">
        <f t="shared" si="448"/>
        <v>0</v>
      </c>
      <c r="BA456" s="16"/>
      <c r="BB456" s="17">
        <f>VLOOKUP(BA456,'DATABASE F&amp;B'!$C$3:$F$216,2,0)</f>
        <v>0</v>
      </c>
      <c r="BC456" s="18"/>
      <c r="BD456" s="19">
        <f>VLOOKUP(BA456,'DATABASE F&amp;B'!$C$3:$F$216,4,0)</f>
        <v>0</v>
      </c>
      <c r="BE456" s="19">
        <f t="shared" si="449"/>
        <v>0</v>
      </c>
      <c r="BF456" s="16"/>
      <c r="BG456" s="17">
        <f>VLOOKUP(BF456,'DATABASE F&amp;B'!$C$3:$F$216,2,0)</f>
        <v>0</v>
      </c>
      <c r="BH456" s="18"/>
      <c r="BI456" s="19">
        <f>VLOOKUP(BF456,'DATABASE F&amp;B'!$C$3:$F$216,4,0)</f>
        <v>0</v>
      </c>
      <c r="BJ456" s="19">
        <f t="shared" si="450"/>
        <v>0</v>
      </c>
      <c r="BK456" s="16"/>
      <c r="BL456" s="17">
        <f>VLOOKUP(BK456,'DATABASE F&amp;B'!$C$3:$F$210,2,0)</f>
        <v>0</v>
      </c>
      <c r="BM456" s="18"/>
      <c r="BN456" s="19">
        <f>VLOOKUP(BK456,'DATABASE F&amp;B'!$C$3:$F$210,4,0)</f>
        <v>0</v>
      </c>
      <c r="BO456" s="19">
        <f t="shared" si="451"/>
        <v>0</v>
      </c>
      <c r="BP456" s="16"/>
      <c r="BQ456" s="17">
        <f>VLOOKUP(BP456,'DATABASE F&amp;B'!$C$3:$F$210,2,0)</f>
        <v>0</v>
      </c>
      <c r="BR456" s="18"/>
      <c r="BS456" s="19">
        <f>VLOOKUP(BP456,'DATABASE F&amp;B'!$C$3:$F$210,4,0)</f>
        <v>0</v>
      </c>
      <c r="BT456" s="19">
        <f t="shared" si="452"/>
        <v>0</v>
      </c>
      <c r="BU456" s="16"/>
      <c r="BV456" s="17">
        <f>VLOOKUP(BU456,'DATABASE F&amp;B'!$C$3:$F$210,2,0)</f>
        <v>0</v>
      </c>
      <c r="BW456" s="18"/>
      <c r="BX456" s="19">
        <f>VLOOKUP(BU456,'DATABASE F&amp;B'!$C$3:$F$210,4,0)</f>
        <v>0</v>
      </c>
      <c r="BY456" s="19">
        <f t="shared" si="453"/>
        <v>0</v>
      </c>
      <c r="BZ456" s="16"/>
      <c r="CA456" s="17">
        <f>VLOOKUP(BZ456,'DATABASE F&amp;B'!$C$3:$F$210,2,0)</f>
        <v>0</v>
      </c>
      <c r="CB456" s="18"/>
      <c r="CC456" s="19">
        <f>VLOOKUP(BZ456,'DATABASE F&amp;B'!$C$3:$F$210,4,0)</f>
        <v>0</v>
      </c>
      <c r="CD456" s="19">
        <f t="shared" si="454"/>
        <v>0</v>
      </c>
    </row>
    <row r="457" spans="1:82" ht="13.5" x14ac:dyDescent="0.25">
      <c r="A457" s="32" t="str">
        <f t="shared" si="434"/>
        <v>--20</v>
      </c>
      <c r="B457" s="22">
        <f t="shared" ref="B457:C457" si="462">B456+1</f>
        <v>453</v>
      </c>
      <c r="C457" s="22">
        <f t="shared" si="462"/>
        <v>453</v>
      </c>
      <c r="D457" s="34"/>
      <c r="E457" s="35"/>
      <c r="F457" s="35"/>
      <c r="G457" s="52"/>
      <c r="H457" s="36" t="str">
        <f t="shared" si="459"/>
        <v>RJ--453</v>
      </c>
      <c r="I457" s="36" t="str">
        <f t="shared" si="436"/>
        <v>--20</v>
      </c>
      <c r="J457" s="37" t="e">
        <f>VLOOKUP(D457,Laporan!$C$4:$D$34,2,0)</f>
        <v>#N/A</v>
      </c>
      <c r="K457" s="48"/>
      <c r="L457" s="13"/>
      <c r="M457" s="19">
        <f>SUMIF('DATABASE Room'!$B$3:$B$7,L457,'DATABASE Room'!$D$3:$D$7)</f>
        <v>0</v>
      </c>
      <c r="N457" s="13"/>
      <c r="O457" s="21">
        <f t="shared" si="437"/>
        <v>0</v>
      </c>
      <c r="P457" s="38"/>
      <c r="Q457" s="19">
        <f t="shared" si="438"/>
        <v>0</v>
      </c>
      <c r="R457" s="21">
        <f t="shared" si="439"/>
        <v>0</v>
      </c>
      <c r="S457" s="19">
        <f t="shared" si="440"/>
        <v>2</v>
      </c>
      <c r="T457" s="19">
        <f t="shared" si="441"/>
        <v>0</v>
      </c>
      <c r="U457" s="21">
        <f t="shared" si="442"/>
        <v>0</v>
      </c>
      <c r="V457" s="39"/>
      <c r="W457" s="16"/>
      <c r="X457" s="17">
        <f>VLOOKUP(W457,'DATABASE F&amp;B'!$C$3:$F$216,2,0)</f>
        <v>0</v>
      </c>
      <c r="Y457" s="18"/>
      <c r="Z457" s="19">
        <f>VLOOKUP(W457,'DATABASE F&amp;B'!$C$3:$F$216,4,0)</f>
        <v>0</v>
      </c>
      <c r="AA457" s="19">
        <f t="shared" si="443"/>
        <v>0</v>
      </c>
      <c r="AB457" s="16"/>
      <c r="AC457" s="17">
        <f>VLOOKUP(AB457,'DATABASE F&amp;B'!$C$3:$F$216,2,0)</f>
        <v>0</v>
      </c>
      <c r="AD457" s="18"/>
      <c r="AE457" s="19">
        <f>VLOOKUP(AB457,'DATABASE F&amp;B'!$C$3:$F$216,4,0)</f>
        <v>0</v>
      </c>
      <c r="AF457" s="19">
        <f t="shared" si="444"/>
        <v>0</v>
      </c>
      <c r="AG457" s="16"/>
      <c r="AH457" s="17">
        <f>VLOOKUP(AG457,'DATABASE F&amp;B'!$C$3:$F$216,2,0)</f>
        <v>0</v>
      </c>
      <c r="AI457" s="18"/>
      <c r="AJ457" s="19">
        <f>VLOOKUP(AG457,'DATABASE F&amp;B'!$C$3:$F$216,4,0)</f>
        <v>0</v>
      </c>
      <c r="AK457" s="19">
        <f t="shared" si="445"/>
        <v>0</v>
      </c>
      <c r="AL457" s="16"/>
      <c r="AM457" s="17">
        <f>VLOOKUP(AL457,'DATABASE F&amp;B'!$C$3:$F$216,2,0)</f>
        <v>0</v>
      </c>
      <c r="AN457" s="18">
        <v>1</v>
      </c>
      <c r="AO457" s="19">
        <f>VLOOKUP(AL457,'DATABASE F&amp;B'!$C$3:$F$216,4,0)</f>
        <v>0</v>
      </c>
      <c r="AP457" s="19">
        <f t="shared" si="446"/>
        <v>0</v>
      </c>
      <c r="AQ457" s="16"/>
      <c r="AR457" s="17">
        <f>VLOOKUP(AQ457,'DATABASE F&amp;B'!$C$3:$F$216,2,0)</f>
        <v>0</v>
      </c>
      <c r="AS457" s="18">
        <v>1</v>
      </c>
      <c r="AT457" s="19">
        <f>VLOOKUP(AQ457,'DATABASE F&amp;B'!$C$3:$F$216,4,0)</f>
        <v>0</v>
      </c>
      <c r="AU457" s="19">
        <f t="shared" si="447"/>
        <v>0</v>
      </c>
      <c r="AV457" s="16"/>
      <c r="AW457" s="17">
        <f>VLOOKUP(AV457,'DATABASE F&amp;B'!$C$3:$F$216,2,0)</f>
        <v>0</v>
      </c>
      <c r="AX457" s="18"/>
      <c r="AY457" s="19">
        <f>VLOOKUP(AV457,'DATABASE F&amp;B'!$C$3:$F$216,4,0)</f>
        <v>0</v>
      </c>
      <c r="AZ457" s="19">
        <f t="shared" si="448"/>
        <v>0</v>
      </c>
      <c r="BA457" s="16"/>
      <c r="BB457" s="17">
        <f>VLOOKUP(BA457,'DATABASE F&amp;B'!$C$3:$F$216,2,0)</f>
        <v>0</v>
      </c>
      <c r="BC457" s="18"/>
      <c r="BD457" s="19">
        <f>VLOOKUP(BA457,'DATABASE F&amp;B'!$C$3:$F$216,4,0)</f>
        <v>0</v>
      </c>
      <c r="BE457" s="19">
        <f t="shared" si="449"/>
        <v>0</v>
      </c>
      <c r="BF457" s="16"/>
      <c r="BG457" s="17">
        <f>VLOOKUP(BF457,'DATABASE F&amp;B'!$C$3:$F$216,2,0)</f>
        <v>0</v>
      </c>
      <c r="BH457" s="18"/>
      <c r="BI457" s="19">
        <f>VLOOKUP(BF457,'DATABASE F&amp;B'!$C$3:$F$216,4,0)</f>
        <v>0</v>
      </c>
      <c r="BJ457" s="19">
        <f t="shared" si="450"/>
        <v>0</v>
      </c>
      <c r="BK457" s="16"/>
      <c r="BL457" s="17">
        <f>VLOOKUP(BK457,'DATABASE F&amp;B'!$C$3:$F$210,2,0)</f>
        <v>0</v>
      </c>
      <c r="BM457" s="18"/>
      <c r="BN457" s="19">
        <f>VLOOKUP(BK457,'DATABASE F&amp;B'!$C$3:$F$210,4,0)</f>
        <v>0</v>
      </c>
      <c r="BO457" s="19">
        <f t="shared" si="451"/>
        <v>0</v>
      </c>
      <c r="BP457" s="16"/>
      <c r="BQ457" s="17">
        <f>VLOOKUP(BP457,'DATABASE F&amp;B'!$C$3:$F$210,2,0)</f>
        <v>0</v>
      </c>
      <c r="BR457" s="18"/>
      <c r="BS457" s="19">
        <f>VLOOKUP(BP457,'DATABASE F&amp;B'!$C$3:$F$210,4,0)</f>
        <v>0</v>
      </c>
      <c r="BT457" s="19">
        <f t="shared" si="452"/>
        <v>0</v>
      </c>
      <c r="BU457" s="16"/>
      <c r="BV457" s="17">
        <f>VLOOKUP(BU457,'DATABASE F&amp;B'!$C$3:$F$210,2,0)</f>
        <v>0</v>
      </c>
      <c r="BW457" s="18"/>
      <c r="BX457" s="19">
        <f>VLOOKUP(BU457,'DATABASE F&amp;B'!$C$3:$F$210,4,0)</f>
        <v>0</v>
      </c>
      <c r="BY457" s="19">
        <f t="shared" si="453"/>
        <v>0</v>
      </c>
      <c r="BZ457" s="16"/>
      <c r="CA457" s="17">
        <f>VLOOKUP(BZ457,'DATABASE F&amp;B'!$C$3:$F$210,2,0)</f>
        <v>0</v>
      </c>
      <c r="CB457" s="18"/>
      <c r="CC457" s="19">
        <f>VLOOKUP(BZ457,'DATABASE F&amp;B'!$C$3:$F$210,4,0)</f>
        <v>0</v>
      </c>
      <c r="CD457" s="19">
        <f t="shared" si="454"/>
        <v>0</v>
      </c>
    </row>
    <row r="458" spans="1:82" ht="13.5" x14ac:dyDescent="0.25">
      <c r="A458" s="32" t="str">
        <f t="shared" si="434"/>
        <v>--20</v>
      </c>
      <c r="B458" s="22">
        <f t="shared" ref="B458:C458" si="463">B457+1</f>
        <v>454</v>
      </c>
      <c r="C458" s="22">
        <f t="shared" si="463"/>
        <v>454</v>
      </c>
      <c r="D458" s="34"/>
      <c r="E458" s="35"/>
      <c r="F458" s="35"/>
      <c r="G458" s="52"/>
      <c r="H458" s="36" t="str">
        <f t="shared" si="459"/>
        <v>RJ--454</v>
      </c>
      <c r="I458" s="36" t="str">
        <f t="shared" si="436"/>
        <v>--20</v>
      </c>
      <c r="J458" s="37" t="e">
        <f>VLOOKUP(D458,Laporan!$C$4:$D$34,2,0)</f>
        <v>#N/A</v>
      </c>
      <c r="K458" s="48"/>
      <c r="L458" s="13"/>
      <c r="M458" s="19">
        <f>SUMIF('DATABASE Room'!$B$3:$B$7,L458,'DATABASE Room'!$D$3:$D$7)</f>
        <v>0</v>
      </c>
      <c r="N458" s="13"/>
      <c r="O458" s="21">
        <f t="shared" si="437"/>
        <v>0</v>
      </c>
      <c r="P458" s="38"/>
      <c r="Q458" s="19">
        <f t="shared" si="438"/>
        <v>0</v>
      </c>
      <c r="R458" s="21">
        <f t="shared" si="439"/>
        <v>0</v>
      </c>
      <c r="S458" s="19">
        <f t="shared" si="440"/>
        <v>2</v>
      </c>
      <c r="T458" s="19">
        <f t="shared" si="441"/>
        <v>0</v>
      </c>
      <c r="U458" s="21">
        <f t="shared" si="442"/>
        <v>0</v>
      </c>
      <c r="V458" s="39"/>
      <c r="W458" s="16"/>
      <c r="X458" s="17">
        <f>VLOOKUP(W458,'DATABASE F&amp;B'!$C$3:$F$216,2,0)</f>
        <v>0</v>
      </c>
      <c r="Y458" s="18"/>
      <c r="Z458" s="19">
        <f>VLOOKUP(W458,'DATABASE F&amp;B'!$C$3:$F$216,4,0)</f>
        <v>0</v>
      </c>
      <c r="AA458" s="19">
        <f t="shared" si="443"/>
        <v>0</v>
      </c>
      <c r="AB458" s="16"/>
      <c r="AC458" s="17">
        <f>VLOOKUP(AB458,'DATABASE F&amp;B'!$C$3:$F$216,2,0)</f>
        <v>0</v>
      </c>
      <c r="AD458" s="18"/>
      <c r="AE458" s="19">
        <f>VLOOKUP(AB458,'DATABASE F&amp;B'!$C$3:$F$216,4,0)</f>
        <v>0</v>
      </c>
      <c r="AF458" s="19">
        <f t="shared" si="444"/>
        <v>0</v>
      </c>
      <c r="AG458" s="16"/>
      <c r="AH458" s="17">
        <f>VLOOKUP(AG458,'DATABASE F&amp;B'!$C$3:$F$216,2,0)</f>
        <v>0</v>
      </c>
      <c r="AI458" s="18"/>
      <c r="AJ458" s="19">
        <f>VLOOKUP(AG458,'DATABASE F&amp;B'!$C$3:$F$216,4,0)</f>
        <v>0</v>
      </c>
      <c r="AK458" s="19">
        <f t="shared" si="445"/>
        <v>0</v>
      </c>
      <c r="AL458" s="16"/>
      <c r="AM458" s="17">
        <f>VLOOKUP(AL458,'DATABASE F&amp;B'!$C$3:$F$216,2,0)</f>
        <v>0</v>
      </c>
      <c r="AN458" s="18">
        <v>1</v>
      </c>
      <c r="AO458" s="19">
        <f>VLOOKUP(AL458,'DATABASE F&amp;B'!$C$3:$F$216,4,0)</f>
        <v>0</v>
      </c>
      <c r="AP458" s="19">
        <f t="shared" si="446"/>
        <v>0</v>
      </c>
      <c r="AQ458" s="16"/>
      <c r="AR458" s="17">
        <f>VLOOKUP(AQ458,'DATABASE F&amp;B'!$C$3:$F$216,2,0)</f>
        <v>0</v>
      </c>
      <c r="AS458" s="18">
        <v>1</v>
      </c>
      <c r="AT458" s="19">
        <f>VLOOKUP(AQ458,'DATABASE F&amp;B'!$C$3:$F$216,4,0)</f>
        <v>0</v>
      </c>
      <c r="AU458" s="19">
        <f t="shared" si="447"/>
        <v>0</v>
      </c>
      <c r="AV458" s="16"/>
      <c r="AW458" s="17">
        <f>VLOOKUP(AV458,'DATABASE F&amp;B'!$C$3:$F$216,2,0)</f>
        <v>0</v>
      </c>
      <c r="AX458" s="18"/>
      <c r="AY458" s="19">
        <f>VLOOKUP(AV458,'DATABASE F&amp;B'!$C$3:$F$216,4,0)</f>
        <v>0</v>
      </c>
      <c r="AZ458" s="19">
        <f t="shared" si="448"/>
        <v>0</v>
      </c>
      <c r="BA458" s="16"/>
      <c r="BB458" s="17">
        <f>VLOOKUP(BA458,'DATABASE F&amp;B'!$C$3:$F$216,2,0)</f>
        <v>0</v>
      </c>
      <c r="BC458" s="18"/>
      <c r="BD458" s="19">
        <f>VLOOKUP(BA458,'DATABASE F&amp;B'!$C$3:$F$216,4,0)</f>
        <v>0</v>
      </c>
      <c r="BE458" s="19">
        <f t="shared" si="449"/>
        <v>0</v>
      </c>
      <c r="BF458" s="16"/>
      <c r="BG458" s="17">
        <f>VLOOKUP(BF458,'DATABASE F&amp;B'!$C$3:$F$216,2,0)</f>
        <v>0</v>
      </c>
      <c r="BH458" s="18"/>
      <c r="BI458" s="19">
        <f>VLOOKUP(BF458,'DATABASE F&amp;B'!$C$3:$F$216,4,0)</f>
        <v>0</v>
      </c>
      <c r="BJ458" s="19">
        <f t="shared" si="450"/>
        <v>0</v>
      </c>
      <c r="BK458" s="16"/>
      <c r="BL458" s="17">
        <f>VLOOKUP(BK458,'DATABASE F&amp;B'!$C$3:$F$210,2,0)</f>
        <v>0</v>
      </c>
      <c r="BM458" s="18"/>
      <c r="BN458" s="19">
        <f>VLOOKUP(BK458,'DATABASE F&amp;B'!$C$3:$F$210,4,0)</f>
        <v>0</v>
      </c>
      <c r="BO458" s="19">
        <f t="shared" si="451"/>
        <v>0</v>
      </c>
      <c r="BP458" s="16"/>
      <c r="BQ458" s="17">
        <f>VLOOKUP(BP458,'DATABASE F&amp;B'!$C$3:$F$210,2,0)</f>
        <v>0</v>
      </c>
      <c r="BR458" s="18"/>
      <c r="BS458" s="19">
        <f>VLOOKUP(BP458,'DATABASE F&amp;B'!$C$3:$F$210,4,0)</f>
        <v>0</v>
      </c>
      <c r="BT458" s="19">
        <f t="shared" si="452"/>
        <v>0</v>
      </c>
      <c r="BU458" s="16"/>
      <c r="BV458" s="17">
        <f>VLOOKUP(BU458,'DATABASE F&amp;B'!$C$3:$F$210,2,0)</f>
        <v>0</v>
      </c>
      <c r="BW458" s="18"/>
      <c r="BX458" s="19">
        <f>VLOOKUP(BU458,'DATABASE F&amp;B'!$C$3:$F$210,4,0)</f>
        <v>0</v>
      </c>
      <c r="BY458" s="19">
        <f t="shared" si="453"/>
        <v>0</v>
      </c>
      <c r="BZ458" s="16"/>
      <c r="CA458" s="17">
        <f>VLOOKUP(BZ458,'DATABASE F&amp;B'!$C$3:$F$210,2,0)</f>
        <v>0</v>
      </c>
      <c r="CB458" s="18"/>
      <c r="CC458" s="19">
        <f>VLOOKUP(BZ458,'DATABASE F&amp;B'!$C$3:$F$210,4,0)</f>
        <v>0</v>
      </c>
      <c r="CD458" s="19">
        <f t="shared" si="454"/>
        <v>0</v>
      </c>
    </row>
    <row r="459" spans="1:82" ht="13.5" x14ac:dyDescent="0.25">
      <c r="A459" s="32" t="str">
        <f t="shared" si="434"/>
        <v>--20</v>
      </c>
      <c r="B459" s="22">
        <f t="shared" ref="B459:C459" si="464">B458+1</f>
        <v>455</v>
      </c>
      <c r="C459" s="22">
        <f t="shared" si="464"/>
        <v>455</v>
      </c>
      <c r="D459" s="34"/>
      <c r="E459" s="35"/>
      <c r="F459" s="35"/>
      <c r="G459" s="52"/>
      <c r="H459" s="36" t="str">
        <f t="shared" si="459"/>
        <v>RJ--455</v>
      </c>
      <c r="I459" s="36" t="str">
        <f t="shared" si="436"/>
        <v>--20</v>
      </c>
      <c r="J459" s="37" t="e">
        <f>VLOOKUP(D459,Laporan!$C$4:$D$34,2,0)</f>
        <v>#N/A</v>
      </c>
      <c r="K459" s="48"/>
      <c r="L459" s="13"/>
      <c r="M459" s="19">
        <f>SUMIF('DATABASE Room'!$B$3:$B$7,L459,'DATABASE Room'!$D$3:$D$7)</f>
        <v>0</v>
      </c>
      <c r="N459" s="13"/>
      <c r="O459" s="21">
        <f t="shared" si="437"/>
        <v>0</v>
      </c>
      <c r="P459" s="38"/>
      <c r="Q459" s="19">
        <f t="shared" si="438"/>
        <v>0</v>
      </c>
      <c r="R459" s="21">
        <f t="shared" si="439"/>
        <v>0</v>
      </c>
      <c r="S459" s="19">
        <f t="shared" si="440"/>
        <v>2</v>
      </c>
      <c r="T459" s="19">
        <f t="shared" si="441"/>
        <v>0</v>
      </c>
      <c r="U459" s="21">
        <f t="shared" si="442"/>
        <v>0</v>
      </c>
      <c r="V459" s="39"/>
      <c r="W459" s="16"/>
      <c r="X459" s="17">
        <f>VLOOKUP(W459,'DATABASE F&amp;B'!$C$3:$F$216,2,0)</f>
        <v>0</v>
      </c>
      <c r="Y459" s="18"/>
      <c r="Z459" s="19">
        <f>VLOOKUP(W459,'DATABASE F&amp;B'!$C$3:$F$216,4,0)</f>
        <v>0</v>
      </c>
      <c r="AA459" s="19">
        <f t="shared" si="443"/>
        <v>0</v>
      </c>
      <c r="AB459" s="16"/>
      <c r="AC459" s="17">
        <f>VLOOKUP(AB459,'DATABASE F&amp;B'!$C$3:$F$216,2,0)</f>
        <v>0</v>
      </c>
      <c r="AD459" s="18"/>
      <c r="AE459" s="19">
        <f>VLOOKUP(AB459,'DATABASE F&amp;B'!$C$3:$F$216,4,0)</f>
        <v>0</v>
      </c>
      <c r="AF459" s="19">
        <f t="shared" si="444"/>
        <v>0</v>
      </c>
      <c r="AG459" s="16"/>
      <c r="AH459" s="17">
        <f>VLOOKUP(AG459,'DATABASE F&amp;B'!$C$3:$F$216,2,0)</f>
        <v>0</v>
      </c>
      <c r="AI459" s="18"/>
      <c r="AJ459" s="19">
        <f>VLOOKUP(AG459,'DATABASE F&amp;B'!$C$3:$F$216,4,0)</f>
        <v>0</v>
      </c>
      <c r="AK459" s="19">
        <f t="shared" si="445"/>
        <v>0</v>
      </c>
      <c r="AL459" s="16"/>
      <c r="AM459" s="17">
        <f>VLOOKUP(AL459,'DATABASE F&amp;B'!$C$3:$F$216,2,0)</f>
        <v>0</v>
      </c>
      <c r="AN459" s="18">
        <v>1</v>
      </c>
      <c r="AO459" s="19">
        <f>VLOOKUP(AL459,'DATABASE F&amp;B'!$C$3:$F$216,4,0)</f>
        <v>0</v>
      </c>
      <c r="AP459" s="19">
        <f t="shared" si="446"/>
        <v>0</v>
      </c>
      <c r="AQ459" s="16"/>
      <c r="AR459" s="17">
        <f>VLOOKUP(AQ459,'DATABASE F&amp;B'!$C$3:$F$216,2,0)</f>
        <v>0</v>
      </c>
      <c r="AS459" s="18">
        <v>1</v>
      </c>
      <c r="AT459" s="19">
        <f>VLOOKUP(AQ459,'DATABASE F&amp;B'!$C$3:$F$216,4,0)</f>
        <v>0</v>
      </c>
      <c r="AU459" s="19">
        <f t="shared" si="447"/>
        <v>0</v>
      </c>
      <c r="AV459" s="16"/>
      <c r="AW459" s="17">
        <f>VLOOKUP(AV459,'DATABASE F&amp;B'!$C$3:$F$216,2,0)</f>
        <v>0</v>
      </c>
      <c r="AX459" s="18"/>
      <c r="AY459" s="19">
        <f>VLOOKUP(AV459,'DATABASE F&amp;B'!$C$3:$F$216,4,0)</f>
        <v>0</v>
      </c>
      <c r="AZ459" s="19">
        <f t="shared" si="448"/>
        <v>0</v>
      </c>
      <c r="BA459" s="16"/>
      <c r="BB459" s="17">
        <f>VLOOKUP(BA459,'DATABASE F&amp;B'!$C$3:$F$216,2,0)</f>
        <v>0</v>
      </c>
      <c r="BC459" s="18"/>
      <c r="BD459" s="19">
        <f>VLOOKUP(BA459,'DATABASE F&amp;B'!$C$3:$F$216,4,0)</f>
        <v>0</v>
      </c>
      <c r="BE459" s="19">
        <f t="shared" si="449"/>
        <v>0</v>
      </c>
      <c r="BF459" s="16"/>
      <c r="BG459" s="17">
        <f>VLOOKUP(BF459,'DATABASE F&amp;B'!$C$3:$F$216,2,0)</f>
        <v>0</v>
      </c>
      <c r="BH459" s="18"/>
      <c r="BI459" s="19">
        <f>VLOOKUP(BF459,'DATABASE F&amp;B'!$C$3:$F$216,4,0)</f>
        <v>0</v>
      </c>
      <c r="BJ459" s="19">
        <f t="shared" si="450"/>
        <v>0</v>
      </c>
      <c r="BK459" s="16"/>
      <c r="BL459" s="17">
        <f>VLOOKUP(BK459,'DATABASE F&amp;B'!$C$3:$F$210,2,0)</f>
        <v>0</v>
      </c>
      <c r="BM459" s="18"/>
      <c r="BN459" s="19">
        <f>VLOOKUP(BK459,'DATABASE F&amp;B'!$C$3:$F$210,4,0)</f>
        <v>0</v>
      </c>
      <c r="BO459" s="19">
        <f t="shared" si="451"/>
        <v>0</v>
      </c>
      <c r="BP459" s="16"/>
      <c r="BQ459" s="17">
        <f>VLOOKUP(BP459,'DATABASE F&amp;B'!$C$3:$F$210,2,0)</f>
        <v>0</v>
      </c>
      <c r="BR459" s="18"/>
      <c r="BS459" s="19">
        <f>VLOOKUP(BP459,'DATABASE F&amp;B'!$C$3:$F$210,4,0)</f>
        <v>0</v>
      </c>
      <c r="BT459" s="19">
        <f t="shared" si="452"/>
        <v>0</v>
      </c>
      <c r="BU459" s="16"/>
      <c r="BV459" s="17">
        <f>VLOOKUP(BU459,'DATABASE F&amp;B'!$C$3:$F$210,2,0)</f>
        <v>0</v>
      </c>
      <c r="BW459" s="18"/>
      <c r="BX459" s="19">
        <f>VLOOKUP(BU459,'DATABASE F&amp;B'!$C$3:$F$210,4,0)</f>
        <v>0</v>
      </c>
      <c r="BY459" s="19">
        <f t="shared" si="453"/>
        <v>0</v>
      </c>
      <c r="BZ459" s="16"/>
      <c r="CA459" s="17">
        <f>VLOOKUP(BZ459,'DATABASE F&amp;B'!$C$3:$F$210,2,0)</f>
        <v>0</v>
      </c>
      <c r="CB459" s="18"/>
      <c r="CC459" s="19">
        <f>VLOOKUP(BZ459,'DATABASE F&amp;B'!$C$3:$F$210,4,0)</f>
        <v>0</v>
      </c>
      <c r="CD459" s="19">
        <f t="shared" si="454"/>
        <v>0</v>
      </c>
    </row>
    <row r="460" spans="1:82" ht="13.5" x14ac:dyDescent="0.25">
      <c r="A460" s="32" t="str">
        <f t="shared" si="434"/>
        <v>--20</v>
      </c>
      <c r="B460" s="22">
        <f t="shared" ref="B460:C460" si="465">B459+1</f>
        <v>456</v>
      </c>
      <c r="C460" s="22">
        <f t="shared" si="465"/>
        <v>456</v>
      </c>
      <c r="D460" s="34"/>
      <c r="E460" s="35"/>
      <c r="F460" s="35"/>
      <c r="G460" s="52"/>
      <c r="H460" s="36" t="str">
        <f t="shared" si="459"/>
        <v>RJ--456</v>
      </c>
      <c r="I460" s="36" t="str">
        <f t="shared" si="436"/>
        <v>--20</v>
      </c>
      <c r="J460" s="37" t="e">
        <f>VLOOKUP(D460,Laporan!$C$4:$D$34,2,0)</f>
        <v>#N/A</v>
      </c>
      <c r="K460" s="48"/>
      <c r="L460" s="13"/>
      <c r="M460" s="19">
        <f>SUMIF('DATABASE Room'!$B$3:$B$7,L460,'DATABASE Room'!$D$3:$D$7)</f>
        <v>0</v>
      </c>
      <c r="N460" s="13"/>
      <c r="O460" s="21">
        <f t="shared" si="437"/>
        <v>0</v>
      </c>
      <c r="P460" s="38"/>
      <c r="Q460" s="19">
        <f t="shared" si="438"/>
        <v>0</v>
      </c>
      <c r="R460" s="21">
        <f t="shared" si="439"/>
        <v>0</v>
      </c>
      <c r="S460" s="19">
        <f t="shared" si="440"/>
        <v>2</v>
      </c>
      <c r="T460" s="19">
        <f t="shared" si="441"/>
        <v>0</v>
      </c>
      <c r="U460" s="21">
        <f t="shared" si="442"/>
        <v>0</v>
      </c>
      <c r="V460" s="39"/>
      <c r="W460" s="16"/>
      <c r="X460" s="17">
        <f>VLOOKUP(W460,'DATABASE F&amp;B'!$C$3:$F$216,2,0)</f>
        <v>0</v>
      </c>
      <c r="Y460" s="18"/>
      <c r="Z460" s="19">
        <f>VLOOKUP(W460,'DATABASE F&amp;B'!$C$3:$F$216,4,0)</f>
        <v>0</v>
      </c>
      <c r="AA460" s="19">
        <f t="shared" si="443"/>
        <v>0</v>
      </c>
      <c r="AB460" s="16"/>
      <c r="AC460" s="17">
        <f>VLOOKUP(AB460,'DATABASE F&amp;B'!$C$3:$F$216,2,0)</f>
        <v>0</v>
      </c>
      <c r="AD460" s="18"/>
      <c r="AE460" s="19">
        <f>VLOOKUP(AB460,'DATABASE F&amp;B'!$C$3:$F$216,4,0)</f>
        <v>0</v>
      </c>
      <c r="AF460" s="19">
        <f t="shared" si="444"/>
        <v>0</v>
      </c>
      <c r="AG460" s="16"/>
      <c r="AH460" s="17">
        <f>VLOOKUP(AG460,'DATABASE F&amp;B'!$C$3:$F$216,2,0)</f>
        <v>0</v>
      </c>
      <c r="AI460" s="18"/>
      <c r="AJ460" s="19">
        <f>VLOOKUP(AG460,'DATABASE F&amp;B'!$C$3:$F$216,4,0)</f>
        <v>0</v>
      </c>
      <c r="AK460" s="19">
        <f t="shared" si="445"/>
        <v>0</v>
      </c>
      <c r="AL460" s="16"/>
      <c r="AM460" s="17">
        <f>VLOOKUP(AL460,'DATABASE F&amp;B'!$C$3:$F$216,2,0)</f>
        <v>0</v>
      </c>
      <c r="AN460" s="18">
        <v>1</v>
      </c>
      <c r="AO460" s="19">
        <f>VLOOKUP(AL460,'DATABASE F&amp;B'!$C$3:$F$216,4,0)</f>
        <v>0</v>
      </c>
      <c r="AP460" s="19">
        <f t="shared" si="446"/>
        <v>0</v>
      </c>
      <c r="AQ460" s="16"/>
      <c r="AR460" s="17">
        <f>VLOOKUP(AQ460,'DATABASE F&amp;B'!$C$3:$F$216,2,0)</f>
        <v>0</v>
      </c>
      <c r="AS460" s="18">
        <v>1</v>
      </c>
      <c r="AT460" s="19">
        <f>VLOOKUP(AQ460,'DATABASE F&amp;B'!$C$3:$F$216,4,0)</f>
        <v>0</v>
      </c>
      <c r="AU460" s="19">
        <f t="shared" si="447"/>
        <v>0</v>
      </c>
      <c r="AV460" s="16"/>
      <c r="AW460" s="17">
        <f>VLOOKUP(AV460,'DATABASE F&amp;B'!$C$3:$F$216,2,0)</f>
        <v>0</v>
      </c>
      <c r="AX460" s="18"/>
      <c r="AY460" s="19">
        <f>VLOOKUP(AV460,'DATABASE F&amp;B'!$C$3:$F$216,4,0)</f>
        <v>0</v>
      </c>
      <c r="AZ460" s="19">
        <f t="shared" si="448"/>
        <v>0</v>
      </c>
      <c r="BA460" s="16"/>
      <c r="BB460" s="17">
        <f>VLOOKUP(BA460,'DATABASE F&amp;B'!$C$3:$F$216,2,0)</f>
        <v>0</v>
      </c>
      <c r="BC460" s="18"/>
      <c r="BD460" s="19">
        <f>VLOOKUP(BA460,'DATABASE F&amp;B'!$C$3:$F$216,4,0)</f>
        <v>0</v>
      </c>
      <c r="BE460" s="19">
        <f t="shared" si="449"/>
        <v>0</v>
      </c>
      <c r="BF460" s="16"/>
      <c r="BG460" s="17">
        <f>VLOOKUP(BF460,'DATABASE F&amp;B'!$C$3:$F$216,2,0)</f>
        <v>0</v>
      </c>
      <c r="BH460" s="18"/>
      <c r="BI460" s="19">
        <f>VLOOKUP(BF460,'DATABASE F&amp;B'!$C$3:$F$216,4,0)</f>
        <v>0</v>
      </c>
      <c r="BJ460" s="19">
        <f t="shared" si="450"/>
        <v>0</v>
      </c>
      <c r="BK460" s="16"/>
      <c r="BL460" s="17">
        <f>VLOOKUP(BK460,'DATABASE F&amp;B'!$C$3:$F$210,2,0)</f>
        <v>0</v>
      </c>
      <c r="BM460" s="18"/>
      <c r="BN460" s="19">
        <f>VLOOKUP(BK460,'DATABASE F&amp;B'!$C$3:$F$210,4,0)</f>
        <v>0</v>
      </c>
      <c r="BO460" s="19">
        <f t="shared" si="451"/>
        <v>0</v>
      </c>
      <c r="BP460" s="16"/>
      <c r="BQ460" s="17">
        <f>VLOOKUP(BP460,'DATABASE F&amp;B'!$C$3:$F$210,2,0)</f>
        <v>0</v>
      </c>
      <c r="BR460" s="18"/>
      <c r="BS460" s="19">
        <f>VLOOKUP(BP460,'DATABASE F&amp;B'!$C$3:$F$210,4,0)</f>
        <v>0</v>
      </c>
      <c r="BT460" s="19">
        <f t="shared" si="452"/>
        <v>0</v>
      </c>
      <c r="BU460" s="16"/>
      <c r="BV460" s="17">
        <f>VLOOKUP(BU460,'DATABASE F&amp;B'!$C$3:$F$210,2,0)</f>
        <v>0</v>
      </c>
      <c r="BW460" s="18"/>
      <c r="BX460" s="19">
        <f>VLOOKUP(BU460,'DATABASE F&amp;B'!$C$3:$F$210,4,0)</f>
        <v>0</v>
      </c>
      <c r="BY460" s="19">
        <f t="shared" si="453"/>
        <v>0</v>
      </c>
      <c r="BZ460" s="16"/>
      <c r="CA460" s="17">
        <f>VLOOKUP(BZ460,'DATABASE F&amp;B'!$C$3:$F$210,2,0)</f>
        <v>0</v>
      </c>
      <c r="CB460" s="18"/>
      <c r="CC460" s="19">
        <f>VLOOKUP(BZ460,'DATABASE F&amp;B'!$C$3:$F$210,4,0)</f>
        <v>0</v>
      </c>
      <c r="CD460" s="19">
        <f t="shared" si="454"/>
        <v>0</v>
      </c>
    </row>
    <row r="461" spans="1:82" ht="13.5" x14ac:dyDescent="0.25">
      <c r="A461" s="32" t="str">
        <f t="shared" si="434"/>
        <v>--20</v>
      </c>
      <c r="B461" s="22">
        <f t="shared" ref="B461:C461" si="466">B460+1</f>
        <v>457</v>
      </c>
      <c r="C461" s="22">
        <f t="shared" si="466"/>
        <v>457</v>
      </c>
      <c r="D461" s="34"/>
      <c r="E461" s="35"/>
      <c r="F461" s="35"/>
      <c r="G461" s="52"/>
      <c r="H461" s="36" t="str">
        <f t="shared" si="459"/>
        <v>RJ--457</v>
      </c>
      <c r="I461" s="36" t="str">
        <f t="shared" si="436"/>
        <v>--20</v>
      </c>
      <c r="J461" s="37" t="e">
        <f>VLOOKUP(D461,Laporan!$C$4:$D$34,2,0)</f>
        <v>#N/A</v>
      </c>
      <c r="K461" s="48"/>
      <c r="L461" s="13"/>
      <c r="M461" s="19">
        <f>SUMIF('DATABASE Room'!$B$3:$B$7,L461,'DATABASE Room'!$D$3:$D$7)</f>
        <v>0</v>
      </c>
      <c r="N461" s="13"/>
      <c r="O461" s="21">
        <f t="shared" si="437"/>
        <v>0</v>
      </c>
      <c r="P461" s="38"/>
      <c r="Q461" s="19">
        <f t="shared" si="438"/>
        <v>0</v>
      </c>
      <c r="R461" s="21">
        <f t="shared" si="439"/>
        <v>0</v>
      </c>
      <c r="S461" s="19">
        <f t="shared" si="440"/>
        <v>2</v>
      </c>
      <c r="T461" s="19">
        <f t="shared" si="441"/>
        <v>0</v>
      </c>
      <c r="U461" s="21">
        <f t="shared" si="442"/>
        <v>0</v>
      </c>
      <c r="V461" s="39"/>
      <c r="W461" s="16"/>
      <c r="X461" s="17">
        <f>VLOOKUP(W461,'DATABASE F&amp;B'!$C$3:$F$216,2,0)</f>
        <v>0</v>
      </c>
      <c r="Y461" s="18"/>
      <c r="Z461" s="19">
        <f>VLOOKUP(W461,'DATABASE F&amp;B'!$C$3:$F$216,4,0)</f>
        <v>0</v>
      </c>
      <c r="AA461" s="19">
        <f t="shared" si="443"/>
        <v>0</v>
      </c>
      <c r="AB461" s="16"/>
      <c r="AC461" s="17">
        <f>VLOOKUP(AB461,'DATABASE F&amp;B'!$C$3:$F$216,2,0)</f>
        <v>0</v>
      </c>
      <c r="AD461" s="18"/>
      <c r="AE461" s="19">
        <f>VLOOKUP(AB461,'DATABASE F&amp;B'!$C$3:$F$216,4,0)</f>
        <v>0</v>
      </c>
      <c r="AF461" s="19">
        <f t="shared" si="444"/>
        <v>0</v>
      </c>
      <c r="AG461" s="16"/>
      <c r="AH461" s="17">
        <f>VLOOKUP(AG461,'DATABASE F&amp;B'!$C$3:$F$216,2,0)</f>
        <v>0</v>
      </c>
      <c r="AI461" s="18"/>
      <c r="AJ461" s="19">
        <f>VLOOKUP(AG461,'DATABASE F&amp;B'!$C$3:$F$216,4,0)</f>
        <v>0</v>
      </c>
      <c r="AK461" s="19">
        <f t="shared" si="445"/>
        <v>0</v>
      </c>
      <c r="AL461" s="16"/>
      <c r="AM461" s="17">
        <f>VLOOKUP(AL461,'DATABASE F&amp;B'!$C$3:$F$216,2,0)</f>
        <v>0</v>
      </c>
      <c r="AN461" s="18">
        <v>1</v>
      </c>
      <c r="AO461" s="19">
        <f>VLOOKUP(AL461,'DATABASE F&amp;B'!$C$3:$F$216,4,0)</f>
        <v>0</v>
      </c>
      <c r="AP461" s="19">
        <f t="shared" si="446"/>
        <v>0</v>
      </c>
      <c r="AQ461" s="16"/>
      <c r="AR461" s="17">
        <f>VLOOKUP(AQ461,'DATABASE F&amp;B'!$C$3:$F$216,2,0)</f>
        <v>0</v>
      </c>
      <c r="AS461" s="18">
        <v>1</v>
      </c>
      <c r="AT461" s="19">
        <f>VLOOKUP(AQ461,'DATABASE F&amp;B'!$C$3:$F$216,4,0)</f>
        <v>0</v>
      </c>
      <c r="AU461" s="19">
        <f t="shared" si="447"/>
        <v>0</v>
      </c>
      <c r="AV461" s="16"/>
      <c r="AW461" s="17">
        <f>VLOOKUP(AV461,'DATABASE F&amp;B'!$C$3:$F$216,2,0)</f>
        <v>0</v>
      </c>
      <c r="AX461" s="18"/>
      <c r="AY461" s="19">
        <f>VLOOKUP(AV461,'DATABASE F&amp;B'!$C$3:$F$216,4,0)</f>
        <v>0</v>
      </c>
      <c r="AZ461" s="19">
        <f t="shared" si="448"/>
        <v>0</v>
      </c>
      <c r="BA461" s="16"/>
      <c r="BB461" s="17">
        <f>VLOOKUP(BA461,'DATABASE F&amp;B'!$C$3:$F$216,2,0)</f>
        <v>0</v>
      </c>
      <c r="BC461" s="18"/>
      <c r="BD461" s="19">
        <f>VLOOKUP(BA461,'DATABASE F&amp;B'!$C$3:$F$216,4,0)</f>
        <v>0</v>
      </c>
      <c r="BE461" s="19">
        <f t="shared" si="449"/>
        <v>0</v>
      </c>
      <c r="BF461" s="16"/>
      <c r="BG461" s="17">
        <f>VLOOKUP(BF461,'DATABASE F&amp;B'!$C$3:$F$216,2,0)</f>
        <v>0</v>
      </c>
      <c r="BH461" s="18"/>
      <c r="BI461" s="19">
        <f>VLOOKUP(BF461,'DATABASE F&amp;B'!$C$3:$F$216,4,0)</f>
        <v>0</v>
      </c>
      <c r="BJ461" s="19">
        <f t="shared" si="450"/>
        <v>0</v>
      </c>
      <c r="BK461" s="16"/>
      <c r="BL461" s="17">
        <f>VLOOKUP(BK461,'DATABASE F&amp;B'!$C$3:$F$210,2,0)</f>
        <v>0</v>
      </c>
      <c r="BM461" s="18"/>
      <c r="BN461" s="19">
        <f>VLOOKUP(BK461,'DATABASE F&amp;B'!$C$3:$F$210,4,0)</f>
        <v>0</v>
      </c>
      <c r="BO461" s="19">
        <f t="shared" si="451"/>
        <v>0</v>
      </c>
      <c r="BP461" s="16"/>
      <c r="BQ461" s="17">
        <f>VLOOKUP(BP461,'DATABASE F&amp;B'!$C$3:$F$210,2,0)</f>
        <v>0</v>
      </c>
      <c r="BR461" s="18"/>
      <c r="BS461" s="19">
        <f>VLOOKUP(BP461,'DATABASE F&amp;B'!$C$3:$F$210,4,0)</f>
        <v>0</v>
      </c>
      <c r="BT461" s="19">
        <f t="shared" si="452"/>
        <v>0</v>
      </c>
      <c r="BU461" s="16"/>
      <c r="BV461" s="17">
        <f>VLOOKUP(BU461,'DATABASE F&amp;B'!$C$3:$F$210,2,0)</f>
        <v>0</v>
      </c>
      <c r="BW461" s="18"/>
      <c r="BX461" s="19">
        <f>VLOOKUP(BU461,'DATABASE F&amp;B'!$C$3:$F$210,4,0)</f>
        <v>0</v>
      </c>
      <c r="BY461" s="19">
        <f t="shared" si="453"/>
        <v>0</v>
      </c>
      <c r="BZ461" s="16"/>
      <c r="CA461" s="17">
        <f>VLOOKUP(BZ461,'DATABASE F&amp;B'!$C$3:$F$210,2,0)</f>
        <v>0</v>
      </c>
      <c r="CB461" s="18"/>
      <c r="CC461" s="19">
        <f>VLOOKUP(BZ461,'DATABASE F&amp;B'!$C$3:$F$210,4,0)</f>
        <v>0</v>
      </c>
      <c r="CD461" s="19">
        <f t="shared" si="454"/>
        <v>0</v>
      </c>
    </row>
    <row r="462" spans="1:82" ht="13.5" x14ac:dyDescent="0.25">
      <c r="A462" s="32" t="str">
        <f t="shared" si="434"/>
        <v>--20</v>
      </c>
      <c r="B462" s="22">
        <f t="shared" ref="B462:C462" si="467">B461+1</f>
        <v>458</v>
      </c>
      <c r="C462" s="22">
        <f t="shared" si="467"/>
        <v>458</v>
      </c>
      <c r="D462" s="34"/>
      <c r="E462" s="35"/>
      <c r="F462" s="35"/>
      <c r="G462" s="52"/>
      <c r="H462" s="36" t="str">
        <f t="shared" si="459"/>
        <v>RJ--458</v>
      </c>
      <c r="I462" s="36" t="str">
        <f t="shared" si="436"/>
        <v>--20</v>
      </c>
      <c r="J462" s="37" t="e">
        <f>VLOOKUP(D462,Laporan!$C$4:$D$34,2,0)</f>
        <v>#N/A</v>
      </c>
      <c r="K462" s="48"/>
      <c r="L462" s="13"/>
      <c r="M462" s="19">
        <f>SUMIF('DATABASE Room'!$B$3:$B$7,L462,'DATABASE Room'!$D$3:$D$7)</f>
        <v>0</v>
      </c>
      <c r="N462" s="13"/>
      <c r="O462" s="21">
        <f t="shared" si="437"/>
        <v>0</v>
      </c>
      <c r="P462" s="38"/>
      <c r="Q462" s="19">
        <f t="shared" si="438"/>
        <v>0</v>
      </c>
      <c r="R462" s="21">
        <f t="shared" si="439"/>
        <v>0</v>
      </c>
      <c r="S462" s="19">
        <f t="shared" si="440"/>
        <v>2</v>
      </c>
      <c r="T462" s="19">
        <f t="shared" si="441"/>
        <v>0</v>
      </c>
      <c r="U462" s="21">
        <f t="shared" si="442"/>
        <v>0</v>
      </c>
      <c r="V462" s="39"/>
      <c r="W462" s="16"/>
      <c r="X462" s="17">
        <f>VLOOKUP(W462,'DATABASE F&amp;B'!$C$3:$F$216,2,0)</f>
        <v>0</v>
      </c>
      <c r="Y462" s="18"/>
      <c r="Z462" s="19">
        <f>VLOOKUP(W462,'DATABASE F&amp;B'!$C$3:$F$216,4,0)</f>
        <v>0</v>
      </c>
      <c r="AA462" s="19">
        <f t="shared" si="443"/>
        <v>0</v>
      </c>
      <c r="AB462" s="16"/>
      <c r="AC462" s="17">
        <f>VLOOKUP(AB462,'DATABASE F&amp;B'!$C$3:$F$216,2,0)</f>
        <v>0</v>
      </c>
      <c r="AD462" s="18"/>
      <c r="AE462" s="19">
        <f>VLOOKUP(AB462,'DATABASE F&amp;B'!$C$3:$F$216,4,0)</f>
        <v>0</v>
      </c>
      <c r="AF462" s="19">
        <f t="shared" si="444"/>
        <v>0</v>
      </c>
      <c r="AG462" s="16"/>
      <c r="AH462" s="17">
        <f>VLOOKUP(AG462,'DATABASE F&amp;B'!$C$3:$F$216,2,0)</f>
        <v>0</v>
      </c>
      <c r="AI462" s="18"/>
      <c r="AJ462" s="19">
        <f>VLOOKUP(AG462,'DATABASE F&amp;B'!$C$3:$F$216,4,0)</f>
        <v>0</v>
      </c>
      <c r="AK462" s="19">
        <f t="shared" si="445"/>
        <v>0</v>
      </c>
      <c r="AL462" s="16"/>
      <c r="AM462" s="17">
        <f>VLOOKUP(AL462,'DATABASE F&amp;B'!$C$3:$F$216,2,0)</f>
        <v>0</v>
      </c>
      <c r="AN462" s="18">
        <v>1</v>
      </c>
      <c r="AO462" s="19">
        <f>VLOOKUP(AL462,'DATABASE F&amp;B'!$C$3:$F$216,4,0)</f>
        <v>0</v>
      </c>
      <c r="AP462" s="19">
        <f t="shared" si="446"/>
        <v>0</v>
      </c>
      <c r="AQ462" s="16"/>
      <c r="AR462" s="17">
        <f>VLOOKUP(AQ462,'DATABASE F&amp;B'!$C$3:$F$216,2,0)</f>
        <v>0</v>
      </c>
      <c r="AS462" s="18">
        <v>1</v>
      </c>
      <c r="AT462" s="19">
        <f>VLOOKUP(AQ462,'DATABASE F&amp;B'!$C$3:$F$216,4,0)</f>
        <v>0</v>
      </c>
      <c r="AU462" s="19">
        <f t="shared" si="447"/>
        <v>0</v>
      </c>
      <c r="AV462" s="16"/>
      <c r="AW462" s="17">
        <f>VLOOKUP(AV462,'DATABASE F&amp;B'!$C$3:$F$216,2,0)</f>
        <v>0</v>
      </c>
      <c r="AX462" s="18"/>
      <c r="AY462" s="19">
        <f>VLOOKUP(AV462,'DATABASE F&amp;B'!$C$3:$F$216,4,0)</f>
        <v>0</v>
      </c>
      <c r="AZ462" s="19">
        <f t="shared" si="448"/>
        <v>0</v>
      </c>
      <c r="BA462" s="16"/>
      <c r="BB462" s="17">
        <f>VLOOKUP(BA462,'DATABASE F&amp;B'!$C$3:$F$216,2,0)</f>
        <v>0</v>
      </c>
      <c r="BC462" s="18"/>
      <c r="BD462" s="19">
        <f>VLOOKUP(BA462,'DATABASE F&amp;B'!$C$3:$F$216,4,0)</f>
        <v>0</v>
      </c>
      <c r="BE462" s="19">
        <f t="shared" si="449"/>
        <v>0</v>
      </c>
      <c r="BF462" s="16"/>
      <c r="BG462" s="17">
        <f>VLOOKUP(BF462,'DATABASE F&amp;B'!$C$3:$F$216,2,0)</f>
        <v>0</v>
      </c>
      <c r="BH462" s="18"/>
      <c r="BI462" s="19">
        <f>VLOOKUP(BF462,'DATABASE F&amp;B'!$C$3:$F$216,4,0)</f>
        <v>0</v>
      </c>
      <c r="BJ462" s="19">
        <f t="shared" si="450"/>
        <v>0</v>
      </c>
      <c r="BK462" s="16"/>
      <c r="BL462" s="17">
        <f>VLOOKUP(BK462,'DATABASE F&amp;B'!$C$3:$F$210,2,0)</f>
        <v>0</v>
      </c>
      <c r="BM462" s="18"/>
      <c r="BN462" s="19">
        <f>VLOOKUP(BK462,'DATABASE F&amp;B'!$C$3:$F$210,4,0)</f>
        <v>0</v>
      </c>
      <c r="BO462" s="19">
        <f t="shared" si="451"/>
        <v>0</v>
      </c>
      <c r="BP462" s="16"/>
      <c r="BQ462" s="17">
        <f>VLOOKUP(BP462,'DATABASE F&amp;B'!$C$3:$F$210,2,0)</f>
        <v>0</v>
      </c>
      <c r="BR462" s="18"/>
      <c r="BS462" s="19">
        <f>VLOOKUP(BP462,'DATABASE F&amp;B'!$C$3:$F$210,4,0)</f>
        <v>0</v>
      </c>
      <c r="BT462" s="19">
        <f t="shared" si="452"/>
        <v>0</v>
      </c>
      <c r="BU462" s="16"/>
      <c r="BV462" s="17">
        <f>VLOOKUP(BU462,'DATABASE F&amp;B'!$C$3:$F$210,2,0)</f>
        <v>0</v>
      </c>
      <c r="BW462" s="18"/>
      <c r="BX462" s="19">
        <f>VLOOKUP(BU462,'DATABASE F&amp;B'!$C$3:$F$210,4,0)</f>
        <v>0</v>
      </c>
      <c r="BY462" s="19">
        <f t="shared" si="453"/>
        <v>0</v>
      </c>
      <c r="BZ462" s="16"/>
      <c r="CA462" s="17">
        <f>VLOOKUP(BZ462,'DATABASE F&amp;B'!$C$3:$F$210,2,0)</f>
        <v>0</v>
      </c>
      <c r="CB462" s="18"/>
      <c r="CC462" s="19">
        <f>VLOOKUP(BZ462,'DATABASE F&amp;B'!$C$3:$F$210,4,0)</f>
        <v>0</v>
      </c>
      <c r="CD462" s="19">
        <f t="shared" si="454"/>
        <v>0</v>
      </c>
    </row>
    <row r="463" spans="1:82" ht="13.5" x14ac:dyDescent="0.25">
      <c r="A463" s="32" t="str">
        <f t="shared" si="434"/>
        <v>--20</v>
      </c>
      <c r="B463" s="22">
        <f t="shared" ref="B463:C463" si="468">B462+1</f>
        <v>459</v>
      </c>
      <c r="C463" s="22">
        <f t="shared" si="468"/>
        <v>459</v>
      </c>
      <c r="D463" s="34"/>
      <c r="E463" s="35"/>
      <c r="F463" s="35"/>
      <c r="G463" s="52"/>
      <c r="H463" s="36" t="str">
        <f t="shared" si="459"/>
        <v>RJ--459</v>
      </c>
      <c r="I463" s="36" t="str">
        <f t="shared" si="436"/>
        <v>--20</v>
      </c>
      <c r="J463" s="37" t="e">
        <f>VLOOKUP(D463,Laporan!$C$4:$D$34,2,0)</f>
        <v>#N/A</v>
      </c>
      <c r="K463" s="48"/>
      <c r="L463" s="13"/>
      <c r="M463" s="19">
        <f>SUMIF('DATABASE Room'!$B$3:$B$7,L463,'DATABASE Room'!$D$3:$D$7)</f>
        <v>0</v>
      </c>
      <c r="N463" s="13"/>
      <c r="O463" s="21">
        <f t="shared" si="437"/>
        <v>0</v>
      </c>
      <c r="P463" s="38"/>
      <c r="Q463" s="19">
        <f t="shared" si="438"/>
        <v>0</v>
      </c>
      <c r="R463" s="21">
        <f t="shared" si="439"/>
        <v>0</v>
      </c>
      <c r="S463" s="19">
        <f t="shared" si="440"/>
        <v>2</v>
      </c>
      <c r="T463" s="19">
        <f t="shared" si="441"/>
        <v>0</v>
      </c>
      <c r="U463" s="21">
        <f t="shared" si="442"/>
        <v>0</v>
      </c>
      <c r="V463" s="39"/>
      <c r="W463" s="16"/>
      <c r="X463" s="17">
        <f>VLOOKUP(W463,'DATABASE F&amp;B'!$C$3:$F$216,2,0)</f>
        <v>0</v>
      </c>
      <c r="Y463" s="18"/>
      <c r="Z463" s="19">
        <f>VLOOKUP(W463,'DATABASE F&amp;B'!$C$3:$F$216,4,0)</f>
        <v>0</v>
      </c>
      <c r="AA463" s="19">
        <f t="shared" si="443"/>
        <v>0</v>
      </c>
      <c r="AB463" s="16"/>
      <c r="AC463" s="17">
        <f>VLOOKUP(AB463,'DATABASE F&amp;B'!$C$3:$F$216,2,0)</f>
        <v>0</v>
      </c>
      <c r="AD463" s="18"/>
      <c r="AE463" s="19">
        <f>VLOOKUP(AB463,'DATABASE F&amp;B'!$C$3:$F$216,4,0)</f>
        <v>0</v>
      </c>
      <c r="AF463" s="19">
        <f t="shared" si="444"/>
        <v>0</v>
      </c>
      <c r="AG463" s="16"/>
      <c r="AH463" s="17">
        <f>VLOOKUP(AG463,'DATABASE F&amp;B'!$C$3:$F$216,2,0)</f>
        <v>0</v>
      </c>
      <c r="AI463" s="18"/>
      <c r="AJ463" s="19">
        <f>VLOOKUP(AG463,'DATABASE F&amp;B'!$C$3:$F$216,4,0)</f>
        <v>0</v>
      </c>
      <c r="AK463" s="19">
        <f t="shared" si="445"/>
        <v>0</v>
      </c>
      <c r="AL463" s="16"/>
      <c r="AM463" s="17">
        <f>VLOOKUP(AL463,'DATABASE F&amp;B'!$C$3:$F$216,2,0)</f>
        <v>0</v>
      </c>
      <c r="AN463" s="18">
        <v>1</v>
      </c>
      <c r="AO463" s="19">
        <f>VLOOKUP(AL463,'DATABASE F&amp;B'!$C$3:$F$216,4,0)</f>
        <v>0</v>
      </c>
      <c r="AP463" s="19">
        <f t="shared" si="446"/>
        <v>0</v>
      </c>
      <c r="AQ463" s="16"/>
      <c r="AR463" s="17">
        <f>VLOOKUP(AQ463,'DATABASE F&amp;B'!$C$3:$F$216,2,0)</f>
        <v>0</v>
      </c>
      <c r="AS463" s="18">
        <v>1</v>
      </c>
      <c r="AT463" s="19">
        <f>VLOOKUP(AQ463,'DATABASE F&amp;B'!$C$3:$F$216,4,0)</f>
        <v>0</v>
      </c>
      <c r="AU463" s="19">
        <f t="shared" si="447"/>
        <v>0</v>
      </c>
      <c r="AV463" s="16"/>
      <c r="AW463" s="17">
        <f>VLOOKUP(AV463,'DATABASE F&amp;B'!$C$3:$F$216,2,0)</f>
        <v>0</v>
      </c>
      <c r="AX463" s="18"/>
      <c r="AY463" s="19">
        <f>VLOOKUP(AV463,'DATABASE F&amp;B'!$C$3:$F$216,4,0)</f>
        <v>0</v>
      </c>
      <c r="AZ463" s="19">
        <f t="shared" si="448"/>
        <v>0</v>
      </c>
      <c r="BA463" s="16"/>
      <c r="BB463" s="17">
        <f>VLOOKUP(BA463,'DATABASE F&amp;B'!$C$3:$F$216,2,0)</f>
        <v>0</v>
      </c>
      <c r="BC463" s="18"/>
      <c r="BD463" s="19">
        <f>VLOOKUP(BA463,'DATABASE F&amp;B'!$C$3:$F$216,4,0)</f>
        <v>0</v>
      </c>
      <c r="BE463" s="19">
        <f t="shared" si="449"/>
        <v>0</v>
      </c>
      <c r="BF463" s="16"/>
      <c r="BG463" s="17">
        <f>VLOOKUP(BF463,'DATABASE F&amp;B'!$C$3:$F$216,2,0)</f>
        <v>0</v>
      </c>
      <c r="BH463" s="18"/>
      <c r="BI463" s="19">
        <f>VLOOKUP(BF463,'DATABASE F&amp;B'!$C$3:$F$216,4,0)</f>
        <v>0</v>
      </c>
      <c r="BJ463" s="19">
        <f t="shared" si="450"/>
        <v>0</v>
      </c>
      <c r="BK463" s="16"/>
      <c r="BL463" s="17">
        <f>VLOOKUP(BK463,'DATABASE F&amp;B'!$C$3:$F$210,2,0)</f>
        <v>0</v>
      </c>
      <c r="BM463" s="18"/>
      <c r="BN463" s="19">
        <f>VLOOKUP(BK463,'DATABASE F&amp;B'!$C$3:$F$210,4,0)</f>
        <v>0</v>
      </c>
      <c r="BO463" s="19">
        <f t="shared" si="451"/>
        <v>0</v>
      </c>
      <c r="BP463" s="16"/>
      <c r="BQ463" s="17">
        <f>VLOOKUP(BP463,'DATABASE F&amp;B'!$C$3:$F$210,2,0)</f>
        <v>0</v>
      </c>
      <c r="BR463" s="18"/>
      <c r="BS463" s="19">
        <f>VLOOKUP(BP463,'DATABASE F&amp;B'!$C$3:$F$210,4,0)</f>
        <v>0</v>
      </c>
      <c r="BT463" s="19">
        <f t="shared" si="452"/>
        <v>0</v>
      </c>
      <c r="BU463" s="16"/>
      <c r="BV463" s="17">
        <f>VLOOKUP(BU463,'DATABASE F&amp;B'!$C$3:$F$210,2,0)</f>
        <v>0</v>
      </c>
      <c r="BW463" s="18"/>
      <c r="BX463" s="19">
        <f>VLOOKUP(BU463,'DATABASE F&amp;B'!$C$3:$F$210,4,0)</f>
        <v>0</v>
      </c>
      <c r="BY463" s="19">
        <f t="shared" si="453"/>
        <v>0</v>
      </c>
      <c r="BZ463" s="16"/>
      <c r="CA463" s="17">
        <f>VLOOKUP(BZ463,'DATABASE F&amp;B'!$C$3:$F$210,2,0)</f>
        <v>0</v>
      </c>
      <c r="CB463" s="18"/>
      <c r="CC463" s="19">
        <f>VLOOKUP(BZ463,'DATABASE F&amp;B'!$C$3:$F$210,4,0)</f>
        <v>0</v>
      </c>
      <c r="CD463" s="19">
        <f t="shared" si="454"/>
        <v>0</v>
      </c>
    </row>
    <row r="464" spans="1:82" ht="13.5" x14ac:dyDescent="0.25">
      <c r="A464" s="32" t="str">
        <f t="shared" si="434"/>
        <v>--20</v>
      </c>
      <c r="B464" s="22">
        <f t="shared" ref="B464:C464" si="469">B463+1</f>
        <v>460</v>
      </c>
      <c r="C464" s="22">
        <f t="shared" si="469"/>
        <v>460</v>
      </c>
      <c r="D464" s="34"/>
      <c r="E464" s="35"/>
      <c r="F464" s="35"/>
      <c r="G464" s="52"/>
      <c r="H464" s="36" t="str">
        <f t="shared" si="459"/>
        <v>RJ--460</v>
      </c>
      <c r="I464" s="36" t="str">
        <f t="shared" si="436"/>
        <v>--20</v>
      </c>
      <c r="J464" s="37" t="e">
        <f>VLOOKUP(D464,Laporan!$C$4:$D$34,2,0)</f>
        <v>#N/A</v>
      </c>
      <c r="K464" s="48"/>
      <c r="L464" s="13"/>
      <c r="M464" s="19">
        <f>SUMIF('DATABASE Room'!$B$3:$B$7,L464,'DATABASE Room'!$D$3:$D$7)</f>
        <v>0</v>
      </c>
      <c r="N464" s="13"/>
      <c r="O464" s="21">
        <f t="shared" si="437"/>
        <v>0</v>
      </c>
      <c r="P464" s="38"/>
      <c r="Q464" s="19">
        <f t="shared" si="438"/>
        <v>0</v>
      </c>
      <c r="R464" s="21">
        <f t="shared" si="439"/>
        <v>0</v>
      </c>
      <c r="S464" s="19">
        <f t="shared" si="440"/>
        <v>2</v>
      </c>
      <c r="T464" s="19">
        <f t="shared" si="441"/>
        <v>0</v>
      </c>
      <c r="U464" s="21">
        <f t="shared" si="442"/>
        <v>0</v>
      </c>
      <c r="V464" s="39"/>
      <c r="W464" s="16"/>
      <c r="X464" s="17">
        <f>VLOOKUP(W464,'DATABASE F&amp;B'!$C$3:$F$216,2,0)</f>
        <v>0</v>
      </c>
      <c r="Y464" s="18"/>
      <c r="Z464" s="19">
        <f>VLOOKUP(W464,'DATABASE F&amp;B'!$C$3:$F$216,4,0)</f>
        <v>0</v>
      </c>
      <c r="AA464" s="19">
        <f t="shared" si="443"/>
        <v>0</v>
      </c>
      <c r="AB464" s="16"/>
      <c r="AC464" s="17">
        <f>VLOOKUP(AB464,'DATABASE F&amp;B'!$C$3:$F$216,2,0)</f>
        <v>0</v>
      </c>
      <c r="AD464" s="18"/>
      <c r="AE464" s="19">
        <f>VLOOKUP(AB464,'DATABASE F&amp;B'!$C$3:$F$216,4,0)</f>
        <v>0</v>
      </c>
      <c r="AF464" s="19">
        <f t="shared" si="444"/>
        <v>0</v>
      </c>
      <c r="AG464" s="16"/>
      <c r="AH464" s="17">
        <f>VLOOKUP(AG464,'DATABASE F&amp;B'!$C$3:$F$216,2,0)</f>
        <v>0</v>
      </c>
      <c r="AI464" s="18"/>
      <c r="AJ464" s="19">
        <f>VLOOKUP(AG464,'DATABASE F&amp;B'!$C$3:$F$216,4,0)</f>
        <v>0</v>
      </c>
      <c r="AK464" s="19">
        <f t="shared" si="445"/>
        <v>0</v>
      </c>
      <c r="AL464" s="16"/>
      <c r="AM464" s="17">
        <f>VLOOKUP(AL464,'DATABASE F&amp;B'!$C$3:$F$216,2,0)</f>
        <v>0</v>
      </c>
      <c r="AN464" s="18">
        <v>1</v>
      </c>
      <c r="AO464" s="19">
        <f>VLOOKUP(AL464,'DATABASE F&amp;B'!$C$3:$F$216,4,0)</f>
        <v>0</v>
      </c>
      <c r="AP464" s="19">
        <f t="shared" si="446"/>
        <v>0</v>
      </c>
      <c r="AQ464" s="16"/>
      <c r="AR464" s="17">
        <f>VLOOKUP(AQ464,'DATABASE F&amp;B'!$C$3:$F$216,2,0)</f>
        <v>0</v>
      </c>
      <c r="AS464" s="18">
        <v>1</v>
      </c>
      <c r="AT464" s="19">
        <f>VLOOKUP(AQ464,'DATABASE F&amp;B'!$C$3:$F$216,4,0)</f>
        <v>0</v>
      </c>
      <c r="AU464" s="19">
        <f t="shared" si="447"/>
        <v>0</v>
      </c>
      <c r="AV464" s="16"/>
      <c r="AW464" s="17">
        <f>VLOOKUP(AV464,'DATABASE F&amp;B'!$C$3:$F$216,2,0)</f>
        <v>0</v>
      </c>
      <c r="AX464" s="18"/>
      <c r="AY464" s="19">
        <f>VLOOKUP(AV464,'DATABASE F&amp;B'!$C$3:$F$216,4,0)</f>
        <v>0</v>
      </c>
      <c r="AZ464" s="19">
        <f t="shared" si="448"/>
        <v>0</v>
      </c>
      <c r="BA464" s="16"/>
      <c r="BB464" s="17">
        <f>VLOOKUP(BA464,'DATABASE F&amp;B'!$C$3:$F$216,2,0)</f>
        <v>0</v>
      </c>
      <c r="BC464" s="18"/>
      <c r="BD464" s="19">
        <f>VLOOKUP(BA464,'DATABASE F&amp;B'!$C$3:$F$216,4,0)</f>
        <v>0</v>
      </c>
      <c r="BE464" s="19">
        <f t="shared" si="449"/>
        <v>0</v>
      </c>
      <c r="BF464" s="16"/>
      <c r="BG464" s="17">
        <f>VLOOKUP(BF464,'DATABASE F&amp;B'!$C$3:$F$216,2,0)</f>
        <v>0</v>
      </c>
      <c r="BH464" s="18"/>
      <c r="BI464" s="19">
        <f>VLOOKUP(BF464,'DATABASE F&amp;B'!$C$3:$F$216,4,0)</f>
        <v>0</v>
      </c>
      <c r="BJ464" s="19">
        <f t="shared" si="450"/>
        <v>0</v>
      </c>
      <c r="BK464" s="16"/>
      <c r="BL464" s="17">
        <f>VLOOKUP(BK464,'DATABASE F&amp;B'!$C$3:$F$210,2,0)</f>
        <v>0</v>
      </c>
      <c r="BM464" s="18"/>
      <c r="BN464" s="19">
        <f>VLOOKUP(BK464,'DATABASE F&amp;B'!$C$3:$F$210,4,0)</f>
        <v>0</v>
      </c>
      <c r="BO464" s="19">
        <f t="shared" si="451"/>
        <v>0</v>
      </c>
      <c r="BP464" s="16"/>
      <c r="BQ464" s="17">
        <f>VLOOKUP(BP464,'DATABASE F&amp;B'!$C$3:$F$210,2,0)</f>
        <v>0</v>
      </c>
      <c r="BR464" s="18"/>
      <c r="BS464" s="19">
        <f>VLOOKUP(BP464,'DATABASE F&amp;B'!$C$3:$F$210,4,0)</f>
        <v>0</v>
      </c>
      <c r="BT464" s="19">
        <f t="shared" si="452"/>
        <v>0</v>
      </c>
      <c r="BU464" s="16"/>
      <c r="BV464" s="17">
        <f>VLOOKUP(BU464,'DATABASE F&amp;B'!$C$3:$F$210,2,0)</f>
        <v>0</v>
      </c>
      <c r="BW464" s="18"/>
      <c r="BX464" s="19">
        <f>VLOOKUP(BU464,'DATABASE F&amp;B'!$C$3:$F$210,4,0)</f>
        <v>0</v>
      </c>
      <c r="BY464" s="19">
        <f t="shared" si="453"/>
        <v>0</v>
      </c>
      <c r="BZ464" s="16"/>
      <c r="CA464" s="17">
        <f>VLOOKUP(BZ464,'DATABASE F&amp;B'!$C$3:$F$210,2,0)</f>
        <v>0</v>
      </c>
      <c r="CB464" s="18"/>
      <c r="CC464" s="19">
        <f>VLOOKUP(BZ464,'DATABASE F&amp;B'!$C$3:$F$210,4,0)</f>
        <v>0</v>
      </c>
      <c r="CD464" s="19">
        <f t="shared" si="454"/>
        <v>0</v>
      </c>
    </row>
    <row r="465" spans="1:82" ht="13.5" x14ac:dyDescent="0.25">
      <c r="A465" s="32" t="str">
        <f t="shared" si="434"/>
        <v>--20</v>
      </c>
      <c r="B465" s="22">
        <f t="shared" ref="B465:C465" si="470">B464+1</f>
        <v>461</v>
      </c>
      <c r="C465" s="22">
        <f t="shared" si="470"/>
        <v>461</v>
      </c>
      <c r="D465" s="34"/>
      <c r="E465" s="35"/>
      <c r="F465" s="35"/>
      <c r="G465" s="52"/>
      <c r="H465" s="36" t="str">
        <f t="shared" si="459"/>
        <v>RJ--461</v>
      </c>
      <c r="I465" s="36" t="str">
        <f t="shared" si="436"/>
        <v>--20</v>
      </c>
      <c r="J465" s="37" t="e">
        <f>VLOOKUP(D465,Laporan!$C$4:$D$34,2,0)</f>
        <v>#N/A</v>
      </c>
      <c r="K465" s="48"/>
      <c r="L465" s="13"/>
      <c r="M465" s="19">
        <f>SUMIF('DATABASE Room'!$B$3:$B$7,L465,'DATABASE Room'!$D$3:$D$7)</f>
        <v>0</v>
      </c>
      <c r="N465" s="13"/>
      <c r="O465" s="21">
        <f t="shared" si="437"/>
        <v>0</v>
      </c>
      <c r="P465" s="38"/>
      <c r="Q465" s="19">
        <f t="shared" si="438"/>
        <v>0</v>
      </c>
      <c r="R465" s="21">
        <f t="shared" si="439"/>
        <v>0</v>
      </c>
      <c r="S465" s="19">
        <f t="shared" si="440"/>
        <v>2</v>
      </c>
      <c r="T465" s="19">
        <f t="shared" si="441"/>
        <v>0</v>
      </c>
      <c r="U465" s="21">
        <f t="shared" si="442"/>
        <v>0</v>
      </c>
      <c r="V465" s="39"/>
      <c r="W465" s="16"/>
      <c r="X465" s="17">
        <f>VLOOKUP(W465,'DATABASE F&amp;B'!$C$3:$F$216,2,0)</f>
        <v>0</v>
      </c>
      <c r="Y465" s="18"/>
      <c r="Z465" s="19">
        <f>VLOOKUP(W465,'DATABASE F&amp;B'!$C$3:$F$216,4,0)</f>
        <v>0</v>
      </c>
      <c r="AA465" s="19">
        <f t="shared" si="443"/>
        <v>0</v>
      </c>
      <c r="AB465" s="16"/>
      <c r="AC465" s="17">
        <f>VLOOKUP(AB465,'DATABASE F&amp;B'!$C$3:$F$216,2,0)</f>
        <v>0</v>
      </c>
      <c r="AD465" s="18"/>
      <c r="AE465" s="19">
        <f>VLOOKUP(AB465,'DATABASE F&amp;B'!$C$3:$F$216,4,0)</f>
        <v>0</v>
      </c>
      <c r="AF465" s="19">
        <f t="shared" si="444"/>
        <v>0</v>
      </c>
      <c r="AG465" s="16"/>
      <c r="AH465" s="17">
        <f>VLOOKUP(AG465,'DATABASE F&amp;B'!$C$3:$F$216,2,0)</f>
        <v>0</v>
      </c>
      <c r="AI465" s="18"/>
      <c r="AJ465" s="19">
        <f>VLOOKUP(AG465,'DATABASE F&amp;B'!$C$3:$F$216,4,0)</f>
        <v>0</v>
      </c>
      <c r="AK465" s="19">
        <f t="shared" si="445"/>
        <v>0</v>
      </c>
      <c r="AL465" s="16"/>
      <c r="AM465" s="17">
        <f>VLOOKUP(AL465,'DATABASE F&amp;B'!$C$3:$F$216,2,0)</f>
        <v>0</v>
      </c>
      <c r="AN465" s="18">
        <v>1</v>
      </c>
      <c r="AO465" s="19">
        <f>VLOOKUP(AL465,'DATABASE F&amp;B'!$C$3:$F$216,4,0)</f>
        <v>0</v>
      </c>
      <c r="AP465" s="19">
        <f t="shared" si="446"/>
        <v>0</v>
      </c>
      <c r="AQ465" s="16"/>
      <c r="AR465" s="17">
        <f>VLOOKUP(AQ465,'DATABASE F&amp;B'!$C$3:$F$216,2,0)</f>
        <v>0</v>
      </c>
      <c r="AS465" s="18">
        <v>1</v>
      </c>
      <c r="AT465" s="19">
        <f>VLOOKUP(AQ465,'DATABASE F&amp;B'!$C$3:$F$216,4,0)</f>
        <v>0</v>
      </c>
      <c r="AU465" s="19">
        <f t="shared" si="447"/>
        <v>0</v>
      </c>
      <c r="AV465" s="16"/>
      <c r="AW465" s="17">
        <f>VLOOKUP(AV465,'DATABASE F&amp;B'!$C$3:$F$216,2,0)</f>
        <v>0</v>
      </c>
      <c r="AX465" s="18"/>
      <c r="AY465" s="19">
        <f>VLOOKUP(AV465,'DATABASE F&amp;B'!$C$3:$F$216,4,0)</f>
        <v>0</v>
      </c>
      <c r="AZ465" s="19">
        <f t="shared" si="448"/>
        <v>0</v>
      </c>
      <c r="BA465" s="16"/>
      <c r="BB465" s="17">
        <f>VLOOKUP(BA465,'DATABASE F&amp;B'!$C$3:$F$216,2,0)</f>
        <v>0</v>
      </c>
      <c r="BC465" s="18"/>
      <c r="BD465" s="19">
        <f>VLOOKUP(BA465,'DATABASE F&amp;B'!$C$3:$F$216,4,0)</f>
        <v>0</v>
      </c>
      <c r="BE465" s="19">
        <f t="shared" si="449"/>
        <v>0</v>
      </c>
      <c r="BF465" s="16"/>
      <c r="BG465" s="17">
        <f>VLOOKUP(BF465,'DATABASE F&amp;B'!$C$3:$F$216,2,0)</f>
        <v>0</v>
      </c>
      <c r="BH465" s="18"/>
      <c r="BI465" s="19">
        <f>VLOOKUP(BF465,'DATABASE F&amp;B'!$C$3:$F$216,4,0)</f>
        <v>0</v>
      </c>
      <c r="BJ465" s="19">
        <f t="shared" si="450"/>
        <v>0</v>
      </c>
      <c r="BK465" s="16"/>
      <c r="BL465" s="17">
        <f>VLOOKUP(BK465,'DATABASE F&amp;B'!$C$3:$F$210,2,0)</f>
        <v>0</v>
      </c>
      <c r="BM465" s="18"/>
      <c r="BN465" s="19">
        <f>VLOOKUP(BK465,'DATABASE F&amp;B'!$C$3:$F$210,4,0)</f>
        <v>0</v>
      </c>
      <c r="BO465" s="19">
        <f t="shared" si="451"/>
        <v>0</v>
      </c>
      <c r="BP465" s="16"/>
      <c r="BQ465" s="17">
        <f>VLOOKUP(BP465,'DATABASE F&amp;B'!$C$3:$F$210,2,0)</f>
        <v>0</v>
      </c>
      <c r="BR465" s="18"/>
      <c r="BS465" s="19">
        <f>VLOOKUP(BP465,'DATABASE F&amp;B'!$C$3:$F$210,4,0)</f>
        <v>0</v>
      </c>
      <c r="BT465" s="19">
        <f t="shared" si="452"/>
        <v>0</v>
      </c>
      <c r="BU465" s="16"/>
      <c r="BV465" s="17">
        <f>VLOOKUP(BU465,'DATABASE F&amp;B'!$C$3:$F$210,2,0)</f>
        <v>0</v>
      </c>
      <c r="BW465" s="18"/>
      <c r="BX465" s="19">
        <f>VLOOKUP(BU465,'DATABASE F&amp;B'!$C$3:$F$210,4,0)</f>
        <v>0</v>
      </c>
      <c r="BY465" s="19">
        <f t="shared" si="453"/>
        <v>0</v>
      </c>
      <c r="BZ465" s="16"/>
      <c r="CA465" s="17">
        <f>VLOOKUP(BZ465,'DATABASE F&amp;B'!$C$3:$F$210,2,0)</f>
        <v>0</v>
      </c>
      <c r="CB465" s="18"/>
      <c r="CC465" s="19">
        <f>VLOOKUP(BZ465,'DATABASE F&amp;B'!$C$3:$F$210,4,0)</f>
        <v>0</v>
      </c>
      <c r="CD465" s="19">
        <f t="shared" si="454"/>
        <v>0</v>
      </c>
    </row>
    <row r="466" spans="1:82" ht="13.5" x14ac:dyDescent="0.25">
      <c r="A466" s="32" t="str">
        <f t="shared" si="434"/>
        <v>--20</v>
      </c>
      <c r="B466" s="22">
        <f t="shared" ref="B466:C466" si="471">B465+1</f>
        <v>462</v>
      </c>
      <c r="C466" s="22">
        <f t="shared" si="471"/>
        <v>462</v>
      </c>
      <c r="D466" s="34"/>
      <c r="E466" s="35"/>
      <c r="F466" s="35"/>
      <c r="G466" s="52"/>
      <c r="H466" s="36" t="str">
        <f t="shared" si="459"/>
        <v>RJ--462</v>
      </c>
      <c r="I466" s="36" t="str">
        <f t="shared" si="436"/>
        <v>--20</v>
      </c>
      <c r="J466" s="37" t="e">
        <f>VLOOKUP(D466,Laporan!$C$4:$D$34,2,0)</f>
        <v>#N/A</v>
      </c>
      <c r="K466" s="48"/>
      <c r="L466" s="13"/>
      <c r="M466" s="19">
        <f>SUMIF('DATABASE Room'!$B$3:$B$7,L466,'DATABASE Room'!$D$3:$D$7)</f>
        <v>0</v>
      </c>
      <c r="N466" s="13"/>
      <c r="O466" s="21">
        <f t="shared" si="437"/>
        <v>0</v>
      </c>
      <c r="P466" s="38"/>
      <c r="Q466" s="19">
        <f t="shared" si="438"/>
        <v>0</v>
      </c>
      <c r="R466" s="21">
        <f t="shared" si="439"/>
        <v>0</v>
      </c>
      <c r="S466" s="19">
        <f t="shared" si="440"/>
        <v>2</v>
      </c>
      <c r="T466" s="19">
        <f t="shared" si="441"/>
        <v>0</v>
      </c>
      <c r="U466" s="21">
        <f t="shared" si="442"/>
        <v>0</v>
      </c>
      <c r="V466" s="39"/>
      <c r="W466" s="16"/>
      <c r="X466" s="17">
        <f>VLOOKUP(W466,'DATABASE F&amp;B'!$C$3:$F$216,2,0)</f>
        <v>0</v>
      </c>
      <c r="Y466" s="18"/>
      <c r="Z466" s="19">
        <f>VLOOKUP(W466,'DATABASE F&amp;B'!$C$3:$F$216,4,0)</f>
        <v>0</v>
      </c>
      <c r="AA466" s="19">
        <f t="shared" si="443"/>
        <v>0</v>
      </c>
      <c r="AB466" s="16"/>
      <c r="AC466" s="17">
        <f>VLOOKUP(AB466,'DATABASE F&amp;B'!$C$3:$F$216,2,0)</f>
        <v>0</v>
      </c>
      <c r="AD466" s="18"/>
      <c r="AE466" s="19">
        <f>VLOOKUP(AB466,'DATABASE F&amp;B'!$C$3:$F$216,4,0)</f>
        <v>0</v>
      </c>
      <c r="AF466" s="19">
        <f t="shared" si="444"/>
        <v>0</v>
      </c>
      <c r="AG466" s="16"/>
      <c r="AH466" s="17">
        <f>VLOOKUP(AG466,'DATABASE F&amp;B'!$C$3:$F$216,2,0)</f>
        <v>0</v>
      </c>
      <c r="AI466" s="18"/>
      <c r="AJ466" s="19">
        <f>VLOOKUP(AG466,'DATABASE F&amp;B'!$C$3:$F$216,4,0)</f>
        <v>0</v>
      </c>
      <c r="AK466" s="19">
        <f t="shared" si="445"/>
        <v>0</v>
      </c>
      <c r="AL466" s="16"/>
      <c r="AM466" s="17">
        <f>VLOOKUP(AL466,'DATABASE F&amp;B'!$C$3:$F$216,2,0)</f>
        <v>0</v>
      </c>
      <c r="AN466" s="18">
        <v>1</v>
      </c>
      <c r="AO466" s="19">
        <f>VLOOKUP(AL466,'DATABASE F&amp;B'!$C$3:$F$216,4,0)</f>
        <v>0</v>
      </c>
      <c r="AP466" s="19">
        <f t="shared" si="446"/>
        <v>0</v>
      </c>
      <c r="AQ466" s="16"/>
      <c r="AR466" s="17">
        <f>VLOOKUP(AQ466,'DATABASE F&amp;B'!$C$3:$F$216,2,0)</f>
        <v>0</v>
      </c>
      <c r="AS466" s="18">
        <v>1</v>
      </c>
      <c r="AT466" s="19">
        <f>VLOOKUP(AQ466,'DATABASE F&amp;B'!$C$3:$F$216,4,0)</f>
        <v>0</v>
      </c>
      <c r="AU466" s="19">
        <f t="shared" si="447"/>
        <v>0</v>
      </c>
      <c r="AV466" s="16"/>
      <c r="AW466" s="17">
        <f>VLOOKUP(AV466,'DATABASE F&amp;B'!$C$3:$F$216,2,0)</f>
        <v>0</v>
      </c>
      <c r="AX466" s="18"/>
      <c r="AY466" s="19">
        <f>VLOOKUP(AV466,'DATABASE F&amp;B'!$C$3:$F$216,4,0)</f>
        <v>0</v>
      </c>
      <c r="AZ466" s="19">
        <f t="shared" si="448"/>
        <v>0</v>
      </c>
      <c r="BA466" s="16"/>
      <c r="BB466" s="17">
        <f>VLOOKUP(BA466,'DATABASE F&amp;B'!$C$3:$F$216,2,0)</f>
        <v>0</v>
      </c>
      <c r="BC466" s="18"/>
      <c r="BD466" s="19">
        <f>VLOOKUP(BA466,'DATABASE F&amp;B'!$C$3:$F$216,4,0)</f>
        <v>0</v>
      </c>
      <c r="BE466" s="19">
        <f t="shared" si="449"/>
        <v>0</v>
      </c>
      <c r="BF466" s="16"/>
      <c r="BG466" s="17">
        <f>VLOOKUP(BF466,'DATABASE F&amp;B'!$C$3:$F$216,2,0)</f>
        <v>0</v>
      </c>
      <c r="BH466" s="18"/>
      <c r="BI466" s="19">
        <f>VLOOKUP(BF466,'DATABASE F&amp;B'!$C$3:$F$216,4,0)</f>
        <v>0</v>
      </c>
      <c r="BJ466" s="19">
        <f t="shared" si="450"/>
        <v>0</v>
      </c>
      <c r="BK466" s="16"/>
      <c r="BL466" s="17">
        <f>VLOOKUP(BK466,'DATABASE F&amp;B'!$C$3:$F$210,2,0)</f>
        <v>0</v>
      </c>
      <c r="BM466" s="18"/>
      <c r="BN466" s="19">
        <f>VLOOKUP(BK466,'DATABASE F&amp;B'!$C$3:$F$210,4,0)</f>
        <v>0</v>
      </c>
      <c r="BO466" s="19">
        <f t="shared" si="451"/>
        <v>0</v>
      </c>
      <c r="BP466" s="16"/>
      <c r="BQ466" s="17">
        <f>VLOOKUP(BP466,'DATABASE F&amp;B'!$C$3:$F$210,2,0)</f>
        <v>0</v>
      </c>
      <c r="BR466" s="18"/>
      <c r="BS466" s="19">
        <f>VLOOKUP(BP466,'DATABASE F&amp;B'!$C$3:$F$210,4,0)</f>
        <v>0</v>
      </c>
      <c r="BT466" s="19">
        <f t="shared" si="452"/>
        <v>0</v>
      </c>
      <c r="BU466" s="16"/>
      <c r="BV466" s="17">
        <f>VLOOKUP(BU466,'DATABASE F&amp;B'!$C$3:$F$210,2,0)</f>
        <v>0</v>
      </c>
      <c r="BW466" s="18"/>
      <c r="BX466" s="19">
        <f>VLOOKUP(BU466,'DATABASE F&amp;B'!$C$3:$F$210,4,0)</f>
        <v>0</v>
      </c>
      <c r="BY466" s="19">
        <f t="shared" si="453"/>
        <v>0</v>
      </c>
      <c r="BZ466" s="16"/>
      <c r="CA466" s="17">
        <f>VLOOKUP(BZ466,'DATABASE F&amp;B'!$C$3:$F$210,2,0)</f>
        <v>0</v>
      </c>
      <c r="CB466" s="18"/>
      <c r="CC466" s="19">
        <f>VLOOKUP(BZ466,'DATABASE F&amp;B'!$C$3:$F$210,4,0)</f>
        <v>0</v>
      </c>
      <c r="CD466" s="19">
        <f t="shared" si="454"/>
        <v>0</v>
      </c>
    </row>
    <row r="467" spans="1:82" ht="13.5" x14ac:dyDescent="0.25">
      <c r="A467" s="32" t="str">
        <f t="shared" si="434"/>
        <v>--20</v>
      </c>
      <c r="B467" s="22">
        <f t="shared" ref="B467:C467" si="472">B466+1</f>
        <v>463</v>
      </c>
      <c r="C467" s="22">
        <f t="shared" si="472"/>
        <v>463</v>
      </c>
      <c r="D467" s="34"/>
      <c r="E467" s="35"/>
      <c r="F467" s="35"/>
      <c r="G467" s="52"/>
      <c r="H467" s="36" t="str">
        <f t="shared" si="459"/>
        <v>RJ--463</v>
      </c>
      <c r="I467" s="36" t="str">
        <f t="shared" si="436"/>
        <v>--20</v>
      </c>
      <c r="J467" s="37" t="e">
        <f>VLOOKUP(D467,Laporan!$C$4:$D$34,2,0)</f>
        <v>#N/A</v>
      </c>
      <c r="K467" s="48"/>
      <c r="L467" s="13"/>
      <c r="M467" s="19">
        <f>SUMIF('DATABASE Room'!$B$3:$B$7,L467,'DATABASE Room'!$D$3:$D$7)</f>
        <v>0</v>
      </c>
      <c r="N467" s="13"/>
      <c r="O467" s="21">
        <f t="shared" si="437"/>
        <v>0</v>
      </c>
      <c r="P467" s="38"/>
      <c r="Q467" s="19">
        <f t="shared" si="438"/>
        <v>0</v>
      </c>
      <c r="R467" s="21">
        <f t="shared" si="439"/>
        <v>0</v>
      </c>
      <c r="S467" s="19">
        <f t="shared" si="440"/>
        <v>0</v>
      </c>
      <c r="T467" s="19">
        <f t="shared" si="441"/>
        <v>0</v>
      </c>
      <c r="U467" s="21">
        <f t="shared" si="442"/>
        <v>0</v>
      </c>
      <c r="V467" s="39"/>
      <c r="W467" s="16"/>
      <c r="X467" s="17">
        <f>VLOOKUP(W467,'DATABASE F&amp;B'!$C$3:$F$216,2,0)</f>
        <v>0</v>
      </c>
      <c r="Y467" s="18"/>
      <c r="Z467" s="19">
        <f>VLOOKUP(W467,'DATABASE F&amp;B'!$C$3:$F$216,4,0)</f>
        <v>0</v>
      </c>
      <c r="AA467" s="19">
        <f t="shared" si="443"/>
        <v>0</v>
      </c>
      <c r="AB467" s="16"/>
      <c r="AC467" s="17">
        <f>VLOOKUP(AB467,'DATABASE F&amp;B'!$C$3:$F$216,2,0)</f>
        <v>0</v>
      </c>
      <c r="AD467" s="18"/>
      <c r="AE467" s="19">
        <f>VLOOKUP(AB467,'DATABASE F&amp;B'!$C$3:$F$216,4,0)</f>
        <v>0</v>
      </c>
      <c r="AF467" s="19">
        <f t="shared" si="444"/>
        <v>0</v>
      </c>
      <c r="AG467" s="16"/>
      <c r="AH467" s="17">
        <f>VLOOKUP(AG467,'DATABASE F&amp;B'!$C$3:$F$216,2,0)</f>
        <v>0</v>
      </c>
      <c r="AI467" s="18"/>
      <c r="AJ467" s="19">
        <f>VLOOKUP(AG467,'DATABASE F&amp;B'!$C$3:$F$216,4,0)</f>
        <v>0</v>
      </c>
      <c r="AK467" s="19">
        <f t="shared" si="445"/>
        <v>0</v>
      </c>
      <c r="AL467" s="16"/>
      <c r="AM467" s="17">
        <f>VLOOKUP(AL467,'DATABASE F&amp;B'!$C$3:$F$216,2,0)</f>
        <v>0</v>
      </c>
      <c r="AN467" s="18"/>
      <c r="AO467" s="19">
        <f>VLOOKUP(AL467,'DATABASE F&amp;B'!$C$3:$F$216,4,0)</f>
        <v>0</v>
      </c>
      <c r="AP467" s="19">
        <f t="shared" si="446"/>
        <v>0</v>
      </c>
      <c r="AQ467" s="16"/>
      <c r="AR467" s="17">
        <f>VLOOKUP(AQ467,'DATABASE F&amp;B'!$C$3:$F$216,2,0)</f>
        <v>0</v>
      </c>
      <c r="AS467" s="13"/>
      <c r="AT467" s="19">
        <f>VLOOKUP(AQ467,'DATABASE F&amp;B'!$C$3:$F$216,4,0)</f>
        <v>0</v>
      </c>
      <c r="AU467" s="19">
        <f t="shared" si="447"/>
        <v>0</v>
      </c>
      <c r="AV467" s="16"/>
      <c r="AW467" s="17">
        <f>VLOOKUP(AV467,'DATABASE F&amp;B'!$C$3:$F$216,2,0)</f>
        <v>0</v>
      </c>
      <c r="AX467" s="18"/>
      <c r="AY467" s="19">
        <f>VLOOKUP(AV467,'DATABASE F&amp;B'!$C$3:$F$216,4,0)</f>
        <v>0</v>
      </c>
      <c r="AZ467" s="19">
        <f t="shared" si="448"/>
        <v>0</v>
      </c>
      <c r="BA467" s="16"/>
      <c r="BB467" s="17">
        <f>VLOOKUP(BA467,'DATABASE F&amp;B'!$C$3:$F$216,2,0)</f>
        <v>0</v>
      </c>
      <c r="BC467" s="18"/>
      <c r="BD467" s="19">
        <f>VLOOKUP(BA467,'DATABASE F&amp;B'!$C$3:$F$216,4,0)</f>
        <v>0</v>
      </c>
      <c r="BE467" s="19">
        <f t="shared" si="449"/>
        <v>0</v>
      </c>
      <c r="BF467" s="16"/>
      <c r="BG467" s="17">
        <f>VLOOKUP(BF467,'DATABASE F&amp;B'!$C$3:$F$216,2,0)</f>
        <v>0</v>
      </c>
      <c r="BH467" s="18"/>
      <c r="BI467" s="19">
        <f>VLOOKUP(BF467,'DATABASE F&amp;B'!$C$3:$F$216,4,0)</f>
        <v>0</v>
      </c>
      <c r="BJ467" s="19">
        <f t="shared" si="450"/>
        <v>0</v>
      </c>
      <c r="BK467" s="16"/>
      <c r="BL467" s="17">
        <f>VLOOKUP(BK467,'DATABASE F&amp;B'!$C$3:$F$210,2,0)</f>
        <v>0</v>
      </c>
      <c r="BM467" s="18"/>
      <c r="BN467" s="19">
        <f>VLOOKUP(BK467,'DATABASE F&amp;B'!$C$3:$F$210,4,0)</f>
        <v>0</v>
      </c>
      <c r="BO467" s="19">
        <f t="shared" si="451"/>
        <v>0</v>
      </c>
      <c r="BP467" s="16"/>
      <c r="BQ467" s="17">
        <f>VLOOKUP(BP467,'DATABASE F&amp;B'!$C$3:$F$210,2,0)</f>
        <v>0</v>
      </c>
      <c r="BR467" s="18"/>
      <c r="BS467" s="19">
        <f>VLOOKUP(BP467,'DATABASE F&amp;B'!$C$3:$F$210,4,0)</f>
        <v>0</v>
      </c>
      <c r="BT467" s="19">
        <f t="shared" si="452"/>
        <v>0</v>
      </c>
      <c r="BU467" s="16"/>
      <c r="BV467" s="17">
        <f>VLOOKUP(BU467,'DATABASE F&amp;B'!$C$3:$F$210,2,0)</f>
        <v>0</v>
      </c>
      <c r="BW467" s="18"/>
      <c r="BX467" s="19">
        <f>VLOOKUP(BU467,'DATABASE F&amp;B'!$C$3:$F$210,4,0)</f>
        <v>0</v>
      </c>
      <c r="BY467" s="19">
        <f t="shared" si="453"/>
        <v>0</v>
      </c>
      <c r="BZ467" s="16"/>
      <c r="CA467" s="17">
        <f>VLOOKUP(BZ467,'DATABASE F&amp;B'!$C$3:$F$210,2,0)</f>
        <v>0</v>
      </c>
      <c r="CB467" s="18"/>
      <c r="CC467" s="19">
        <f>VLOOKUP(BZ467,'DATABASE F&amp;B'!$C$3:$F$210,4,0)</f>
        <v>0</v>
      </c>
      <c r="CD467" s="19">
        <f t="shared" si="454"/>
        <v>0</v>
      </c>
    </row>
    <row r="468" spans="1:82" ht="13.5" x14ac:dyDescent="0.25">
      <c r="A468" s="32" t="str">
        <f t="shared" si="434"/>
        <v>--20</v>
      </c>
      <c r="B468" s="22">
        <f t="shared" ref="B468:C468" si="473">B467+1</f>
        <v>464</v>
      </c>
      <c r="C468" s="22">
        <f t="shared" si="473"/>
        <v>464</v>
      </c>
      <c r="D468" s="34"/>
      <c r="E468" s="35"/>
      <c r="F468" s="35"/>
      <c r="G468" s="52"/>
      <c r="H468" s="36" t="str">
        <f t="shared" si="459"/>
        <v>RJ--464</v>
      </c>
      <c r="I468" s="36" t="str">
        <f t="shared" si="436"/>
        <v>--20</v>
      </c>
      <c r="J468" s="37" t="e">
        <f>VLOOKUP(D468,Laporan!$C$4:$D$34,2,0)</f>
        <v>#N/A</v>
      </c>
      <c r="K468" s="48"/>
      <c r="L468" s="13"/>
      <c r="M468" s="19">
        <f>SUMIF('DATABASE Room'!$B$3:$B$7,L468,'DATABASE Room'!$D$3:$D$7)</f>
        <v>0</v>
      </c>
      <c r="N468" s="13"/>
      <c r="O468" s="21">
        <f t="shared" si="437"/>
        <v>0</v>
      </c>
      <c r="P468" s="38"/>
      <c r="Q468" s="19">
        <f t="shared" si="438"/>
        <v>0</v>
      </c>
      <c r="R468" s="21">
        <f t="shared" si="439"/>
        <v>0</v>
      </c>
      <c r="S468" s="19">
        <f t="shared" si="440"/>
        <v>0</v>
      </c>
      <c r="T468" s="19">
        <f t="shared" si="441"/>
        <v>0</v>
      </c>
      <c r="U468" s="21">
        <f t="shared" si="442"/>
        <v>0</v>
      </c>
      <c r="V468" s="39"/>
      <c r="W468" s="16"/>
      <c r="X468" s="17">
        <f>VLOOKUP(W468,'DATABASE F&amp;B'!$C$3:$F$216,2,0)</f>
        <v>0</v>
      </c>
      <c r="Y468" s="18"/>
      <c r="Z468" s="19">
        <f>VLOOKUP(W468,'DATABASE F&amp;B'!$C$3:$F$216,4,0)</f>
        <v>0</v>
      </c>
      <c r="AA468" s="19">
        <f t="shared" si="443"/>
        <v>0</v>
      </c>
      <c r="AB468" s="16"/>
      <c r="AC468" s="17">
        <f>VLOOKUP(AB468,'DATABASE F&amp;B'!$C$3:$F$216,2,0)</f>
        <v>0</v>
      </c>
      <c r="AD468" s="18"/>
      <c r="AE468" s="19">
        <f>VLOOKUP(AB468,'DATABASE F&amp;B'!$C$3:$F$216,4,0)</f>
        <v>0</v>
      </c>
      <c r="AF468" s="19">
        <f t="shared" si="444"/>
        <v>0</v>
      </c>
      <c r="AG468" s="16"/>
      <c r="AH468" s="17">
        <f>VLOOKUP(AG468,'DATABASE F&amp;B'!$C$3:$F$216,2,0)</f>
        <v>0</v>
      </c>
      <c r="AI468" s="18"/>
      <c r="AJ468" s="19">
        <f>VLOOKUP(AG468,'DATABASE F&amp;B'!$C$3:$F$216,4,0)</f>
        <v>0</v>
      </c>
      <c r="AK468" s="19">
        <f t="shared" si="445"/>
        <v>0</v>
      </c>
      <c r="AL468" s="16"/>
      <c r="AM468" s="17">
        <f>VLOOKUP(AL468,'DATABASE F&amp;B'!$C$3:$F$216,2,0)</f>
        <v>0</v>
      </c>
      <c r="AN468" s="18"/>
      <c r="AO468" s="19">
        <f>VLOOKUP(AL468,'DATABASE F&amp;B'!$C$3:$F$216,4,0)</f>
        <v>0</v>
      </c>
      <c r="AP468" s="19">
        <f t="shared" si="446"/>
        <v>0</v>
      </c>
      <c r="AQ468" s="16"/>
      <c r="AR468" s="17">
        <f>VLOOKUP(AQ468,'DATABASE F&amp;B'!$C$3:$F$216,2,0)</f>
        <v>0</v>
      </c>
      <c r="AS468" s="13"/>
      <c r="AT468" s="19">
        <f>VLOOKUP(AQ468,'DATABASE F&amp;B'!$C$3:$F$216,4,0)</f>
        <v>0</v>
      </c>
      <c r="AU468" s="19">
        <f t="shared" si="447"/>
        <v>0</v>
      </c>
      <c r="AV468" s="16"/>
      <c r="AW468" s="17">
        <f>VLOOKUP(AV468,'DATABASE F&amp;B'!$C$3:$F$216,2,0)</f>
        <v>0</v>
      </c>
      <c r="AX468" s="18"/>
      <c r="AY468" s="19">
        <f>VLOOKUP(AV468,'DATABASE F&amp;B'!$C$3:$F$216,4,0)</f>
        <v>0</v>
      </c>
      <c r="AZ468" s="19">
        <f t="shared" si="448"/>
        <v>0</v>
      </c>
      <c r="BA468" s="16"/>
      <c r="BB468" s="17">
        <f>VLOOKUP(BA468,'DATABASE F&amp;B'!$C$3:$F$216,2,0)</f>
        <v>0</v>
      </c>
      <c r="BC468" s="18"/>
      <c r="BD468" s="19">
        <f>VLOOKUP(BA468,'DATABASE F&amp;B'!$C$3:$F$216,4,0)</f>
        <v>0</v>
      </c>
      <c r="BE468" s="19">
        <f t="shared" si="449"/>
        <v>0</v>
      </c>
      <c r="BF468" s="16"/>
      <c r="BG468" s="17">
        <f>VLOOKUP(BF468,'DATABASE F&amp;B'!$C$3:$F$216,2,0)</f>
        <v>0</v>
      </c>
      <c r="BH468" s="18"/>
      <c r="BI468" s="19">
        <f>VLOOKUP(BF468,'DATABASE F&amp;B'!$C$3:$F$216,4,0)</f>
        <v>0</v>
      </c>
      <c r="BJ468" s="19">
        <f t="shared" si="450"/>
        <v>0</v>
      </c>
      <c r="BK468" s="16"/>
      <c r="BL468" s="17">
        <f>VLOOKUP(BK468,'DATABASE F&amp;B'!$C$3:$F$210,2,0)</f>
        <v>0</v>
      </c>
      <c r="BM468" s="18"/>
      <c r="BN468" s="19">
        <f>VLOOKUP(BK468,'DATABASE F&amp;B'!$C$3:$F$210,4,0)</f>
        <v>0</v>
      </c>
      <c r="BO468" s="19">
        <f t="shared" si="451"/>
        <v>0</v>
      </c>
      <c r="BP468" s="16"/>
      <c r="BQ468" s="17">
        <f>VLOOKUP(BP468,'DATABASE F&amp;B'!$C$3:$F$210,2,0)</f>
        <v>0</v>
      </c>
      <c r="BR468" s="18"/>
      <c r="BS468" s="19">
        <f>VLOOKUP(BP468,'DATABASE F&amp;B'!$C$3:$F$210,4,0)</f>
        <v>0</v>
      </c>
      <c r="BT468" s="19">
        <f t="shared" si="452"/>
        <v>0</v>
      </c>
      <c r="BU468" s="16"/>
      <c r="BV468" s="17">
        <f>VLOOKUP(BU468,'DATABASE F&amp;B'!$C$3:$F$210,2,0)</f>
        <v>0</v>
      </c>
      <c r="BW468" s="18"/>
      <c r="BX468" s="19">
        <f>VLOOKUP(BU468,'DATABASE F&amp;B'!$C$3:$F$210,4,0)</f>
        <v>0</v>
      </c>
      <c r="BY468" s="19">
        <f t="shared" si="453"/>
        <v>0</v>
      </c>
      <c r="BZ468" s="16"/>
      <c r="CA468" s="17">
        <f>VLOOKUP(BZ468,'DATABASE F&amp;B'!$C$3:$F$210,2,0)</f>
        <v>0</v>
      </c>
      <c r="CB468" s="18"/>
      <c r="CC468" s="19">
        <f>VLOOKUP(BZ468,'DATABASE F&amp;B'!$C$3:$F$210,4,0)</f>
        <v>0</v>
      </c>
      <c r="CD468" s="19">
        <f t="shared" si="454"/>
        <v>0</v>
      </c>
    </row>
    <row r="469" spans="1:82" ht="13.5" x14ac:dyDescent="0.25">
      <c r="A469" s="32" t="str">
        <f t="shared" si="434"/>
        <v>--20</v>
      </c>
      <c r="B469" s="22">
        <f t="shared" ref="B469:C469" si="474">B468+1</f>
        <v>465</v>
      </c>
      <c r="C469" s="22">
        <f t="shared" si="474"/>
        <v>465</v>
      </c>
      <c r="D469" s="34"/>
      <c r="E469" s="35"/>
      <c r="F469" s="35"/>
      <c r="G469" s="52"/>
      <c r="H469" s="36" t="str">
        <f t="shared" si="459"/>
        <v>RJ--465</v>
      </c>
      <c r="I469" s="36" t="str">
        <f t="shared" si="436"/>
        <v>--20</v>
      </c>
      <c r="J469" s="37" t="e">
        <f>VLOOKUP(D469,Laporan!$C$4:$D$34,2,0)</f>
        <v>#N/A</v>
      </c>
      <c r="K469" s="48"/>
      <c r="L469" s="13"/>
      <c r="M469" s="19">
        <f>SUMIF('DATABASE Room'!$B$3:$B$7,L469,'DATABASE Room'!$D$3:$D$7)</f>
        <v>0</v>
      </c>
      <c r="N469" s="13"/>
      <c r="O469" s="21">
        <f t="shared" si="437"/>
        <v>0</v>
      </c>
      <c r="P469" s="38"/>
      <c r="Q469" s="19">
        <f t="shared" si="438"/>
        <v>0</v>
      </c>
      <c r="R469" s="21">
        <f t="shared" si="439"/>
        <v>0</v>
      </c>
      <c r="S469" s="19">
        <f t="shared" si="440"/>
        <v>0</v>
      </c>
      <c r="T469" s="19">
        <f t="shared" si="441"/>
        <v>0</v>
      </c>
      <c r="U469" s="21">
        <f t="shared" si="442"/>
        <v>0</v>
      </c>
      <c r="V469" s="39"/>
      <c r="W469" s="16"/>
      <c r="X469" s="17">
        <f>VLOOKUP(W469,'DATABASE F&amp;B'!$C$3:$F$216,2,0)</f>
        <v>0</v>
      </c>
      <c r="Y469" s="18"/>
      <c r="Z469" s="19">
        <f>VLOOKUP(W469,'DATABASE F&amp;B'!$C$3:$F$216,4,0)</f>
        <v>0</v>
      </c>
      <c r="AA469" s="19">
        <f t="shared" si="443"/>
        <v>0</v>
      </c>
      <c r="AB469" s="16"/>
      <c r="AC469" s="17">
        <f>VLOOKUP(AB469,'DATABASE F&amp;B'!$C$3:$F$216,2,0)</f>
        <v>0</v>
      </c>
      <c r="AD469" s="18"/>
      <c r="AE469" s="19">
        <f>VLOOKUP(AB469,'DATABASE F&amp;B'!$C$3:$F$216,4,0)</f>
        <v>0</v>
      </c>
      <c r="AF469" s="19">
        <f t="shared" si="444"/>
        <v>0</v>
      </c>
      <c r="AG469" s="16"/>
      <c r="AH469" s="17">
        <f>VLOOKUP(AG469,'DATABASE F&amp;B'!$C$3:$F$216,2,0)</f>
        <v>0</v>
      </c>
      <c r="AI469" s="18"/>
      <c r="AJ469" s="19">
        <f>VLOOKUP(AG469,'DATABASE F&amp;B'!$C$3:$F$216,4,0)</f>
        <v>0</v>
      </c>
      <c r="AK469" s="19">
        <f t="shared" si="445"/>
        <v>0</v>
      </c>
      <c r="AL469" s="16"/>
      <c r="AM469" s="17">
        <f>VLOOKUP(AL469,'DATABASE F&amp;B'!$C$3:$F$216,2,0)</f>
        <v>0</v>
      </c>
      <c r="AN469" s="18"/>
      <c r="AO469" s="19">
        <f>VLOOKUP(AL469,'DATABASE F&amp;B'!$C$3:$F$216,4,0)</f>
        <v>0</v>
      </c>
      <c r="AP469" s="19">
        <f t="shared" si="446"/>
        <v>0</v>
      </c>
      <c r="AQ469" s="16"/>
      <c r="AR469" s="17">
        <f>VLOOKUP(AQ469,'DATABASE F&amp;B'!$C$3:$F$216,2,0)</f>
        <v>0</v>
      </c>
      <c r="AS469" s="13"/>
      <c r="AT469" s="19">
        <f>VLOOKUP(AQ469,'DATABASE F&amp;B'!$C$3:$F$216,4,0)</f>
        <v>0</v>
      </c>
      <c r="AU469" s="19">
        <f t="shared" si="447"/>
        <v>0</v>
      </c>
      <c r="AV469" s="16"/>
      <c r="AW469" s="17">
        <f>VLOOKUP(AV469,'DATABASE F&amp;B'!$C$3:$F$216,2,0)</f>
        <v>0</v>
      </c>
      <c r="AX469" s="18"/>
      <c r="AY469" s="19">
        <f>VLOOKUP(AV469,'DATABASE F&amp;B'!$C$3:$F$216,4,0)</f>
        <v>0</v>
      </c>
      <c r="AZ469" s="19">
        <f t="shared" si="448"/>
        <v>0</v>
      </c>
      <c r="BA469" s="16"/>
      <c r="BB469" s="17">
        <f>VLOOKUP(BA469,'DATABASE F&amp;B'!$C$3:$F$216,2,0)</f>
        <v>0</v>
      </c>
      <c r="BC469" s="18"/>
      <c r="BD469" s="19">
        <f>VLOOKUP(BA469,'DATABASE F&amp;B'!$C$3:$F$216,4,0)</f>
        <v>0</v>
      </c>
      <c r="BE469" s="19">
        <f t="shared" si="449"/>
        <v>0</v>
      </c>
      <c r="BF469" s="16"/>
      <c r="BG469" s="17">
        <f>VLOOKUP(BF469,'DATABASE F&amp;B'!$C$3:$F$216,2,0)</f>
        <v>0</v>
      </c>
      <c r="BH469" s="18"/>
      <c r="BI469" s="19">
        <f>VLOOKUP(BF469,'DATABASE F&amp;B'!$C$3:$F$216,4,0)</f>
        <v>0</v>
      </c>
      <c r="BJ469" s="19">
        <f t="shared" si="450"/>
        <v>0</v>
      </c>
      <c r="BK469" s="16"/>
      <c r="BL469" s="17">
        <f>VLOOKUP(BK469,'DATABASE F&amp;B'!$C$3:$F$210,2,0)</f>
        <v>0</v>
      </c>
      <c r="BM469" s="18"/>
      <c r="BN469" s="19">
        <f>VLOOKUP(BK469,'DATABASE F&amp;B'!$C$3:$F$210,4,0)</f>
        <v>0</v>
      </c>
      <c r="BO469" s="19">
        <f t="shared" si="451"/>
        <v>0</v>
      </c>
      <c r="BP469" s="16"/>
      <c r="BQ469" s="17">
        <f>VLOOKUP(BP469,'DATABASE F&amp;B'!$C$3:$F$210,2,0)</f>
        <v>0</v>
      </c>
      <c r="BR469" s="18"/>
      <c r="BS469" s="19">
        <f>VLOOKUP(BP469,'DATABASE F&amp;B'!$C$3:$F$210,4,0)</f>
        <v>0</v>
      </c>
      <c r="BT469" s="19">
        <f t="shared" si="452"/>
        <v>0</v>
      </c>
      <c r="BU469" s="16"/>
      <c r="BV469" s="17">
        <f>VLOOKUP(BU469,'DATABASE F&amp;B'!$C$3:$F$210,2,0)</f>
        <v>0</v>
      </c>
      <c r="BW469" s="18"/>
      <c r="BX469" s="19">
        <f>VLOOKUP(BU469,'DATABASE F&amp;B'!$C$3:$F$210,4,0)</f>
        <v>0</v>
      </c>
      <c r="BY469" s="19">
        <f t="shared" si="453"/>
        <v>0</v>
      </c>
      <c r="BZ469" s="16"/>
      <c r="CA469" s="17">
        <f>VLOOKUP(BZ469,'DATABASE F&amp;B'!$C$3:$F$210,2,0)</f>
        <v>0</v>
      </c>
      <c r="CB469" s="18"/>
      <c r="CC469" s="19">
        <f>VLOOKUP(BZ469,'DATABASE F&amp;B'!$C$3:$F$210,4,0)</f>
        <v>0</v>
      </c>
      <c r="CD469" s="19">
        <f t="shared" si="454"/>
        <v>0</v>
      </c>
    </row>
    <row r="470" spans="1:82" ht="13.5" x14ac:dyDescent="0.25">
      <c r="A470" s="32" t="str">
        <f t="shared" si="434"/>
        <v>--20</v>
      </c>
      <c r="B470" s="22">
        <f t="shared" ref="B470:C470" si="475">B469+1</f>
        <v>466</v>
      </c>
      <c r="C470" s="22">
        <f t="shared" si="475"/>
        <v>466</v>
      </c>
      <c r="D470" s="34"/>
      <c r="E470" s="35"/>
      <c r="F470" s="35"/>
      <c r="G470" s="52"/>
      <c r="H470" s="36" t="str">
        <f t="shared" si="459"/>
        <v>RJ--466</v>
      </c>
      <c r="I470" s="36" t="str">
        <f t="shared" si="436"/>
        <v>--20</v>
      </c>
      <c r="J470" s="37" t="e">
        <f>VLOOKUP(D470,Laporan!$C$4:$D$34,2,0)</f>
        <v>#N/A</v>
      </c>
      <c r="K470" s="48"/>
      <c r="L470" s="13"/>
      <c r="M470" s="19">
        <f>SUMIF('DATABASE Room'!$B$3:$B$7,L470,'DATABASE Room'!$D$3:$D$7)</f>
        <v>0</v>
      </c>
      <c r="N470" s="13"/>
      <c r="O470" s="21">
        <f t="shared" si="437"/>
        <v>0</v>
      </c>
      <c r="P470" s="38"/>
      <c r="Q470" s="19">
        <f t="shared" si="438"/>
        <v>0</v>
      </c>
      <c r="R470" s="21">
        <f t="shared" si="439"/>
        <v>0</v>
      </c>
      <c r="S470" s="19">
        <f t="shared" si="440"/>
        <v>0</v>
      </c>
      <c r="T470" s="19">
        <f t="shared" si="441"/>
        <v>0</v>
      </c>
      <c r="U470" s="21">
        <f t="shared" si="442"/>
        <v>0</v>
      </c>
      <c r="V470" s="39"/>
      <c r="W470" s="16"/>
      <c r="X470" s="17">
        <f>VLOOKUP(W470,'DATABASE F&amp;B'!$C$3:$F$216,2,0)</f>
        <v>0</v>
      </c>
      <c r="Y470" s="18"/>
      <c r="Z470" s="19">
        <f>VLOOKUP(W470,'DATABASE F&amp;B'!$C$3:$F$216,4,0)</f>
        <v>0</v>
      </c>
      <c r="AA470" s="19">
        <f t="shared" si="443"/>
        <v>0</v>
      </c>
      <c r="AB470" s="16"/>
      <c r="AC470" s="17">
        <f>VLOOKUP(AB470,'DATABASE F&amp;B'!$C$3:$F$216,2,0)</f>
        <v>0</v>
      </c>
      <c r="AD470" s="18"/>
      <c r="AE470" s="19">
        <f>VLOOKUP(AB470,'DATABASE F&amp;B'!$C$3:$F$216,4,0)</f>
        <v>0</v>
      </c>
      <c r="AF470" s="19">
        <f t="shared" si="444"/>
        <v>0</v>
      </c>
      <c r="AG470" s="16"/>
      <c r="AH470" s="17">
        <f>VLOOKUP(AG470,'DATABASE F&amp;B'!$C$3:$F$216,2,0)</f>
        <v>0</v>
      </c>
      <c r="AI470" s="18"/>
      <c r="AJ470" s="19">
        <f>VLOOKUP(AG470,'DATABASE F&amp;B'!$C$3:$F$216,4,0)</f>
        <v>0</v>
      </c>
      <c r="AK470" s="19">
        <f t="shared" si="445"/>
        <v>0</v>
      </c>
      <c r="AL470" s="16"/>
      <c r="AM470" s="17">
        <f>VLOOKUP(AL470,'DATABASE F&amp;B'!$C$3:$F$216,2,0)</f>
        <v>0</v>
      </c>
      <c r="AN470" s="18"/>
      <c r="AO470" s="19">
        <f>VLOOKUP(AL470,'DATABASE F&amp;B'!$C$3:$F$216,4,0)</f>
        <v>0</v>
      </c>
      <c r="AP470" s="19">
        <f t="shared" si="446"/>
        <v>0</v>
      </c>
      <c r="AQ470" s="16"/>
      <c r="AR470" s="17">
        <f>VLOOKUP(AQ470,'DATABASE F&amp;B'!$C$3:$F$216,2,0)</f>
        <v>0</v>
      </c>
      <c r="AS470" s="13"/>
      <c r="AT470" s="19">
        <f>VLOOKUP(AQ470,'DATABASE F&amp;B'!$C$3:$F$216,4,0)</f>
        <v>0</v>
      </c>
      <c r="AU470" s="19">
        <f t="shared" si="447"/>
        <v>0</v>
      </c>
      <c r="AV470" s="16"/>
      <c r="AW470" s="17">
        <f>VLOOKUP(AV470,'DATABASE F&amp;B'!$C$3:$F$216,2,0)</f>
        <v>0</v>
      </c>
      <c r="AX470" s="18"/>
      <c r="AY470" s="19">
        <f>VLOOKUP(AV470,'DATABASE F&amp;B'!$C$3:$F$216,4,0)</f>
        <v>0</v>
      </c>
      <c r="AZ470" s="19">
        <f t="shared" si="448"/>
        <v>0</v>
      </c>
      <c r="BA470" s="16"/>
      <c r="BB470" s="17">
        <f>VLOOKUP(BA470,'DATABASE F&amp;B'!$C$3:$F$216,2,0)</f>
        <v>0</v>
      </c>
      <c r="BC470" s="18"/>
      <c r="BD470" s="19">
        <f>VLOOKUP(BA470,'DATABASE F&amp;B'!$C$3:$F$216,4,0)</f>
        <v>0</v>
      </c>
      <c r="BE470" s="19">
        <f t="shared" si="449"/>
        <v>0</v>
      </c>
      <c r="BF470" s="16"/>
      <c r="BG470" s="17">
        <f>VLOOKUP(BF470,'DATABASE F&amp;B'!$C$3:$F$216,2,0)</f>
        <v>0</v>
      </c>
      <c r="BH470" s="18"/>
      <c r="BI470" s="19">
        <f>VLOOKUP(BF470,'DATABASE F&amp;B'!$C$3:$F$216,4,0)</f>
        <v>0</v>
      </c>
      <c r="BJ470" s="19">
        <f t="shared" si="450"/>
        <v>0</v>
      </c>
      <c r="BK470" s="16"/>
      <c r="BL470" s="17">
        <f>VLOOKUP(BK470,'DATABASE F&amp;B'!$C$3:$F$210,2,0)</f>
        <v>0</v>
      </c>
      <c r="BM470" s="18"/>
      <c r="BN470" s="19">
        <f>VLOOKUP(BK470,'DATABASE F&amp;B'!$C$3:$F$210,4,0)</f>
        <v>0</v>
      </c>
      <c r="BO470" s="19">
        <f t="shared" si="451"/>
        <v>0</v>
      </c>
      <c r="BP470" s="16"/>
      <c r="BQ470" s="17">
        <f>VLOOKUP(BP470,'DATABASE F&amp;B'!$C$3:$F$210,2,0)</f>
        <v>0</v>
      </c>
      <c r="BR470" s="18"/>
      <c r="BS470" s="19">
        <f>VLOOKUP(BP470,'DATABASE F&amp;B'!$C$3:$F$210,4,0)</f>
        <v>0</v>
      </c>
      <c r="BT470" s="19">
        <f t="shared" si="452"/>
        <v>0</v>
      </c>
      <c r="BU470" s="16"/>
      <c r="BV470" s="17">
        <f>VLOOKUP(BU470,'DATABASE F&amp;B'!$C$3:$F$210,2,0)</f>
        <v>0</v>
      </c>
      <c r="BW470" s="18"/>
      <c r="BX470" s="19">
        <f>VLOOKUP(BU470,'DATABASE F&amp;B'!$C$3:$F$210,4,0)</f>
        <v>0</v>
      </c>
      <c r="BY470" s="19">
        <f t="shared" si="453"/>
        <v>0</v>
      </c>
      <c r="BZ470" s="16"/>
      <c r="CA470" s="17">
        <f>VLOOKUP(BZ470,'DATABASE F&amp;B'!$C$3:$F$210,2,0)</f>
        <v>0</v>
      </c>
      <c r="CB470" s="18"/>
      <c r="CC470" s="19">
        <f>VLOOKUP(BZ470,'DATABASE F&amp;B'!$C$3:$F$210,4,0)</f>
        <v>0</v>
      </c>
      <c r="CD470" s="19">
        <f t="shared" si="454"/>
        <v>0</v>
      </c>
    </row>
    <row r="471" spans="1:82" ht="13.5" x14ac:dyDescent="0.25">
      <c r="A471" s="32" t="str">
        <f t="shared" si="434"/>
        <v>--20</v>
      </c>
      <c r="B471" s="22">
        <f t="shared" ref="B471:C471" si="476">B470+1</f>
        <v>467</v>
      </c>
      <c r="C471" s="22">
        <f t="shared" si="476"/>
        <v>467</v>
      </c>
      <c r="D471" s="34"/>
      <c r="E471" s="35"/>
      <c r="F471" s="35"/>
      <c r="G471" s="52"/>
      <c r="H471" s="36" t="str">
        <f t="shared" si="459"/>
        <v>RJ--467</v>
      </c>
      <c r="I471" s="36" t="str">
        <f t="shared" si="436"/>
        <v>--20</v>
      </c>
      <c r="J471" s="37" t="e">
        <f>VLOOKUP(D471,Laporan!$C$4:$D$34,2,0)</f>
        <v>#N/A</v>
      </c>
      <c r="K471" s="48"/>
      <c r="L471" s="13"/>
      <c r="M471" s="19">
        <f>SUMIF('DATABASE Room'!$B$3:$B$7,L471,'DATABASE Room'!$D$3:$D$7)</f>
        <v>0</v>
      </c>
      <c r="N471" s="13"/>
      <c r="O471" s="21">
        <f t="shared" si="437"/>
        <v>0</v>
      </c>
      <c r="P471" s="38"/>
      <c r="Q471" s="19">
        <f t="shared" si="438"/>
        <v>0</v>
      </c>
      <c r="R471" s="21">
        <f t="shared" si="439"/>
        <v>0</v>
      </c>
      <c r="S471" s="19">
        <f t="shared" si="440"/>
        <v>0</v>
      </c>
      <c r="T471" s="19">
        <f t="shared" si="441"/>
        <v>0</v>
      </c>
      <c r="U471" s="21">
        <f t="shared" si="442"/>
        <v>0</v>
      </c>
      <c r="V471" s="39"/>
      <c r="W471" s="16"/>
      <c r="X471" s="17">
        <f>VLOOKUP(W471,'DATABASE F&amp;B'!$C$3:$F$216,2,0)</f>
        <v>0</v>
      </c>
      <c r="Y471" s="18"/>
      <c r="Z471" s="19">
        <f>VLOOKUP(W471,'DATABASE F&amp;B'!$C$3:$F$216,4,0)</f>
        <v>0</v>
      </c>
      <c r="AA471" s="19">
        <f t="shared" si="443"/>
        <v>0</v>
      </c>
      <c r="AB471" s="16"/>
      <c r="AC471" s="17">
        <f>VLOOKUP(AB471,'DATABASE F&amp;B'!$C$3:$F$216,2,0)</f>
        <v>0</v>
      </c>
      <c r="AD471" s="18"/>
      <c r="AE471" s="19">
        <f>VLOOKUP(AB471,'DATABASE F&amp;B'!$C$3:$F$216,4,0)</f>
        <v>0</v>
      </c>
      <c r="AF471" s="19">
        <f t="shared" si="444"/>
        <v>0</v>
      </c>
      <c r="AG471" s="16"/>
      <c r="AH471" s="17">
        <f>VLOOKUP(AG471,'DATABASE F&amp;B'!$C$3:$F$216,2,0)</f>
        <v>0</v>
      </c>
      <c r="AI471" s="18"/>
      <c r="AJ471" s="19">
        <f>VLOOKUP(AG471,'DATABASE F&amp;B'!$C$3:$F$216,4,0)</f>
        <v>0</v>
      </c>
      <c r="AK471" s="19">
        <f t="shared" si="445"/>
        <v>0</v>
      </c>
      <c r="AL471" s="16"/>
      <c r="AM471" s="17">
        <f>VLOOKUP(AL471,'DATABASE F&amp;B'!$C$3:$F$216,2,0)</f>
        <v>0</v>
      </c>
      <c r="AN471" s="18"/>
      <c r="AO471" s="19">
        <f>VLOOKUP(AL471,'DATABASE F&amp;B'!$C$3:$F$216,4,0)</f>
        <v>0</v>
      </c>
      <c r="AP471" s="19">
        <f t="shared" si="446"/>
        <v>0</v>
      </c>
      <c r="AQ471" s="16"/>
      <c r="AR471" s="17">
        <f>VLOOKUP(AQ471,'DATABASE F&amp;B'!$C$3:$F$216,2,0)</f>
        <v>0</v>
      </c>
      <c r="AS471" s="13"/>
      <c r="AT471" s="19">
        <f>VLOOKUP(AQ471,'DATABASE F&amp;B'!$C$3:$F$216,4,0)</f>
        <v>0</v>
      </c>
      <c r="AU471" s="19">
        <f t="shared" si="447"/>
        <v>0</v>
      </c>
      <c r="AV471" s="16"/>
      <c r="AW471" s="17">
        <f>VLOOKUP(AV471,'DATABASE F&amp;B'!$C$3:$F$216,2,0)</f>
        <v>0</v>
      </c>
      <c r="AX471" s="18"/>
      <c r="AY471" s="19">
        <f>VLOOKUP(AV471,'DATABASE F&amp;B'!$C$3:$F$216,4,0)</f>
        <v>0</v>
      </c>
      <c r="AZ471" s="19">
        <f t="shared" si="448"/>
        <v>0</v>
      </c>
      <c r="BA471" s="16"/>
      <c r="BB471" s="17">
        <f>VLOOKUP(BA471,'DATABASE F&amp;B'!$C$3:$F$216,2,0)</f>
        <v>0</v>
      </c>
      <c r="BC471" s="18"/>
      <c r="BD471" s="19">
        <f>VLOOKUP(BA471,'DATABASE F&amp;B'!$C$3:$F$216,4,0)</f>
        <v>0</v>
      </c>
      <c r="BE471" s="19">
        <f t="shared" si="449"/>
        <v>0</v>
      </c>
      <c r="BF471" s="16"/>
      <c r="BG471" s="17">
        <f>VLOOKUP(BF471,'DATABASE F&amp;B'!$C$3:$F$216,2,0)</f>
        <v>0</v>
      </c>
      <c r="BH471" s="18"/>
      <c r="BI471" s="19">
        <f>VLOOKUP(BF471,'DATABASE F&amp;B'!$C$3:$F$216,4,0)</f>
        <v>0</v>
      </c>
      <c r="BJ471" s="19">
        <f t="shared" si="450"/>
        <v>0</v>
      </c>
      <c r="BK471" s="16"/>
      <c r="BL471" s="17">
        <f>VLOOKUP(BK471,'DATABASE F&amp;B'!$C$3:$F$210,2,0)</f>
        <v>0</v>
      </c>
      <c r="BM471" s="18"/>
      <c r="BN471" s="19">
        <f>VLOOKUP(BK471,'DATABASE F&amp;B'!$C$3:$F$210,4,0)</f>
        <v>0</v>
      </c>
      <c r="BO471" s="19">
        <f t="shared" si="451"/>
        <v>0</v>
      </c>
      <c r="BP471" s="16"/>
      <c r="BQ471" s="17">
        <f>VLOOKUP(BP471,'DATABASE F&amp;B'!$C$3:$F$210,2,0)</f>
        <v>0</v>
      </c>
      <c r="BR471" s="18"/>
      <c r="BS471" s="19">
        <f>VLOOKUP(BP471,'DATABASE F&amp;B'!$C$3:$F$210,4,0)</f>
        <v>0</v>
      </c>
      <c r="BT471" s="19">
        <f t="shared" si="452"/>
        <v>0</v>
      </c>
      <c r="BU471" s="16"/>
      <c r="BV471" s="17">
        <f>VLOOKUP(BU471,'DATABASE F&amp;B'!$C$3:$F$210,2,0)</f>
        <v>0</v>
      </c>
      <c r="BW471" s="18"/>
      <c r="BX471" s="19">
        <f>VLOOKUP(BU471,'DATABASE F&amp;B'!$C$3:$F$210,4,0)</f>
        <v>0</v>
      </c>
      <c r="BY471" s="19">
        <f t="shared" si="453"/>
        <v>0</v>
      </c>
      <c r="BZ471" s="16"/>
      <c r="CA471" s="17">
        <f>VLOOKUP(BZ471,'DATABASE F&amp;B'!$C$3:$F$210,2,0)</f>
        <v>0</v>
      </c>
      <c r="CB471" s="18"/>
      <c r="CC471" s="19">
        <f>VLOOKUP(BZ471,'DATABASE F&amp;B'!$C$3:$F$210,4,0)</f>
        <v>0</v>
      </c>
      <c r="CD471" s="19">
        <f t="shared" si="454"/>
        <v>0</v>
      </c>
    </row>
    <row r="472" spans="1:82" ht="13.5" x14ac:dyDescent="0.25">
      <c r="A472" s="32" t="str">
        <f t="shared" si="434"/>
        <v>--20</v>
      </c>
      <c r="B472" s="22">
        <f t="shared" ref="B472:C472" si="477">B471+1</f>
        <v>468</v>
      </c>
      <c r="C472" s="22">
        <f t="shared" si="477"/>
        <v>468</v>
      </c>
      <c r="D472" s="34"/>
      <c r="E472" s="35"/>
      <c r="F472" s="35"/>
      <c r="G472" s="52"/>
      <c r="H472" s="36" t="str">
        <f t="shared" si="459"/>
        <v>RJ--468</v>
      </c>
      <c r="I472" s="36" t="str">
        <f t="shared" si="436"/>
        <v>--20</v>
      </c>
      <c r="J472" s="37" t="e">
        <f>VLOOKUP(D472,Laporan!$C$4:$D$34,2,0)</f>
        <v>#N/A</v>
      </c>
      <c r="K472" s="48"/>
      <c r="L472" s="13"/>
      <c r="M472" s="19">
        <f>SUMIF('DATABASE Room'!$B$3:$B$7,L472,'DATABASE Room'!$D$3:$D$7)</f>
        <v>0</v>
      </c>
      <c r="N472" s="13"/>
      <c r="O472" s="21">
        <f t="shared" si="437"/>
        <v>0</v>
      </c>
      <c r="P472" s="38"/>
      <c r="Q472" s="19">
        <f t="shared" si="438"/>
        <v>0</v>
      </c>
      <c r="R472" s="21">
        <f t="shared" si="439"/>
        <v>0</v>
      </c>
      <c r="S472" s="19">
        <f t="shared" si="440"/>
        <v>0</v>
      </c>
      <c r="T472" s="19">
        <f t="shared" si="441"/>
        <v>0</v>
      </c>
      <c r="U472" s="21">
        <f t="shared" si="442"/>
        <v>0</v>
      </c>
      <c r="V472" s="39"/>
      <c r="W472" s="16"/>
      <c r="X472" s="17">
        <f>VLOOKUP(W472,'DATABASE F&amp;B'!$C$3:$F$216,2,0)</f>
        <v>0</v>
      </c>
      <c r="Y472" s="18"/>
      <c r="Z472" s="19">
        <f>VLOOKUP(W472,'DATABASE F&amp;B'!$C$3:$F$216,4,0)</f>
        <v>0</v>
      </c>
      <c r="AA472" s="19">
        <f t="shared" si="443"/>
        <v>0</v>
      </c>
      <c r="AB472" s="16"/>
      <c r="AC472" s="17">
        <f>VLOOKUP(AB472,'DATABASE F&amp;B'!$C$3:$F$216,2,0)</f>
        <v>0</v>
      </c>
      <c r="AD472" s="18"/>
      <c r="AE472" s="19">
        <f>VLOOKUP(AB472,'DATABASE F&amp;B'!$C$3:$F$216,4,0)</f>
        <v>0</v>
      </c>
      <c r="AF472" s="19">
        <f t="shared" si="444"/>
        <v>0</v>
      </c>
      <c r="AG472" s="16"/>
      <c r="AH472" s="17">
        <f>VLOOKUP(AG472,'DATABASE F&amp;B'!$C$3:$F$216,2,0)</f>
        <v>0</v>
      </c>
      <c r="AI472" s="18"/>
      <c r="AJ472" s="19">
        <f>VLOOKUP(AG472,'DATABASE F&amp;B'!$C$3:$F$216,4,0)</f>
        <v>0</v>
      </c>
      <c r="AK472" s="19">
        <f t="shared" si="445"/>
        <v>0</v>
      </c>
      <c r="AL472" s="16"/>
      <c r="AM472" s="17">
        <f>VLOOKUP(AL472,'DATABASE F&amp;B'!$C$3:$F$216,2,0)</f>
        <v>0</v>
      </c>
      <c r="AN472" s="18"/>
      <c r="AO472" s="19">
        <f>VLOOKUP(AL472,'DATABASE F&amp;B'!$C$3:$F$216,4,0)</f>
        <v>0</v>
      </c>
      <c r="AP472" s="19">
        <f t="shared" si="446"/>
        <v>0</v>
      </c>
      <c r="AQ472" s="16"/>
      <c r="AR472" s="17">
        <f>VLOOKUP(AQ472,'DATABASE F&amp;B'!$C$3:$F$216,2,0)</f>
        <v>0</v>
      </c>
      <c r="AS472" s="13"/>
      <c r="AT472" s="19">
        <f>VLOOKUP(AQ472,'DATABASE F&amp;B'!$C$3:$F$216,4,0)</f>
        <v>0</v>
      </c>
      <c r="AU472" s="19">
        <f t="shared" si="447"/>
        <v>0</v>
      </c>
      <c r="AV472" s="16"/>
      <c r="AW472" s="17">
        <f>VLOOKUP(AV472,'DATABASE F&amp;B'!$C$3:$F$216,2,0)</f>
        <v>0</v>
      </c>
      <c r="AX472" s="18"/>
      <c r="AY472" s="19">
        <f>VLOOKUP(AV472,'DATABASE F&amp;B'!$C$3:$F$216,4,0)</f>
        <v>0</v>
      </c>
      <c r="AZ472" s="19">
        <f t="shared" si="448"/>
        <v>0</v>
      </c>
      <c r="BA472" s="16"/>
      <c r="BB472" s="17">
        <f>VLOOKUP(BA472,'DATABASE F&amp;B'!$C$3:$F$216,2,0)</f>
        <v>0</v>
      </c>
      <c r="BC472" s="18"/>
      <c r="BD472" s="19">
        <f>VLOOKUP(BA472,'DATABASE F&amp;B'!$C$3:$F$216,4,0)</f>
        <v>0</v>
      </c>
      <c r="BE472" s="19">
        <f t="shared" si="449"/>
        <v>0</v>
      </c>
      <c r="BF472" s="16"/>
      <c r="BG472" s="17">
        <f>VLOOKUP(BF472,'DATABASE F&amp;B'!$C$3:$F$216,2,0)</f>
        <v>0</v>
      </c>
      <c r="BH472" s="18"/>
      <c r="BI472" s="19">
        <f>VLOOKUP(BF472,'DATABASE F&amp;B'!$C$3:$F$216,4,0)</f>
        <v>0</v>
      </c>
      <c r="BJ472" s="19">
        <f t="shared" si="450"/>
        <v>0</v>
      </c>
      <c r="BK472" s="16"/>
      <c r="BL472" s="17">
        <f>VLOOKUP(BK472,'DATABASE F&amp;B'!$C$3:$F$210,2,0)</f>
        <v>0</v>
      </c>
      <c r="BM472" s="18"/>
      <c r="BN472" s="19">
        <f>VLOOKUP(BK472,'DATABASE F&amp;B'!$C$3:$F$210,4,0)</f>
        <v>0</v>
      </c>
      <c r="BO472" s="19">
        <f t="shared" si="451"/>
        <v>0</v>
      </c>
      <c r="BP472" s="16"/>
      <c r="BQ472" s="17">
        <f>VLOOKUP(BP472,'DATABASE F&amp;B'!$C$3:$F$210,2,0)</f>
        <v>0</v>
      </c>
      <c r="BR472" s="18"/>
      <c r="BS472" s="19">
        <f>VLOOKUP(BP472,'DATABASE F&amp;B'!$C$3:$F$210,4,0)</f>
        <v>0</v>
      </c>
      <c r="BT472" s="19">
        <f t="shared" si="452"/>
        <v>0</v>
      </c>
      <c r="BU472" s="16"/>
      <c r="BV472" s="17">
        <f>VLOOKUP(BU472,'DATABASE F&amp;B'!$C$3:$F$210,2,0)</f>
        <v>0</v>
      </c>
      <c r="BW472" s="18"/>
      <c r="BX472" s="19">
        <f>VLOOKUP(BU472,'DATABASE F&amp;B'!$C$3:$F$210,4,0)</f>
        <v>0</v>
      </c>
      <c r="BY472" s="19">
        <f t="shared" si="453"/>
        <v>0</v>
      </c>
      <c r="BZ472" s="16"/>
      <c r="CA472" s="17">
        <f>VLOOKUP(BZ472,'DATABASE F&amp;B'!$C$3:$F$210,2,0)</f>
        <v>0</v>
      </c>
      <c r="CB472" s="18"/>
      <c r="CC472" s="19">
        <f>VLOOKUP(BZ472,'DATABASE F&amp;B'!$C$3:$F$210,4,0)</f>
        <v>0</v>
      </c>
      <c r="CD472" s="19">
        <f t="shared" si="454"/>
        <v>0</v>
      </c>
    </row>
    <row r="473" spans="1:82" ht="13.5" x14ac:dyDescent="0.25">
      <c r="A473" s="32" t="str">
        <f t="shared" si="434"/>
        <v>--20</v>
      </c>
      <c r="B473" s="22">
        <f t="shared" ref="B473:C473" si="478">B472+1</f>
        <v>469</v>
      </c>
      <c r="C473" s="22">
        <f t="shared" si="478"/>
        <v>469</v>
      </c>
      <c r="D473" s="34"/>
      <c r="E473" s="35"/>
      <c r="F473" s="35"/>
      <c r="G473" s="52"/>
      <c r="H473" s="36" t="str">
        <f t="shared" si="459"/>
        <v>RJ--469</v>
      </c>
      <c r="I473" s="36" t="str">
        <f t="shared" si="436"/>
        <v>--20</v>
      </c>
      <c r="J473" s="37" t="e">
        <f>VLOOKUP(D473,Laporan!$C$4:$D$34,2,0)</f>
        <v>#N/A</v>
      </c>
      <c r="K473" s="48"/>
      <c r="L473" s="13"/>
      <c r="M473" s="19">
        <f>SUMIF('DATABASE Room'!$B$3:$B$7,L473,'DATABASE Room'!$D$3:$D$7)</f>
        <v>0</v>
      </c>
      <c r="N473" s="13"/>
      <c r="O473" s="21">
        <f t="shared" si="437"/>
        <v>0</v>
      </c>
      <c r="P473" s="38"/>
      <c r="Q473" s="19">
        <f t="shared" si="438"/>
        <v>0</v>
      </c>
      <c r="R473" s="21">
        <f t="shared" si="439"/>
        <v>0</v>
      </c>
      <c r="S473" s="19">
        <f t="shared" si="440"/>
        <v>0</v>
      </c>
      <c r="T473" s="19">
        <f t="shared" si="441"/>
        <v>0</v>
      </c>
      <c r="U473" s="21">
        <f t="shared" si="442"/>
        <v>0</v>
      </c>
      <c r="V473" s="39"/>
      <c r="W473" s="16"/>
      <c r="X473" s="17">
        <f>VLOOKUP(W473,'DATABASE F&amp;B'!$C$3:$F$216,2,0)</f>
        <v>0</v>
      </c>
      <c r="Y473" s="18"/>
      <c r="Z473" s="19">
        <f>VLOOKUP(W473,'DATABASE F&amp;B'!$C$3:$F$216,4,0)</f>
        <v>0</v>
      </c>
      <c r="AA473" s="19">
        <f t="shared" si="443"/>
        <v>0</v>
      </c>
      <c r="AB473" s="16"/>
      <c r="AC473" s="17">
        <f>VLOOKUP(AB473,'DATABASE F&amp;B'!$C$3:$F$216,2,0)</f>
        <v>0</v>
      </c>
      <c r="AD473" s="18"/>
      <c r="AE473" s="19">
        <f>VLOOKUP(AB473,'DATABASE F&amp;B'!$C$3:$F$216,4,0)</f>
        <v>0</v>
      </c>
      <c r="AF473" s="19">
        <f t="shared" si="444"/>
        <v>0</v>
      </c>
      <c r="AG473" s="16"/>
      <c r="AH473" s="17">
        <f>VLOOKUP(AG473,'DATABASE F&amp;B'!$C$3:$F$216,2,0)</f>
        <v>0</v>
      </c>
      <c r="AI473" s="18"/>
      <c r="AJ473" s="19">
        <f>VLOOKUP(AG473,'DATABASE F&amp;B'!$C$3:$F$216,4,0)</f>
        <v>0</v>
      </c>
      <c r="AK473" s="19">
        <f t="shared" si="445"/>
        <v>0</v>
      </c>
      <c r="AL473" s="16"/>
      <c r="AM473" s="17">
        <f>VLOOKUP(AL473,'DATABASE F&amp;B'!$C$3:$F$216,2,0)</f>
        <v>0</v>
      </c>
      <c r="AN473" s="18"/>
      <c r="AO473" s="19">
        <f>VLOOKUP(AL473,'DATABASE F&amp;B'!$C$3:$F$216,4,0)</f>
        <v>0</v>
      </c>
      <c r="AP473" s="19">
        <f t="shared" si="446"/>
        <v>0</v>
      </c>
      <c r="AQ473" s="16"/>
      <c r="AR473" s="17">
        <f>VLOOKUP(AQ473,'DATABASE F&amp;B'!$C$3:$F$216,2,0)</f>
        <v>0</v>
      </c>
      <c r="AS473" s="13"/>
      <c r="AT473" s="19">
        <f>VLOOKUP(AQ473,'DATABASE F&amp;B'!$C$3:$F$216,4,0)</f>
        <v>0</v>
      </c>
      <c r="AU473" s="19">
        <f t="shared" si="447"/>
        <v>0</v>
      </c>
      <c r="AV473" s="16"/>
      <c r="AW473" s="17">
        <f>VLOOKUP(AV473,'DATABASE F&amp;B'!$C$3:$F$216,2,0)</f>
        <v>0</v>
      </c>
      <c r="AX473" s="18"/>
      <c r="AY473" s="19">
        <f>VLOOKUP(AV473,'DATABASE F&amp;B'!$C$3:$F$216,4,0)</f>
        <v>0</v>
      </c>
      <c r="AZ473" s="19">
        <f t="shared" si="448"/>
        <v>0</v>
      </c>
      <c r="BA473" s="16"/>
      <c r="BB473" s="17">
        <f>VLOOKUP(BA473,'DATABASE F&amp;B'!$C$3:$F$216,2,0)</f>
        <v>0</v>
      </c>
      <c r="BC473" s="18"/>
      <c r="BD473" s="19">
        <f>VLOOKUP(BA473,'DATABASE F&amp;B'!$C$3:$F$216,4,0)</f>
        <v>0</v>
      </c>
      <c r="BE473" s="19">
        <f t="shared" si="449"/>
        <v>0</v>
      </c>
      <c r="BF473" s="16"/>
      <c r="BG473" s="17">
        <f>VLOOKUP(BF473,'DATABASE F&amp;B'!$C$3:$F$216,2,0)</f>
        <v>0</v>
      </c>
      <c r="BH473" s="18"/>
      <c r="BI473" s="19">
        <f>VLOOKUP(BF473,'DATABASE F&amp;B'!$C$3:$F$216,4,0)</f>
        <v>0</v>
      </c>
      <c r="BJ473" s="19">
        <f t="shared" si="450"/>
        <v>0</v>
      </c>
      <c r="BK473" s="16"/>
      <c r="BL473" s="17">
        <f>VLOOKUP(BK473,'DATABASE F&amp;B'!$C$3:$F$210,2,0)</f>
        <v>0</v>
      </c>
      <c r="BM473" s="18"/>
      <c r="BN473" s="19">
        <f>VLOOKUP(BK473,'DATABASE F&amp;B'!$C$3:$F$210,4,0)</f>
        <v>0</v>
      </c>
      <c r="BO473" s="19">
        <f t="shared" si="451"/>
        <v>0</v>
      </c>
      <c r="BP473" s="16"/>
      <c r="BQ473" s="17">
        <f>VLOOKUP(BP473,'DATABASE F&amp;B'!$C$3:$F$210,2,0)</f>
        <v>0</v>
      </c>
      <c r="BR473" s="18"/>
      <c r="BS473" s="19">
        <f>VLOOKUP(BP473,'DATABASE F&amp;B'!$C$3:$F$210,4,0)</f>
        <v>0</v>
      </c>
      <c r="BT473" s="19">
        <f t="shared" si="452"/>
        <v>0</v>
      </c>
      <c r="BU473" s="16"/>
      <c r="BV473" s="17">
        <f>VLOOKUP(BU473,'DATABASE F&amp;B'!$C$3:$F$210,2,0)</f>
        <v>0</v>
      </c>
      <c r="BW473" s="18"/>
      <c r="BX473" s="19">
        <f>VLOOKUP(BU473,'DATABASE F&amp;B'!$C$3:$F$210,4,0)</f>
        <v>0</v>
      </c>
      <c r="BY473" s="19">
        <f t="shared" si="453"/>
        <v>0</v>
      </c>
      <c r="BZ473" s="16"/>
      <c r="CA473" s="17">
        <f>VLOOKUP(BZ473,'DATABASE F&amp;B'!$C$3:$F$210,2,0)</f>
        <v>0</v>
      </c>
      <c r="CB473" s="18"/>
      <c r="CC473" s="19">
        <f>VLOOKUP(BZ473,'DATABASE F&amp;B'!$C$3:$F$210,4,0)</f>
        <v>0</v>
      </c>
      <c r="CD473" s="19">
        <f t="shared" si="454"/>
        <v>0</v>
      </c>
    </row>
    <row r="474" spans="1:82" ht="13.5" x14ac:dyDescent="0.25">
      <c r="A474" s="32" t="str">
        <f t="shared" si="434"/>
        <v>--20</v>
      </c>
      <c r="B474" s="22">
        <f t="shared" ref="B474:C474" si="479">B473+1</f>
        <v>470</v>
      </c>
      <c r="C474" s="22">
        <f t="shared" si="479"/>
        <v>470</v>
      </c>
      <c r="D474" s="34"/>
      <c r="E474" s="35"/>
      <c r="F474" s="35"/>
      <c r="G474" s="52"/>
      <c r="H474" s="36" t="str">
        <f t="shared" si="459"/>
        <v>RJ--470</v>
      </c>
      <c r="I474" s="36" t="str">
        <f t="shared" si="436"/>
        <v>--20</v>
      </c>
      <c r="J474" s="37" t="e">
        <f>VLOOKUP(D474,Laporan!$C$4:$D$34,2,0)</f>
        <v>#N/A</v>
      </c>
      <c r="K474" s="48"/>
      <c r="L474" s="13"/>
      <c r="M474" s="19">
        <f>SUMIF('DATABASE Room'!$B$3:$B$7,L474,'DATABASE Room'!$D$3:$D$7)</f>
        <v>0</v>
      </c>
      <c r="N474" s="13"/>
      <c r="O474" s="21">
        <f t="shared" si="437"/>
        <v>0</v>
      </c>
      <c r="P474" s="38"/>
      <c r="Q474" s="19">
        <f t="shared" si="438"/>
        <v>0</v>
      </c>
      <c r="R474" s="21">
        <f t="shared" si="439"/>
        <v>0</v>
      </c>
      <c r="S474" s="19">
        <f t="shared" si="440"/>
        <v>0</v>
      </c>
      <c r="T474" s="19">
        <f t="shared" si="441"/>
        <v>0</v>
      </c>
      <c r="U474" s="21">
        <f t="shared" si="442"/>
        <v>0</v>
      </c>
      <c r="V474" s="39"/>
      <c r="W474" s="16"/>
      <c r="X474" s="17">
        <f>VLOOKUP(W474,'DATABASE F&amp;B'!$C$3:$F$216,2,0)</f>
        <v>0</v>
      </c>
      <c r="Y474" s="18"/>
      <c r="Z474" s="19">
        <f>VLOOKUP(W474,'DATABASE F&amp;B'!$C$3:$F$216,4,0)</f>
        <v>0</v>
      </c>
      <c r="AA474" s="19">
        <f t="shared" si="443"/>
        <v>0</v>
      </c>
      <c r="AB474" s="16"/>
      <c r="AC474" s="17">
        <f>VLOOKUP(AB474,'DATABASE F&amp;B'!$C$3:$F$216,2,0)</f>
        <v>0</v>
      </c>
      <c r="AD474" s="18"/>
      <c r="AE474" s="19">
        <f>VLOOKUP(AB474,'DATABASE F&amp;B'!$C$3:$F$216,4,0)</f>
        <v>0</v>
      </c>
      <c r="AF474" s="19">
        <f t="shared" si="444"/>
        <v>0</v>
      </c>
      <c r="AG474" s="16"/>
      <c r="AH474" s="17">
        <f>VLOOKUP(AG474,'DATABASE F&amp;B'!$C$3:$F$216,2,0)</f>
        <v>0</v>
      </c>
      <c r="AI474" s="18"/>
      <c r="AJ474" s="19">
        <f>VLOOKUP(AG474,'DATABASE F&amp;B'!$C$3:$F$216,4,0)</f>
        <v>0</v>
      </c>
      <c r="AK474" s="19">
        <f t="shared" si="445"/>
        <v>0</v>
      </c>
      <c r="AL474" s="16"/>
      <c r="AM474" s="17">
        <f>VLOOKUP(AL474,'DATABASE F&amp;B'!$C$3:$F$216,2,0)</f>
        <v>0</v>
      </c>
      <c r="AN474" s="18"/>
      <c r="AO474" s="19">
        <f>VLOOKUP(AL474,'DATABASE F&amp;B'!$C$3:$F$216,4,0)</f>
        <v>0</v>
      </c>
      <c r="AP474" s="19">
        <f t="shared" si="446"/>
        <v>0</v>
      </c>
      <c r="AQ474" s="16"/>
      <c r="AR474" s="17">
        <f>VLOOKUP(AQ474,'DATABASE F&amp;B'!$C$3:$F$216,2,0)</f>
        <v>0</v>
      </c>
      <c r="AS474" s="13"/>
      <c r="AT474" s="19">
        <f>VLOOKUP(AQ474,'DATABASE F&amp;B'!$C$3:$F$216,4,0)</f>
        <v>0</v>
      </c>
      <c r="AU474" s="19">
        <f t="shared" si="447"/>
        <v>0</v>
      </c>
      <c r="AV474" s="16"/>
      <c r="AW474" s="17">
        <f>VLOOKUP(AV474,'DATABASE F&amp;B'!$C$3:$F$216,2,0)</f>
        <v>0</v>
      </c>
      <c r="AX474" s="18"/>
      <c r="AY474" s="19">
        <f>VLOOKUP(AV474,'DATABASE F&amp;B'!$C$3:$F$216,4,0)</f>
        <v>0</v>
      </c>
      <c r="AZ474" s="19">
        <f t="shared" si="448"/>
        <v>0</v>
      </c>
      <c r="BA474" s="16"/>
      <c r="BB474" s="17">
        <f>VLOOKUP(BA474,'DATABASE F&amp;B'!$C$3:$F$216,2,0)</f>
        <v>0</v>
      </c>
      <c r="BC474" s="18"/>
      <c r="BD474" s="19">
        <f>VLOOKUP(BA474,'DATABASE F&amp;B'!$C$3:$F$216,4,0)</f>
        <v>0</v>
      </c>
      <c r="BE474" s="19">
        <f t="shared" si="449"/>
        <v>0</v>
      </c>
      <c r="BF474" s="16"/>
      <c r="BG474" s="17">
        <f>VLOOKUP(BF474,'DATABASE F&amp;B'!$C$3:$F$216,2,0)</f>
        <v>0</v>
      </c>
      <c r="BH474" s="18"/>
      <c r="BI474" s="19">
        <f>VLOOKUP(BF474,'DATABASE F&amp;B'!$C$3:$F$216,4,0)</f>
        <v>0</v>
      </c>
      <c r="BJ474" s="19">
        <f t="shared" si="450"/>
        <v>0</v>
      </c>
      <c r="BK474" s="16"/>
      <c r="BL474" s="17">
        <f>VLOOKUP(BK474,'DATABASE F&amp;B'!$C$3:$F$210,2,0)</f>
        <v>0</v>
      </c>
      <c r="BM474" s="18"/>
      <c r="BN474" s="19">
        <f>VLOOKUP(BK474,'DATABASE F&amp;B'!$C$3:$F$210,4,0)</f>
        <v>0</v>
      </c>
      <c r="BO474" s="19">
        <f t="shared" si="451"/>
        <v>0</v>
      </c>
      <c r="BP474" s="16"/>
      <c r="BQ474" s="17">
        <f>VLOOKUP(BP474,'DATABASE F&amp;B'!$C$3:$F$210,2,0)</f>
        <v>0</v>
      </c>
      <c r="BR474" s="18"/>
      <c r="BS474" s="19">
        <f>VLOOKUP(BP474,'DATABASE F&amp;B'!$C$3:$F$210,4,0)</f>
        <v>0</v>
      </c>
      <c r="BT474" s="19">
        <f t="shared" si="452"/>
        <v>0</v>
      </c>
      <c r="BU474" s="16"/>
      <c r="BV474" s="17">
        <f>VLOOKUP(BU474,'DATABASE F&amp;B'!$C$3:$F$210,2,0)</f>
        <v>0</v>
      </c>
      <c r="BW474" s="18"/>
      <c r="BX474" s="19">
        <f>VLOOKUP(BU474,'DATABASE F&amp;B'!$C$3:$F$210,4,0)</f>
        <v>0</v>
      </c>
      <c r="BY474" s="19">
        <f t="shared" si="453"/>
        <v>0</v>
      </c>
      <c r="BZ474" s="16"/>
      <c r="CA474" s="17">
        <f>VLOOKUP(BZ474,'DATABASE F&amp;B'!$C$3:$F$210,2,0)</f>
        <v>0</v>
      </c>
      <c r="CB474" s="18"/>
      <c r="CC474" s="19">
        <f>VLOOKUP(BZ474,'DATABASE F&amp;B'!$C$3:$F$210,4,0)</f>
        <v>0</v>
      </c>
      <c r="CD474" s="19">
        <f t="shared" si="454"/>
        <v>0</v>
      </c>
    </row>
    <row r="475" spans="1:82" ht="13.5" x14ac:dyDescent="0.25">
      <c r="A475" s="32" t="str">
        <f t="shared" si="434"/>
        <v>--20</v>
      </c>
      <c r="B475" s="22">
        <f t="shared" ref="B475:C475" si="480">B474+1</f>
        <v>471</v>
      </c>
      <c r="C475" s="22">
        <f t="shared" si="480"/>
        <v>471</v>
      </c>
      <c r="D475" s="34"/>
      <c r="E475" s="35"/>
      <c r="F475" s="35"/>
      <c r="G475" s="52"/>
      <c r="H475" s="36" t="str">
        <f t="shared" si="459"/>
        <v>RJ--471</v>
      </c>
      <c r="I475" s="36" t="str">
        <f t="shared" si="436"/>
        <v>--20</v>
      </c>
      <c r="J475" s="37" t="e">
        <f>VLOOKUP(D475,Laporan!$C$4:$D$34,2,0)</f>
        <v>#N/A</v>
      </c>
      <c r="K475" s="48"/>
      <c r="L475" s="13"/>
      <c r="M475" s="19">
        <f>SUMIF('DATABASE Room'!$B$3:$B$7,L475,'DATABASE Room'!$D$3:$D$7)</f>
        <v>0</v>
      </c>
      <c r="N475" s="13"/>
      <c r="O475" s="21">
        <f t="shared" si="437"/>
        <v>0</v>
      </c>
      <c r="P475" s="38"/>
      <c r="Q475" s="19">
        <f t="shared" si="438"/>
        <v>0</v>
      </c>
      <c r="R475" s="21">
        <f t="shared" si="439"/>
        <v>0</v>
      </c>
      <c r="S475" s="19">
        <f t="shared" si="440"/>
        <v>0</v>
      </c>
      <c r="T475" s="19">
        <f t="shared" si="441"/>
        <v>0</v>
      </c>
      <c r="U475" s="21">
        <f t="shared" si="442"/>
        <v>0</v>
      </c>
      <c r="V475" s="39"/>
      <c r="W475" s="16"/>
      <c r="X475" s="17">
        <f>VLOOKUP(W475,'DATABASE F&amp;B'!$C$3:$F$216,2,0)</f>
        <v>0</v>
      </c>
      <c r="Y475" s="18"/>
      <c r="Z475" s="19">
        <f>VLOOKUP(W475,'DATABASE F&amp;B'!$C$3:$F$216,4,0)</f>
        <v>0</v>
      </c>
      <c r="AA475" s="19">
        <f t="shared" si="443"/>
        <v>0</v>
      </c>
      <c r="AB475" s="16"/>
      <c r="AC475" s="17">
        <f>VLOOKUP(AB475,'DATABASE F&amp;B'!$C$3:$F$216,2,0)</f>
        <v>0</v>
      </c>
      <c r="AD475" s="18"/>
      <c r="AE475" s="19">
        <f>VLOOKUP(AB475,'DATABASE F&amp;B'!$C$3:$F$216,4,0)</f>
        <v>0</v>
      </c>
      <c r="AF475" s="19">
        <f t="shared" si="444"/>
        <v>0</v>
      </c>
      <c r="AG475" s="16"/>
      <c r="AH475" s="17">
        <f>VLOOKUP(AG475,'DATABASE F&amp;B'!$C$3:$F$216,2,0)</f>
        <v>0</v>
      </c>
      <c r="AI475" s="18"/>
      <c r="AJ475" s="19">
        <f>VLOOKUP(AG475,'DATABASE F&amp;B'!$C$3:$F$216,4,0)</f>
        <v>0</v>
      </c>
      <c r="AK475" s="19">
        <f t="shared" si="445"/>
        <v>0</v>
      </c>
      <c r="AL475" s="16"/>
      <c r="AM475" s="17">
        <f>VLOOKUP(AL475,'DATABASE F&amp;B'!$C$3:$F$216,2,0)</f>
        <v>0</v>
      </c>
      <c r="AN475" s="18"/>
      <c r="AO475" s="19">
        <f>VLOOKUP(AL475,'DATABASE F&amp;B'!$C$3:$F$216,4,0)</f>
        <v>0</v>
      </c>
      <c r="AP475" s="19">
        <f t="shared" si="446"/>
        <v>0</v>
      </c>
      <c r="AQ475" s="16"/>
      <c r="AR475" s="17">
        <f>VLOOKUP(AQ475,'DATABASE F&amp;B'!$C$3:$F$216,2,0)</f>
        <v>0</v>
      </c>
      <c r="AS475" s="13"/>
      <c r="AT475" s="19">
        <f>VLOOKUP(AQ475,'DATABASE F&amp;B'!$C$3:$F$216,4,0)</f>
        <v>0</v>
      </c>
      <c r="AU475" s="19">
        <f t="shared" si="447"/>
        <v>0</v>
      </c>
      <c r="AV475" s="16"/>
      <c r="AW475" s="17">
        <f>VLOOKUP(AV475,'DATABASE F&amp;B'!$C$3:$F$216,2,0)</f>
        <v>0</v>
      </c>
      <c r="AX475" s="18"/>
      <c r="AY475" s="19">
        <f>VLOOKUP(AV475,'DATABASE F&amp;B'!$C$3:$F$216,4,0)</f>
        <v>0</v>
      </c>
      <c r="AZ475" s="19">
        <f t="shared" si="448"/>
        <v>0</v>
      </c>
      <c r="BA475" s="16"/>
      <c r="BB475" s="17">
        <f>VLOOKUP(BA475,'DATABASE F&amp;B'!$C$3:$F$216,2,0)</f>
        <v>0</v>
      </c>
      <c r="BC475" s="18"/>
      <c r="BD475" s="19">
        <f>VLOOKUP(BA475,'DATABASE F&amp;B'!$C$3:$F$216,4,0)</f>
        <v>0</v>
      </c>
      <c r="BE475" s="19">
        <f t="shared" si="449"/>
        <v>0</v>
      </c>
      <c r="BF475" s="16"/>
      <c r="BG475" s="17">
        <f>VLOOKUP(BF475,'DATABASE F&amp;B'!$C$3:$F$216,2,0)</f>
        <v>0</v>
      </c>
      <c r="BH475" s="18"/>
      <c r="BI475" s="19">
        <f>VLOOKUP(BF475,'DATABASE F&amp;B'!$C$3:$F$216,4,0)</f>
        <v>0</v>
      </c>
      <c r="BJ475" s="19">
        <f t="shared" si="450"/>
        <v>0</v>
      </c>
      <c r="BK475" s="16"/>
      <c r="BL475" s="17">
        <f>VLOOKUP(BK475,'DATABASE F&amp;B'!$C$3:$F$210,2,0)</f>
        <v>0</v>
      </c>
      <c r="BM475" s="18"/>
      <c r="BN475" s="19">
        <f>VLOOKUP(BK475,'DATABASE F&amp;B'!$C$3:$F$210,4,0)</f>
        <v>0</v>
      </c>
      <c r="BO475" s="19">
        <f t="shared" si="451"/>
        <v>0</v>
      </c>
      <c r="BP475" s="16"/>
      <c r="BQ475" s="17">
        <f>VLOOKUP(BP475,'DATABASE F&amp;B'!$C$3:$F$210,2,0)</f>
        <v>0</v>
      </c>
      <c r="BR475" s="18"/>
      <c r="BS475" s="19">
        <f>VLOOKUP(BP475,'DATABASE F&amp;B'!$C$3:$F$210,4,0)</f>
        <v>0</v>
      </c>
      <c r="BT475" s="19">
        <f t="shared" si="452"/>
        <v>0</v>
      </c>
      <c r="BU475" s="16"/>
      <c r="BV475" s="17">
        <f>VLOOKUP(BU475,'DATABASE F&amp;B'!$C$3:$F$210,2,0)</f>
        <v>0</v>
      </c>
      <c r="BW475" s="18"/>
      <c r="BX475" s="19">
        <f>VLOOKUP(BU475,'DATABASE F&amp;B'!$C$3:$F$210,4,0)</f>
        <v>0</v>
      </c>
      <c r="BY475" s="19">
        <f t="shared" si="453"/>
        <v>0</v>
      </c>
      <c r="BZ475" s="16"/>
      <c r="CA475" s="17">
        <f>VLOOKUP(BZ475,'DATABASE F&amp;B'!$C$3:$F$210,2,0)</f>
        <v>0</v>
      </c>
      <c r="CB475" s="18"/>
      <c r="CC475" s="19">
        <f>VLOOKUP(BZ475,'DATABASE F&amp;B'!$C$3:$F$210,4,0)</f>
        <v>0</v>
      </c>
      <c r="CD475" s="19">
        <f t="shared" si="454"/>
        <v>0</v>
      </c>
    </row>
    <row r="476" spans="1:82" ht="13.5" x14ac:dyDescent="0.25">
      <c r="A476" s="32" t="str">
        <f t="shared" si="434"/>
        <v>--20</v>
      </c>
      <c r="B476" s="22">
        <f t="shared" ref="B476:C476" si="481">B475+1</f>
        <v>472</v>
      </c>
      <c r="C476" s="22">
        <f t="shared" si="481"/>
        <v>472</v>
      </c>
      <c r="D476" s="34"/>
      <c r="E476" s="35"/>
      <c r="F476" s="35"/>
      <c r="G476" s="52"/>
      <c r="H476" s="36" t="str">
        <f t="shared" si="459"/>
        <v>RJ--472</v>
      </c>
      <c r="I476" s="36" t="str">
        <f t="shared" si="436"/>
        <v>--20</v>
      </c>
      <c r="J476" s="37" t="e">
        <f>VLOOKUP(D476,Laporan!$C$4:$D$34,2,0)</f>
        <v>#N/A</v>
      </c>
      <c r="K476" s="48"/>
      <c r="L476" s="13"/>
      <c r="M476" s="19">
        <f>SUMIF('DATABASE Room'!$B$3:$B$7,L476,'DATABASE Room'!$D$3:$D$7)</f>
        <v>0</v>
      </c>
      <c r="N476" s="13"/>
      <c r="O476" s="21">
        <f t="shared" si="437"/>
        <v>0</v>
      </c>
      <c r="P476" s="38"/>
      <c r="Q476" s="19">
        <f t="shared" si="438"/>
        <v>0</v>
      </c>
      <c r="R476" s="21">
        <f t="shared" si="439"/>
        <v>0</v>
      </c>
      <c r="S476" s="19">
        <f t="shared" si="440"/>
        <v>0</v>
      </c>
      <c r="T476" s="19">
        <f t="shared" si="441"/>
        <v>0</v>
      </c>
      <c r="U476" s="21">
        <f t="shared" si="442"/>
        <v>0</v>
      </c>
      <c r="V476" s="39"/>
      <c r="W476" s="16"/>
      <c r="X476" s="17">
        <f>VLOOKUP(W476,'DATABASE F&amp;B'!$C$3:$F$216,2,0)</f>
        <v>0</v>
      </c>
      <c r="Y476" s="18"/>
      <c r="Z476" s="19">
        <f>VLOOKUP(W476,'DATABASE F&amp;B'!$C$3:$F$216,4,0)</f>
        <v>0</v>
      </c>
      <c r="AA476" s="19">
        <f t="shared" si="443"/>
        <v>0</v>
      </c>
      <c r="AB476" s="16"/>
      <c r="AC476" s="17">
        <f>VLOOKUP(AB476,'DATABASE F&amp;B'!$C$3:$F$216,2,0)</f>
        <v>0</v>
      </c>
      <c r="AD476" s="18"/>
      <c r="AE476" s="19">
        <f>VLOOKUP(AB476,'DATABASE F&amp;B'!$C$3:$F$216,4,0)</f>
        <v>0</v>
      </c>
      <c r="AF476" s="19">
        <f t="shared" si="444"/>
        <v>0</v>
      </c>
      <c r="AG476" s="16"/>
      <c r="AH476" s="17">
        <f>VLOOKUP(AG476,'DATABASE F&amp;B'!$C$3:$F$216,2,0)</f>
        <v>0</v>
      </c>
      <c r="AI476" s="18"/>
      <c r="AJ476" s="19">
        <f>VLOOKUP(AG476,'DATABASE F&amp;B'!$C$3:$F$216,4,0)</f>
        <v>0</v>
      </c>
      <c r="AK476" s="19">
        <f t="shared" si="445"/>
        <v>0</v>
      </c>
      <c r="AL476" s="16"/>
      <c r="AM476" s="17">
        <f>VLOOKUP(AL476,'DATABASE F&amp;B'!$C$3:$F$216,2,0)</f>
        <v>0</v>
      </c>
      <c r="AN476" s="18"/>
      <c r="AO476" s="19">
        <f>VLOOKUP(AL476,'DATABASE F&amp;B'!$C$3:$F$216,4,0)</f>
        <v>0</v>
      </c>
      <c r="AP476" s="19">
        <f t="shared" si="446"/>
        <v>0</v>
      </c>
      <c r="AQ476" s="16"/>
      <c r="AR476" s="17">
        <f>VLOOKUP(AQ476,'DATABASE F&amp;B'!$C$3:$F$216,2,0)</f>
        <v>0</v>
      </c>
      <c r="AS476" s="13"/>
      <c r="AT476" s="19">
        <f>VLOOKUP(AQ476,'DATABASE F&amp;B'!$C$3:$F$216,4,0)</f>
        <v>0</v>
      </c>
      <c r="AU476" s="19">
        <f t="shared" si="447"/>
        <v>0</v>
      </c>
      <c r="AV476" s="16"/>
      <c r="AW476" s="17">
        <f>VLOOKUP(AV476,'DATABASE F&amp;B'!$C$3:$F$216,2,0)</f>
        <v>0</v>
      </c>
      <c r="AX476" s="18"/>
      <c r="AY476" s="19">
        <f>VLOOKUP(AV476,'DATABASE F&amp;B'!$C$3:$F$216,4,0)</f>
        <v>0</v>
      </c>
      <c r="AZ476" s="19">
        <f t="shared" si="448"/>
        <v>0</v>
      </c>
      <c r="BA476" s="16"/>
      <c r="BB476" s="17">
        <f>VLOOKUP(BA476,'DATABASE F&amp;B'!$C$3:$F$216,2,0)</f>
        <v>0</v>
      </c>
      <c r="BC476" s="18"/>
      <c r="BD476" s="19">
        <f>VLOOKUP(BA476,'DATABASE F&amp;B'!$C$3:$F$216,4,0)</f>
        <v>0</v>
      </c>
      <c r="BE476" s="19">
        <f t="shared" si="449"/>
        <v>0</v>
      </c>
      <c r="BF476" s="16"/>
      <c r="BG476" s="17">
        <f>VLOOKUP(BF476,'DATABASE F&amp;B'!$C$3:$F$216,2,0)</f>
        <v>0</v>
      </c>
      <c r="BH476" s="18"/>
      <c r="BI476" s="19">
        <f>VLOOKUP(BF476,'DATABASE F&amp;B'!$C$3:$F$216,4,0)</f>
        <v>0</v>
      </c>
      <c r="BJ476" s="19">
        <f t="shared" si="450"/>
        <v>0</v>
      </c>
      <c r="BK476" s="16"/>
      <c r="BL476" s="17">
        <f>VLOOKUP(BK476,'DATABASE F&amp;B'!$C$3:$F$210,2,0)</f>
        <v>0</v>
      </c>
      <c r="BM476" s="18"/>
      <c r="BN476" s="19">
        <f>VLOOKUP(BK476,'DATABASE F&amp;B'!$C$3:$F$210,4,0)</f>
        <v>0</v>
      </c>
      <c r="BO476" s="19">
        <f t="shared" si="451"/>
        <v>0</v>
      </c>
      <c r="BP476" s="16"/>
      <c r="BQ476" s="17">
        <f>VLOOKUP(BP476,'DATABASE F&amp;B'!$C$3:$F$210,2,0)</f>
        <v>0</v>
      </c>
      <c r="BR476" s="18"/>
      <c r="BS476" s="19">
        <f>VLOOKUP(BP476,'DATABASE F&amp;B'!$C$3:$F$210,4,0)</f>
        <v>0</v>
      </c>
      <c r="BT476" s="19">
        <f t="shared" si="452"/>
        <v>0</v>
      </c>
      <c r="BU476" s="16"/>
      <c r="BV476" s="17">
        <f>VLOOKUP(BU476,'DATABASE F&amp;B'!$C$3:$F$210,2,0)</f>
        <v>0</v>
      </c>
      <c r="BW476" s="18"/>
      <c r="BX476" s="19">
        <f>VLOOKUP(BU476,'DATABASE F&amp;B'!$C$3:$F$210,4,0)</f>
        <v>0</v>
      </c>
      <c r="BY476" s="19">
        <f t="shared" si="453"/>
        <v>0</v>
      </c>
      <c r="BZ476" s="16"/>
      <c r="CA476" s="17">
        <f>VLOOKUP(BZ476,'DATABASE F&amp;B'!$C$3:$F$210,2,0)</f>
        <v>0</v>
      </c>
      <c r="CB476" s="18"/>
      <c r="CC476" s="19">
        <f>VLOOKUP(BZ476,'DATABASE F&amp;B'!$C$3:$F$210,4,0)</f>
        <v>0</v>
      </c>
      <c r="CD476" s="19">
        <f t="shared" si="454"/>
        <v>0</v>
      </c>
    </row>
    <row r="477" spans="1:82" ht="13.5" x14ac:dyDescent="0.25">
      <c r="A477" s="32" t="str">
        <f t="shared" si="434"/>
        <v>--20</v>
      </c>
      <c r="B477" s="22">
        <f t="shared" ref="B477:C477" si="482">B476+1</f>
        <v>473</v>
      </c>
      <c r="C477" s="22">
        <f t="shared" si="482"/>
        <v>473</v>
      </c>
      <c r="D477" s="34"/>
      <c r="E477" s="35"/>
      <c r="F477" s="35"/>
      <c r="G477" s="52"/>
      <c r="H477" s="36" t="str">
        <f t="shared" si="459"/>
        <v>RJ--473</v>
      </c>
      <c r="I477" s="36" t="str">
        <f t="shared" si="436"/>
        <v>--20</v>
      </c>
      <c r="J477" s="37" t="e">
        <f>VLOOKUP(D477,Laporan!$C$4:$D$34,2,0)</f>
        <v>#N/A</v>
      </c>
      <c r="K477" s="48"/>
      <c r="L477" s="13"/>
      <c r="M477" s="19">
        <f>SUMIF('DATABASE Room'!$B$3:$B$7,L477,'DATABASE Room'!$D$3:$D$7)</f>
        <v>0</v>
      </c>
      <c r="N477" s="13"/>
      <c r="O477" s="21">
        <f t="shared" si="437"/>
        <v>0</v>
      </c>
      <c r="P477" s="38"/>
      <c r="Q477" s="19">
        <f t="shared" si="438"/>
        <v>0</v>
      </c>
      <c r="R477" s="21">
        <f t="shared" si="439"/>
        <v>0</v>
      </c>
      <c r="S477" s="19">
        <f t="shared" si="440"/>
        <v>0</v>
      </c>
      <c r="T477" s="19">
        <f t="shared" si="441"/>
        <v>0</v>
      </c>
      <c r="U477" s="21">
        <f t="shared" si="442"/>
        <v>0</v>
      </c>
      <c r="V477" s="39"/>
      <c r="W477" s="16"/>
      <c r="X477" s="17">
        <f>VLOOKUP(W477,'DATABASE F&amp;B'!$C$3:$F$216,2,0)</f>
        <v>0</v>
      </c>
      <c r="Y477" s="18"/>
      <c r="Z477" s="19">
        <f>VLOOKUP(W477,'DATABASE F&amp;B'!$C$3:$F$216,4,0)</f>
        <v>0</v>
      </c>
      <c r="AA477" s="19">
        <f t="shared" si="443"/>
        <v>0</v>
      </c>
      <c r="AB477" s="16"/>
      <c r="AC477" s="17">
        <f>VLOOKUP(AB477,'DATABASE F&amp;B'!$C$3:$F$216,2,0)</f>
        <v>0</v>
      </c>
      <c r="AD477" s="18"/>
      <c r="AE477" s="19">
        <f>VLOOKUP(AB477,'DATABASE F&amp;B'!$C$3:$F$216,4,0)</f>
        <v>0</v>
      </c>
      <c r="AF477" s="19">
        <f t="shared" si="444"/>
        <v>0</v>
      </c>
      <c r="AG477" s="16"/>
      <c r="AH477" s="17">
        <f>VLOOKUP(AG477,'DATABASE F&amp;B'!$C$3:$F$216,2,0)</f>
        <v>0</v>
      </c>
      <c r="AI477" s="18"/>
      <c r="AJ477" s="19">
        <f>VLOOKUP(AG477,'DATABASE F&amp;B'!$C$3:$F$216,4,0)</f>
        <v>0</v>
      </c>
      <c r="AK477" s="19">
        <f t="shared" si="445"/>
        <v>0</v>
      </c>
      <c r="AL477" s="16"/>
      <c r="AM477" s="17">
        <f>VLOOKUP(AL477,'DATABASE F&amp;B'!$C$3:$F$216,2,0)</f>
        <v>0</v>
      </c>
      <c r="AN477" s="18"/>
      <c r="AO477" s="19">
        <f>VLOOKUP(AL477,'DATABASE F&amp;B'!$C$3:$F$216,4,0)</f>
        <v>0</v>
      </c>
      <c r="AP477" s="19">
        <f t="shared" si="446"/>
        <v>0</v>
      </c>
      <c r="AQ477" s="16"/>
      <c r="AR477" s="17">
        <f>VLOOKUP(AQ477,'DATABASE F&amp;B'!$C$3:$F$216,2,0)</f>
        <v>0</v>
      </c>
      <c r="AS477" s="13"/>
      <c r="AT477" s="19">
        <f>VLOOKUP(AQ477,'DATABASE F&amp;B'!$C$3:$F$216,4,0)</f>
        <v>0</v>
      </c>
      <c r="AU477" s="19">
        <f t="shared" si="447"/>
        <v>0</v>
      </c>
      <c r="AV477" s="16"/>
      <c r="AW477" s="17">
        <f>VLOOKUP(AV477,'DATABASE F&amp;B'!$C$3:$F$216,2,0)</f>
        <v>0</v>
      </c>
      <c r="AX477" s="18"/>
      <c r="AY477" s="19">
        <f>VLOOKUP(AV477,'DATABASE F&amp;B'!$C$3:$F$216,4,0)</f>
        <v>0</v>
      </c>
      <c r="AZ477" s="19">
        <f t="shared" si="448"/>
        <v>0</v>
      </c>
      <c r="BA477" s="16"/>
      <c r="BB477" s="17">
        <f>VLOOKUP(BA477,'DATABASE F&amp;B'!$C$3:$F$216,2,0)</f>
        <v>0</v>
      </c>
      <c r="BC477" s="18"/>
      <c r="BD477" s="19">
        <f>VLOOKUP(BA477,'DATABASE F&amp;B'!$C$3:$F$216,4,0)</f>
        <v>0</v>
      </c>
      <c r="BE477" s="19">
        <f t="shared" si="449"/>
        <v>0</v>
      </c>
      <c r="BF477" s="16"/>
      <c r="BG477" s="17">
        <f>VLOOKUP(BF477,'DATABASE F&amp;B'!$C$3:$F$216,2,0)</f>
        <v>0</v>
      </c>
      <c r="BH477" s="18"/>
      <c r="BI477" s="19">
        <f>VLOOKUP(BF477,'DATABASE F&amp;B'!$C$3:$F$216,4,0)</f>
        <v>0</v>
      </c>
      <c r="BJ477" s="19">
        <f t="shared" si="450"/>
        <v>0</v>
      </c>
      <c r="BK477" s="16"/>
      <c r="BL477" s="17">
        <f>VLOOKUP(BK477,'DATABASE F&amp;B'!$C$3:$F$210,2,0)</f>
        <v>0</v>
      </c>
      <c r="BM477" s="18"/>
      <c r="BN477" s="19">
        <f>VLOOKUP(BK477,'DATABASE F&amp;B'!$C$3:$F$210,4,0)</f>
        <v>0</v>
      </c>
      <c r="BO477" s="19">
        <f t="shared" si="451"/>
        <v>0</v>
      </c>
      <c r="BP477" s="16"/>
      <c r="BQ477" s="17">
        <f>VLOOKUP(BP477,'DATABASE F&amp;B'!$C$3:$F$210,2,0)</f>
        <v>0</v>
      </c>
      <c r="BR477" s="18"/>
      <c r="BS477" s="19">
        <f>VLOOKUP(BP477,'DATABASE F&amp;B'!$C$3:$F$210,4,0)</f>
        <v>0</v>
      </c>
      <c r="BT477" s="19">
        <f t="shared" si="452"/>
        <v>0</v>
      </c>
      <c r="BU477" s="16"/>
      <c r="BV477" s="17">
        <f>VLOOKUP(BU477,'DATABASE F&amp;B'!$C$3:$F$210,2,0)</f>
        <v>0</v>
      </c>
      <c r="BW477" s="18"/>
      <c r="BX477" s="19">
        <f>VLOOKUP(BU477,'DATABASE F&amp;B'!$C$3:$F$210,4,0)</f>
        <v>0</v>
      </c>
      <c r="BY477" s="19">
        <f t="shared" si="453"/>
        <v>0</v>
      </c>
      <c r="BZ477" s="16"/>
      <c r="CA477" s="17">
        <f>VLOOKUP(BZ477,'DATABASE F&amp;B'!$C$3:$F$210,2,0)</f>
        <v>0</v>
      </c>
      <c r="CB477" s="18"/>
      <c r="CC477" s="19">
        <f>VLOOKUP(BZ477,'DATABASE F&amp;B'!$C$3:$F$210,4,0)</f>
        <v>0</v>
      </c>
      <c r="CD477" s="19">
        <f t="shared" si="454"/>
        <v>0</v>
      </c>
    </row>
    <row r="478" spans="1:82" ht="13.5" x14ac:dyDescent="0.25">
      <c r="A478" s="32" t="str">
        <f t="shared" si="434"/>
        <v>--20</v>
      </c>
      <c r="B478" s="22">
        <f t="shared" ref="B478:C478" si="483">B477+1</f>
        <v>474</v>
      </c>
      <c r="C478" s="22">
        <f t="shared" si="483"/>
        <v>474</v>
      </c>
      <c r="D478" s="34"/>
      <c r="E478" s="35"/>
      <c r="F478" s="35"/>
      <c r="G478" s="52"/>
      <c r="H478" s="36" t="str">
        <f t="shared" si="459"/>
        <v>RJ--474</v>
      </c>
      <c r="I478" s="36" t="str">
        <f t="shared" si="436"/>
        <v>--20</v>
      </c>
      <c r="J478" s="37" t="e">
        <f>VLOOKUP(D478,Laporan!$C$4:$D$34,2,0)</f>
        <v>#N/A</v>
      </c>
      <c r="K478" s="48"/>
      <c r="L478" s="13"/>
      <c r="M478" s="19">
        <f>SUMIF('DATABASE Room'!$B$3:$B$7,L478,'DATABASE Room'!$D$3:$D$7)</f>
        <v>0</v>
      </c>
      <c r="N478" s="13"/>
      <c r="O478" s="21">
        <f t="shared" si="437"/>
        <v>0</v>
      </c>
      <c r="P478" s="38"/>
      <c r="Q478" s="19">
        <f t="shared" si="438"/>
        <v>0</v>
      </c>
      <c r="R478" s="21">
        <f t="shared" si="439"/>
        <v>0</v>
      </c>
      <c r="S478" s="19">
        <f t="shared" si="440"/>
        <v>0</v>
      </c>
      <c r="T478" s="19">
        <f t="shared" si="441"/>
        <v>0</v>
      </c>
      <c r="U478" s="21">
        <f t="shared" si="442"/>
        <v>0</v>
      </c>
      <c r="V478" s="39"/>
      <c r="W478" s="16"/>
      <c r="X478" s="17">
        <f>VLOOKUP(W478,'DATABASE F&amp;B'!$C$3:$F$216,2,0)</f>
        <v>0</v>
      </c>
      <c r="Y478" s="18"/>
      <c r="Z478" s="19">
        <f>VLOOKUP(W478,'DATABASE F&amp;B'!$C$3:$F$216,4,0)</f>
        <v>0</v>
      </c>
      <c r="AA478" s="19">
        <f t="shared" si="443"/>
        <v>0</v>
      </c>
      <c r="AB478" s="16"/>
      <c r="AC478" s="17">
        <f>VLOOKUP(AB478,'DATABASE F&amp;B'!$C$3:$F$216,2,0)</f>
        <v>0</v>
      </c>
      <c r="AD478" s="18"/>
      <c r="AE478" s="19">
        <f>VLOOKUP(AB478,'DATABASE F&amp;B'!$C$3:$F$216,4,0)</f>
        <v>0</v>
      </c>
      <c r="AF478" s="19">
        <f t="shared" si="444"/>
        <v>0</v>
      </c>
      <c r="AG478" s="16"/>
      <c r="AH478" s="17">
        <f>VLOOKUP(AG478,'DATABASE F&amp;B'!$C$3:$F$216,2,0)</f>
        <v>0</v>
      </c>
      <c r="AI478" s="18"/>
      <c r="AJ478" s="19">
        <f>VLOOKUP(AG478,'DATABASE F&amp;B'!$C$3:$F$216,4,0)</f>
        <v>0</v>
      </c>
      <c r="AK478" s="19">
        <f t="shared" si="445"/>
        <v>0</v>
      </c>
      <c r="AL478" s="16"/>
      <c r="AM478" s="17">
        <f>VLOOKUP(AL478,'DATABASE F&amp;B'!$C$3:$F$216,2,0)</f>
        <v>0</v>
      </c>
      <c r="AN478" s="18"/>
      <c r="AO478" s="19">
        <f>VLOOKUP(AL478,'DATABASE F&amp;B'!$C$3:$F$216,4,0)</f>
        <v>0</v>
      </c>
      <c r="AP478" s="19">
        <f t="shared" si="446"/>
        <v>0</v>
      </c>
      <c r="AQ478" s="16"/>
      <c r="AR478" s="17">
        <f>VLOOKUP(AQ478,'DATABASE F&amp;B'!$C$3:$F$216,2,0)</f>
        <v>0</v>
      </c>
      <c r="AS478" s="13"/>
      <c r="AT478" s="19">
        <f>VLOOKUP(AQ478,'DATABASE F&amp;B'!$C$3:$F$216,4,0)</f>
        <v>0</v>
      </c>
      <c r="AU478" s="19">
        <f t="shared" si="447"/>
        <v>0</v>
      </c>
      <c r="AV478" s="16"/>
      <c r="AW478" s="17">
        <f>VLOOKUP(AV478,'DATABASE F&amp;B'!$C$3:$F$216,2,0)</f>
        <v>0</v>
      </c>
      <c r="AX478" s="18"/>
      <c r="AY478" s="19">
        <f>VLOOKUP(AV478,'DATABASE F&amp;B'!$C$3:$F$216,4,0)</f>
        <v>0</v>
      </c>
      <c r="AZ478" s="19">
        <f t="shared" si="448"/>
        <v>0</v>
      </c>
      <c r="BA478" s="16"/>
      <c r="BB478" s="17">
        <f>VLOOKUP(BA478,'DATABASE F&amp;B'!$C$3:$F$216,2,0)</f>
        <v>0</v>
      </c>
      <c r="BC478" s="18"/>
      <c r="BD478" s="19">
        <f>VLOOKUP(BA478,'DATABASE F&amp;B'!$C$3:$F$216,4,0)</f>
        <v>0</v>
      </c>
      <c r="BE478" s="19">
        <f t="shared" si="449"/>
        <v>0</v>
      </c>
      <c r="BF478" s="16"/>
      <c r="BG478" s="17">
        <f>VLOOKUP(BF478,'DATABASE F&amp;B'!$C$3:$F$216,2,0)</f>
        <v>0</v>
      </c>
      <c r="BH478" s="18"/>
      <c r="BI478" s="19">
        <f>VLOOKUP(BF478,'DATABASE F&amp;B'!$C$3:$F$216,4,0)</f>
        <v>0</v>
      </c>
      <c r="BJ478" s="19">
        <f t="shared" si="450"/>
        <v>0</v>
      </c>
      <c r="BK478" s="16"/>
      <c r="BL478" s="17">
        <f>VLOOKUP(BK478,'DATABASE F&amp;B'!$C$3:$F$210,2,0)</f>
        <v>0</v>
      </c>
      <c r="BM478" s="18"/>
      <c r="BN478" s="19">
        <f>VLOOKUP(BK478,'DATABASE F&amp;B'!$C$3:$F$210,4,0)</f>
        <v>0</v>
      </c>
      <c r="BO478" s="19">
        <f t="shared" si="451"/>
        <v>0</v>
      </c>
      <c r="BP478" s="16"/>
      <c r="BQ478" s="17">
        <f>VLOOKUP(BP478,'DATABASE F&amp;B'!$C$3:$F$210,2,0)</f>
        <v>0</v>
      </c>
      <c r="BR478" s="18"/>
      <c r="BS478" s="19">
        <f>VLOOKUP(BP478,'DATABASE F&amp;B'!$C$3:$F$210,4,0)</f>
        <v>0</v>
      </c>
      <c r="BT478" s="19">
        <f t="shared" si="452"/>
        <v>0</v>
      </c>
      <c r="BU478" s="16"/>
      <c r="BV478" s="17">
        <f>VLOOKUP(BU478,'DATABASE F&amp;B'!$C$3:$F$210,2,0)</f>
        <v>0</v>
      </c>
      <c r="BW478" s="18"/>
      <c r="BX478" s="19">
        <f>VLOOKUP(BU478,'DATABASE F&amp;B'!$C$3:$F$210,4,0)</f>
        <v>0</v>
      </c>
      <c r="BY478" s="19">
        <f t="shared" si="453"/>
        <v>0</v>
      </c>
      <c r="BZ478" s="16"/>
      <c r="CA478" s="17">
        <f>VLOOKUP(BZ478,'DATABASE F&amp;B'!$C$3:$F$210,2,0)</f>
        <v>0</v>
      </c>
      <c r="CB478" s="18"/>
      <c r="CC478" s="19">
        <f>VLOOKUP(BZ478,'DATABASE F&amp;B'!$C$3:$F$210,4,0)</f>
        <v>0</v>
      </c>
      <c r="CD478" s="19">
        <f t="shared" si="454"/>
        <v>0</v>
      </c>
    </row>
    <row r="479" spans="1:82" ht="13.5" x14ac:dyDescent="0.25">
      <c r="A479" s="32" t="str">
        <f t="shared" si="434"/>
        <v>--20</v>
      </c>
      <c r="B479" s="22">
        <f t="shared" ref="B479:C479" si="484">B478+1</f>
        <v>475</v>
      </c>
      <c r="C479" s="22">
        <f t="shared" si="484"/>
        <v>475</v>
      </c>
      <c r="D479" s="34"/>
      <c r="E479" s="35"/>
      <c r="F479" s="35"/>
      <c r="G479" s="52"/>
      <c r="H479" s="36" t="str">
        <f t="shared" si="459"/>
        <v>RJ--475</v>
      </c>
      <c r="I479" s="36" t="str">
        <f t="shared" si="436"/>
        <v>--20</v>
      </c>
      <c r="J479" s="37" t="e">
        <f>VLOOKUP(D479,Laporan!$C$4:$D$34,2,0)</f>
        <v>#N/A</v>
      </c>
      <c r="K479" s="48"/>
      <c r="L479" s="13"/>
      <c r="M479" s="19">
        <f>SUMIF('DATABASE Room'!$B$3:$B$7,L479,'DATABASE Room'!$D$3:$D$7)</f>
        <v>0</v>
      </c>
      <c r="N479" s="13"/>
      <c r="O479" s="21">
        <f t="shared" si="437"/>
        <v>0</v>
      </c>
      <c r="P479" s="38"/>
      <c r="Q479" s="19">
        <f t="shared" si="438"/>
        <v>0</v>
      </c>
      <c r="R479" s="21">
        <f t="shared" si="439"/>
        <v>0</v>
      </c>
      <c r="S479" s="19">
        <f t="shared" si="440"/>
        <v>0</v>
      </c>
      <c r="T479" s="19">
        <f t="shared" si="441"/>
        <v>0</v>
      </c>
      <c r="U479" s="21">
        <f t="shared" si="442"/>
        <v>0</v>
      </c>
      <c r="V479" s="39"/>
      <c r="W479" s="16"/>
      <c r="X479" s="17">
        <f>VLOOKUP(W479,'DATABASE F&amp;B'!$C$3:$F$216,2,0)</f>
        <v>0</v>
      </c>
      <c r="Y479" s="18"/>
      <c r="Z479" s="19">
        <f>VLOOKUP(W479,'DATABASE F&amp;B'!$C$3:$F$216,4,0)</f>
        <v>0</v>
      </c>
      <c r="AA479" s="19">
        <f t="shared" si="443"/>
        <v>0</v>
      </c>
      <c r="AB479" s="16"/>
      <c r="AC479" s="17">
        <f>VLOOKUP(AB479,'DATABASE F&amp;B'!$C$3:$F$216,2,0)</f>
        <v>0</v>
      </c>
      <c r="AD479" s="18"/>
      <c r="AE479" s="19">
        <f>VLOOKUP(AB479,'DATABASE F&amp;B'!$C$3:$F$216,4,0)</f>
        <v>0</v>
      </c>
      <c r="AF479" s="19">
        <f t="shared" si="444"/>
        <v>0</v>
      </c>
      <c r="AG479" s="16"/>
      <c r="AH479" s="17">
        <f>VLOOKUP(AG479,'DATABASE F&amp;B'!$C$3:$F$216,2,0)</f>
        <v>0</v>
      </c>
      <c r="AI479" s="18"/>
      <c r="AJ479" s="19">
        <f>VLOOKUP(AG479,'DATABASE F&amp;B'!$C$3:$F$216,4,0)</f>
        <v>0</v>
      </c>
      <c r="AK479" s="19">
        <f t="shared" si="445"/>
        <v>0</v>
      </c>
      <c r="AL479" s="16"/>
      <c r="AM479" s="17">
        <f>VLOOKUP(AL479,'DATABASE F&amp;B'!$C$3:$F$216,2,0)</f>
        <v>0</v>
      </c>
      <c r="AN479" s="18"/>
      <c r="AO479" s="19">
        <f>VLOOKUP(AL479,'DATABASE F&amp;B'!$C$3:$F$216,4,0)</f>
        <v>0</v>
      </c>
      <c r="AP479" s="19">
        <f t="shared" si="446"/>
        <v>0</v>
      </c>
      <c r="AQ479" s="16"/>
      <c r="AR479" s="17">
        <f>VLOOKUP(AQ479,'DATABASE F&amp;B'!$C$3:$F$216,2,0)</f>
        <v>0</v>
      </c>
      <c r="AS479" s="13"/>
      <c r="AT479" s="19">
        <f>VLOOKUP(AQ479,'DATABASE F&amp;B'!$C$3:$F$216,4,0)</f>
        <v>0</v>
      </c>
      <c r="AU479" s="19">
        <f t="shared" si="447"/>
        <v>0</v>
      </c>
      <c r="AV479" s="16"/>
      <c r="AW479" s="17">
        <f>VLOOKUP(AV479,'DATABASE F&amp;B'!$C$3:$F$216,2,0)</f>
        <v>0</v>
      </c>
      <c r="AX479" s="18"/>
      <c r="AY479" s="19">
        <f>VLOOKUP(AV479,'DATABASE F&amp;B'!$C$3:$F$216,4,0)</f>
        <v>0</v>
      </c>
      <c r="AZ479" s="19">
        <f t="shared" si="448"/>
        <v>0</v>
      </c>
      <c r="BA479" s="16"/>
      <c r="BB479" s="17">
        <f>VLOOKUP(BA479,'DATABASE F&amp;B'!$C$3:$F$216,2,0)</f>
        <v>0</v>
      </c>
      <c r="BC479" s="18"/>
      <c r="BD479" s="19">
        <f>VLOOKUP(BA479,'DATABASE F&amp;B'!$C$3:$F$216,4,0)</f>
        <v>0</v>
      </c>
      <c r="BE479" s="19">
        <f t="shared" si="449"/>
        <v>0</v>
      </c>
      <c r="BF479" s="16"/>
      <c r="BG479" s="17">
        <f>VLOOKUP(BF479,'DATABASE F&amp;B'!$C$3:$F$216,2,0)</f>
        <v>0</v>
      </c>
      <c r="BH479" s="18"/>
      <c r="BI479" s="19">
        <f>VLOOKUP(BF479,'DATABASE F&amp;B'!$C$3:$F$216,4,0)</f>
        <v>0</v>
      </c>
      <c r="BJ479" s="19">
        <f t="shared" si="450"/>
        <v>0</v>
      </c>
      <c r="BK479" s="16"/>
      <c r="BL479" s="17">
        <f>VLOOKUP(BK479,'DATABASE F&amp;B'!$C$3:$F$210,2,0)</f>
        <v>0</v>
      </c>
      <c r="BM479" s="18"/>
      <c r="BN479" s="19">
        <f>VLOOKUP(BK479,'DATABASE F&amp;B'!$C$3:$F$210,4,0)</f>
        <v>0</v>
      </c>
      <c r="BO479" s="19">
        <f t="shared" si="451"/>
        <v>0</v>
      </c>
      <c r="BP479" s="16"/>
      <c r="BQ479" s="17">
        <f>VLOOKUP(BP479,'DATABASE F&amp;B'!$C$3:$F$210,2,0)</f>
        <v>0</v>
      </c>
      <c r="BR479" s="18"/>
      <c r="BS479" s="19">
        <f>VLOOKUP(BP479,'DATABASE F&amp;B'!$C$3:$F$210,4,0)</f>
        <v>0</v>
      </c>
      <c r="BT479" s="19">
        <f t="shared" si="452"/>
        <v>0</v>
      </c>
      <c r="BU479" s="16"/>
      <c r="BV479" s="17">
        <f>VLOOKUP(BU479,'DATABASE F&amp;B'!$C$3:$F$210,2,0)</f>
        <v>0</v>
      </c>
      <c r="BW479" s="18"/>
      <c r="BX479" s="19">
        <f>VLOOKUP(BU479,'DATABASE F&amp;B'!$C$3:$F$210,4,0)</f>
        <v>0</v>
      </c>
      <c r="BY479" s="19">
        <f t="shared" si="453"/>
        <v>0</v>
      </c>
      <c r="BZ479" s="16"/>
      <c r="CA479" s="17">
        <f>VLOOKUP(BZ479,'DATABASE F&amp;B'!$C$3:$F$210,2,0)</f>
        <v>0</v>
      </c>
      <c r="CB479" s="18"/>
      <c r="CC479" s="19">
        <f>VLOOKUP(BZ479,'DATABASE F&amp;B'!$C$3:$F$210,4,0)</f>
        <v>0</v>
      </c>
      <c r="CD479" s="19">
        <f t="shared" si="454"/>
        <v>0</v>
      </c>
    </row>
    <row r="480" spans="1:82" ht="13.5" x14ac:dyDescent="0.25">
      <c r="A480" s="32" t="str">
        <f t="shared" si="434"/>
        <v>--20</v>
      </c>
      <c r="B480" s="22">
        <f t="shared" ref="B480:C480" si="485">B479+1</f>
        <v>476</v>
      </c>
      <c r="C480" s="22">
        <f t="shared" si="485"/>
        <v>476</v>
      </c>
      <c r="D480" s="34"/>
      <c r="E480" s="35"/>
      <c r="F480" s="35"/>
      <c r="G480" s="52"/>
      <c r="H480" s="36" t="str">
        <f t="shared" si="459"/>
        <v>RJ--476</v>
      </c>
      <c r="I480" s="36" t="str">
        <f t="shared" si="436"/>
        <v>--20</v>
      </c>
      <c r="J480" s="37" t="e">
        <f>VLOOKUP(D480,Laporan!$C$4:$D$34,2,0)</f>
        <v>#N/A</v>
      </c>
      <c r="K480" s="48"/>
      <c r="L480" s="13"/>
      <c r="M480" s="19">
        <f>SUMIF('DATABASE Room'!$B$3:$B$7,L480,'DATABASE Room'!$D$3:$D$7)</f>
        <v>0</v>
      </c>
      <c r="N480" s="13"/>
      <c r="O480" s="21">
        <f t="shared" si="437"/>
        <v>0</v>
      </c>
      <c r="P480" s="38"/>
      <c r="Q480" s="19">
        <f t="shared" si="438"/>
        <v>0</v>
      </c>
      <c r="R480" s="21">
        <f t="shared" si="439"/>
        <v>0</v>
      </c>
      <c r="S480" s="19">
        <f t="shared" si="440"/>
        <v>0</v>
      </c>
      <c r="T480" s="19">
        <f t="shared" si="441"/>
        <v>0</v>
      </c>
      <c r="U480" s="21">
        <f t="shared" si="442"/>
        <v>0</v>
      </c>
      <c r="V480" s="39"/>
      <c r="W480" s="16"/>
      <c r="X480" s="17">
        <f>VLOOKUP(W480,'DATABASE F&amp;B'!$C$3:$F$216,2,0)</f>
        <v>0</v>
      </c>
      <c r="Y480" s="18"/>
      <c r="Z480" s="19">
        <f>VLOOKUP(W480,'DATABASE F&amp;B'!$C$3:$F$216,4,0)</f>
        <v>0</v>
      </c>
      <c r="AA480" s="19">
        <f t="shared" si="443"/>
        <v>0</v>
      </c>
      <c r="AB480" s="16"/>
      <c r="AC480" s="17">
        <f>VLOOKUP(AB480,'DATABASE F&amp;B'!$C$3:$F$216,2,0)</f>
        <v>0</v>
      </c>
      <c r="AD480" s="18"/>
      <c r="AE480" s="19">
        <f>VLOOKUP(AB480,'DATABASE F&amp;B'!$C$3:$F$216,4,0)</f>
        <v>0</v>
      </c>
      <c r="AF480" s="19">
        <f t="shared" si="444"/>
        <v>0</v>
      </c>
      <c r="AG480" s="16"/>
      <c r="AH480" s="17">
        <f>VLOOKUP(AG480,'DATABASE F&amp;B'!$C$3:$F$216,2,0)</f>
        <v>0</v>
      </c>
      <c r="AI480" s="18"/>
      <c r="AJ480" s="19">
        <f>VLOOKUP(AG480,'DATABASE F&amp;B'!$C$3:$F$216,4,0)</f>
        <v>0</v>
      </c>
      <c r="AK480" s="19">
        <f t="shared" si="445"/>
        <v>0</v>
      </c>
      <c r="AL480" s="16"/>
      <c r="AM480" s="17">
        <f>VLOOKUP(AL480,'DATABASE F&amp;B'!$C$3:$F$216,2,0)</f>
        <v>0</v>
      </c>
      <c r="AN480" s="18"/>
      <c r="AO480" s="19">
        <f>VLOOKUP(AL480,'DATABASE F&amp;B'!$C$3:$F$216,4,0)</f>
        <v>0</v>
      </c>
      <c r="AP480" s="19">
        <f t="shared" si="446"/>
        <v>0</v>
      </c>
      <c r="AQ480" s="16"/>
      <c r="AR480" s="17">
        <f>VLOOKUP(AQ480,'DATABASE F&amp;B'!$C$3:$F$216,2,0)</f>
        <v>0</v>
      </c>
      <c r="AS480" s="13"/>
      <c r="AT480" s="19">
        <f>VLOOKUP(AQ480,'DATABASE F&amp;B'!$C$3:$F$216,4,0)</f>
        <v>0</v>
      </c>
      <c r="AU480" s="19">
        <f t="shared" si="447"/>
        <v>0</v>
      </c>
      <c r="AV480" s="16"/>
      <c r="AW480" s="17">
        <f>VLOOKUP(AV480,'DATABASE F&amp;B'!$C$3:$F$216,2,0)</f>
        <v>0</v>
      </c>
      <c r="AX480" s="18"/>
      <c r="AY480" s="19">
        <f>VLOOKUP(AV480,'DATABASE F&amp;B'!$C$3:$F$216,4,0)</f>
        <v>0</v>
      </c>
      <c r="AZ480" s="19">
        <f t="shared" si="448"/>
        <v>0</v>
      </c>
      <c r="BA480" s="16"/>
      <c r="BB480" s="17">
        <f>VLOOKUP(BA480,'DATABASE F&amp;B'!$C$3:$F$216,2,0)</f>
        <v>0</v>
      </c>
      <c r="BC480" s="18"/>
      <c r="BD480" s="19">
        <f>VLOOKUP(BA480,'DATABASE F&amp;B'!$C$3:$F$216,4,0)</f>
        <v>0</v>
      </c>
      <c r="BE480" s="19">
        <f t="shared" si="449"/>
        <v>0</v>
      </c>
      <c r="BF480" s="16"/>
      <c r="BG480" s="17">
        <f>VLOOKUP(BF480,'DATABASE F&amp;B'!$C$3:$F$216,2,0)</f>
        <v>0</v>
      </c>
      <c r="BH480" s="18"/>
      <c r="BI480" s="19">
        <f>VLOOKUP(BF480,'DATABASE F&amp;B'!$C$3:$F$216,4,0)</f>
        <v>0</v>
      </c>
      <c r="BJ480" s="19">
        <f t="shared" si="450"/>
        <v>0</v>
      </c>
      <c r="BK480" s="16"/>
      <c r="BL480" s="17">
        <f>VLOOKUP(BK480,'DATABASE F&amp;B'!$C$3:$F$210,2,0)</f>
        <v>0</v>
      </c>
      <c r="BM480" s="18"/>
      <c r="BN480" s="19">
        <f>VLOOKUP(BK480,'DATABASE F&amp;B'!$C$3:$F$210,4,0)</f>
        <v>0</v>
      </c>
      <c r="BO480" s="19">
        <f t="shared" si="451"/>
        <v>0</v>
      </c>
      <c r="BP480" s="16"/>
      <c r="BQ480" s="17">
        <f>VLOOKUP(BP480,'DATABASE F&amp;B'!$C$3:$F$210,2,0)</f>
        <v>0</v>
      </c>
      <c r="BR480" s="18"/>
      <c r="BS480" s="19">
        <f>VLOOKUP(BP480,'DATABASE F&amp;B'!$C$3:$F$210,4,0)</f>
        <v>0</v>
      </c>
      <c r="BT480" s="19">
        <f t="shared" si="452"/>
        <v>0</v>
      </c>
      <c r="BU480" s="16"/>
      <c r="BV480" s="17">
        <f>VLOOKUP(BU480,'DATABASE F&amp;B'!$C$3:$F$210,2,0)</f>
        <v>0</v>
      </c>
      <c r="BW480" s="18"/>
      <c r="BX480" s="19">
        <f>VLOOKUP(BU480,'DATABASE F&amp;B'!$C$3:$F$210,4,0)</f>
        <v>0</v>
      </c>
      <c r="BY480" s="19">
        <f t="shared" si="453"/>
        <v>0</v>
      </c>
      <c r="BZ480" s="16"/>
      <c r="CA480" s="17">
        <f>VLOOKUP(BZ480,'DATABASE F&amp;B'!$C$3:$F$210,2,0)</f>
        <v>0</v>
      </c>
      <c r="CB480" s="18"/>
      <c r="CC480" s="19">
        <f>VLOOKUP(BZ480,'DATABASE F&amp;B'!$C$3:$F$210,4,0)</f>
        <v>0</v>
      </c>
      <c r="CD480" s="19">
        <f t="shared" si="454"/>
        <v>0</v>
      </c>
    </row>
    <row r="481" spans="1:82" ht="13.5" x14ac:dyDescent="0.25">
      <c r="A481" s="32" t="str">
        <f t="shared" si="434"/>
        <v>--20</v>
      </c>
      <c r="B481" s="22">
        <f t="shared" ref="B481:C481" si="486">B480+1</f>
        <v>477</v>
      </c>
      <c r="C481" s="22">
        <f t="shared" si="486"/>
        <v>477</v>
      </c>
      <c r="D481" s="34"/>
      <c r="E481" s="35"/>
      <c r="F481" s="35"/>
      <c r="G481" s="52"/>
      <c r="H481" s="36" t="str">
        <f t="shared" si="459"/>
        <v>RJ--477</v>
      </c>
      <c r="I481" s="36" t="str">
        <f t="shared" si="436"/>
        <v>--20</v>
      </c>
      <c r="J481" s="37" t="e">
        <f>VLOOKUP(D481,Laporan!$C$4:$D$34,2,0)</f>
        <v>#N/A</v>
      </c>
      <c r="K481" s="48"/>
      <c r="L481" s="13"/>
      <c r="M481" s="19">
        <f>SUMIF('DATABASE Room'!$B$3:$B$7,L481,'DATABASE Room'!$D$3:$D$7)</f>
        <v>0</v>
      </c>
      <c r="N481" s="13"/>
      <c r="O481" s="21">
        <f t="shared" si="437"/>
        <v>0</v>
      </c>
      <c r="P481" s="38"/>
      <c r="Q481" s="19">
        <f t="shared" si="438"/>
        <v>0</v>
      </c>
      <c r="R481" s="21">
        <f t="shared" si="439"/>
        <v>0</v>
      </c>
      <c r="S481" s="19">
        <f t="shared" si="440"/>
        <v>0</v>
      </c>
      <c r="T481" s="19">
        <f t="shared" si="441"/>
        <v>0</v>
      </c>
      <c r="U481" s="21">
        <f t="shared" si="442"/>
        <v>0</v>
      </c>
      <c r="V481" s="39"/>
      <c r="W481" s="16"/>
      <c r="X481" s="17">
        <f>VLOOKUP(W481,'DATABASE F&amp;B'!$C$3:$F$216,2,0)</f>
        <v>0</v>
      </c>
      <c r="Y481" s="18"/>
      <c r="Z481" s="19">
        <f>VLOOKUP(W481,'DATABASE F&amp;B'!$C$3:$F$216,4,0)</f>
        <v>0</v>
      </c>
      <c r="AA481" s="19">
        <f t="shared" si="443"/>
        <v>0</v>
      </c>
      <c r="AB481" s="16"/>
      <c r="AC481" s="17">
        <f>VLOOKUP(AB481,'DATABASE F&amp;B'!$C$3:$F$216,2,0)</f>
        <v>0</v>
      </c>
      <c r="AD481" s="18"/>
      <c r="AE481" s="19">
        <f>VLOOKUP(AB481,'DATABASE F&amp;B'!$C$3:$F$216,4,0)</f>
        <v>0</v>
      </c>
      <c r="AF481" s="19">
        <f t="shared" si="444"/>
        <v>0</v>
      </c>
      <c r="AG481" s="16"/>
      <c r="AH481" s="17">
        <f>VLOOKUP(AG481,'DATABASE F&amp;B'!$C$3:$F$216,2,0)</f>
        <v>0</v>
      </c>
      <c r="AI481" s="18"/>
      <c r="AJ481" s="19">
        <f>VLOOKUP(AG481,'DATABASE F&amp;B'!$C$3:$F$216,4,0)</f>
        <v>0</v>
      </c>
      <c r="AK481" s="19">
        <f t="shared" si="445"/>
        <v>0</v>
      </c>
      <c r="AL481" s="16"/>
      <c r="AM481" s="17">
        <f>VLOOKUP(AL481,'DATABASE F&amp;B'!$C$3:$F$216,2,0)</f>
        <v>0</v>
      </c>
      <c r="AN481" s="18"/>
      <c r="AO481" s="19">
        <f>VLOOKUP(AL481,'DATABASE F&amp;B'!$C$3:$F$216,4,0)</f>
        <v>0</v>
      </c>
      <c r="AP481" s="19">
        <f t="shared" si="446"/>
        <v>0</v>
      </c>
      <c r="AQ481" s="16"/>
      <c r="AR481" s="17">
        <f>VLOOKUP(AQ481,'DATABASE F&amp;B'!$C$3:$F$216,2,0)</f>
        <v>0</v>
      </c>
      <c r="AS481" s="13"/>
      <c r="AT481" s="19">
        <f>VLOOKUP(AQ481,'DATABASE F&amp;B'!$C$3:$F$216,4,0)</f>
        <v>0</v>
      </c>
      <c r="AU481" s="19">
        <f t="shared" si="447"/>
        <v>0</v>
      </c>
      <c r="AV481" s="16"/>
      <c r="AW481" s="17">
        <f>VLOOKUP(AV481,'DATABASE F&amp;B'!$C$3:$F$216,2,0)</f>
        <v>0</v>
      </c>
      <c r="AX481" s="18"/>
      <c r="AY481" s="19">
        <f>VLOOKUP(AV481,'DATABASE F&amp;B'!$C$3:$F$216,4,0)</f>
        <v>0</v>
      </c>
      <c r="AZ481" s="19">
        <f t="shared" si="448"/>
        <v>0</v>
      </c>
      <c r="BA481" s="16"/>
      <c r="BB481" s="17">
        <f>VLOOKUP(BA481,'DATABASE F&amp;B'!$C$3:$F$216,2,0)</f>
        <v>0</v>
      </c>
      <c r="BC481" s="18"/>
      <c r="BD481" s="19">
        <f>VLOOKUP(BA481,'DATABASE F&amp;B'!$C$3:$F$216,4,0)</f>
        <v>0</v>
      </c>
      <c r="BE481" s="19">
        <f t="shared" si="449"/>
        <v>0</v>
      </c>
      <c r="BF481" s="16"/>
      <c r="BG481" s="17">
        <f>VLOOKUP(BF481,'DATABASE F&amp;B'!$C$3:$F$216,2,0)</f>
        <v>0</v>
      </c>
      <c r="BH481" s="18"/>
      <c r="BI481" s="19">
        <f>VLOOKUP(BF481,'DATABASE F&amp;B'!$C$3:$F$216,4,0)</f>
        <v>0</v>
      </c>
      <c r="BJ481" s="19">
        <f t="shared" si="450"/>
        <v>0</v>
      </c>
      <c r="BK481" s="16"/>
      <c r="BL481" s="17">
        <f>VLOOKUP(BK481,'DATABASE F&amp;B'!$C$3:$F$210,2,0)</f>
        <v>0</v>
      </c>
      <c r="BM481" s="18"/>
      <c r="BN481" s="19">
        <f>VLOOKUP(BK481,'DATABASE F&amp;B'!$C$3:$F$210,4,0)</f>
        <v>0</v>
      </c>
      <c r="BO481" s="19">
        <f t="shared" si="451"/>
        <v>0</v>
      </c>
      <c r="BP481" s="16"/>
      <c r="BQ481" s="17">
        <f>VLOOKUP(BP481,'DATABASE F&amp;B'!$C$3:$F$210,2,0)</f>
        <v>0</v>
      </c>
      <c r="BR481" s="18"/>
      <c r="BS481" s="19">
        <f>VLOOKUP(BP481,'DATABASE F&amp;B'!$C$3:$F$210,4,0)</f>
        <v>0</v>
      </c>
      <c r="BT481" s="19">
        <f t="shared" si="452"/>
        <v>0</v>
      </c>
      <c r="BU481" s="16"/>
      <c r="BV481" s="17">
        <f>VLOOKUP(BU481,'DATABASE F&amp;B'!$C$3:$F$210,2,0)</f>
        <v>0</v>
      </c>
      <c r="BW481" s="18"/>
      <c r="BX481" s="19">
        <f>VLOOKUP(BU481,'DATABASE F&amp;B'!$C$3:$F$210,4,0)</f>
        <v>0</v>
      </c>
      <c r="BY481" s="19">
        <f t="shared" si="453"/>
        <v>0</v>
      </c>
      <c r="BZ481" s="16"/>
      <c r="CA481" s="17">
        <f>VLOOKUP(BZ481,'DATABASE F&amp;B'!$C$3:$F$210,2,0)</f>
        <v>0</v>
      </c>
      <c r="CB481" s="18"/>
      <c r="CC481" s="19">
        <f>VLOOKUP(BZ481,'DATABASE F&amp;B'!$C$3:$F$210,4,0)</f>
        <v>0</v>
      </c>
      <c r="CD481" s="19">
        <f t="shared" si="454"/>
        <v>0</v>
      </c>
    </row>
    <row r="482" spans="1:82" ht="13.5" x14ac:dyDescent="0.25">
      <c r="A482" s="32" t="str">
        <f t="shared" si="434"/>
        <v>--20</v>
      </c>
      <c r="B482" s="22">
        <f t="shared" ref="B482:C482" si="487">B481+1</f>
        <v>478</v>
      </c>
      <c r="C482" s="22">
        <f t="shared" si="487"/>
        <v>478</v>
      </c>
      <c r="D482" s="34"/>
      <c r="E482" s="35"/>
      <c r="F482" s="35"/>
      <c r="G482" s="52"/>
      <c r="H482" s="36" t="str">
        <f t="shared" si="459"/>
        <v>RJ--478</v>
      </c>
      <c r="I482" s="36" t="str">
        <f t="shared" si="436"/>
        <v>--20</v>
      </c>
      <c r="J482" s="37" t="e">
        <f>VLOOKUP(D482,Laporan!$C$4:$D$34,2,0)</f>
        <v>#N/A</v>
      </c>
      <c r="K482" s="48"/>
      <c r="L482" s="13"/>
      <c r="M482" s="19">
        <f>SUMIF('DATABASE Room'!$B$3:$B$7,L482,'DATABASE Room'!$D$3:$D$7)</f>
        <v>0</v>
      </c>
      <c r="N482" s="13"/>
      <c r="O482" s="21">
        <f t="shared" si="437"/>
        <v>0</v>
      </c>
      <c r="P482" s="38"/>
      <c r="Q482" s="19">
        <f t="shared" si="438"/>
        <v>0</v>
      </c>
      <c r="R482" s="21">
        <f t="shared" si="439"/>
        <v>0</v>
      </c>
      <c r="S482" s="19">
        <f t="shared" si="440"/>
        <v>0</v>
      </c>
      <c r="T482" s="19">
        <f t="shared" si="441"/>
        <v>0</v>
      </c>
      <c r="U482" s="21">
        <f t="shared" si="442"/>
        <v>0</v>
      </c>
      <c r="V482" s="39"/>
      <c r="W482" s="16"/>
      <c r="X482" s="17">
        <f>VLOOKUP(W482,'DATABASE F&amp;B'!$C$3:$F$216,2,0)</f>
        <v>0</v>
      </c>
      <c r="Y482" s="18"/>
      <c r="Z482" s="19">
        <f>VLOOKUP(W482,'DATABASE F&amp;B'!$C$3:$F$216,4,0)</f>
        <v>0</v>
      </c>
      <c r="AA482" s="19">
        <f t="shared" si="443"/>
        <v>0</v>
      </c>
      <c r="AB482" s="16"/>
      <c r="AC482" s="17">
        <f>VLOOKUP(AB482,'DATABASE F&amp;B'!$C$3:$F$216,2,0)</f>
        <v>0</v>
      </c>
      <c r="AD482" s="18"/>
      <c r="AE482" s="19">
        <f>VLOOKUP(AB482,'DATABASE F&amp;B'!$C$3:$F$216,4,0)</f>
        <v>0</v>
      </c>
      <c r="AF482" s="19">
        <f t="shared" si="444"/>
        <v>0</v>
      </c>
      <c r="AG482" s="16"/>
      <c r="AH482" s="17">
        <f>VLOOKUP(AG482,'DATABASE F&amp;B'!$C$3:$F$216,2,0)</f>
        <v>0</v>
      </c>
      <c r="AI482" s="18"/>
      <c r="AJ482" s="19">
        <f>VLOOKUP(AG482,'DATABASE F&amp;B'!$C$3:$F$216,4,0)</f>
        <v>0</v>
      </c>
      <c r="AK482" s="19">
        <f t="shared" si="445"/>
        <v>0</v>
      </c>
      <c r="AL482" s="16"/>
      <c r="AM482" s="17">
        <f>VLOOKUP(AL482,'DATABASE F&amp;B'!$C$3:$F$216,2,0)</f>
        <v>0</v>
      </c>
      <c r="AN482" s="18"/>
      <c r="AO482" s="19">
        <f>VLOOKUP(AL482,'DATABASE F&amp;B'!$C$3:$F$216,4,0)</f>
        <v>0</v>
      </c>
      <c r="AP482" s="19">
        <f t="shared" si="446"/>
        <v>0</v>
      </c>
      <c r="AQ482" s="16"/>
      <c r="AR482" s="17">
        <f>VLOOKUP(AQ482,'DATABASE F&amp;B'!$C$3:$F$216,2,0)</f>
        <v>0</v>
      </c>
      <c r="AS482" s="13"/>
      <c r="AT482" s="19">
        <f>VLOOKUP(AQ482,'DATABASE F&amp;B'!$C$3:$F$216,4,0)</f>
        <v>0</v>
      </c>
      <c r="AU482" s="19">
        <f t="shared" si="447"/>
        <v>0</v>
      </c>
      <c r="AV482" s="16"/>
      <c r="AW482" s="17">
        <f>VLOOKUP(AV482,'DATABASE F&amp;B'!$C$3:$F$216,2,0)</f>
        <v>0</v>
      </c>
      <c r="AX482" s="18"/>
      <c r="AY482" s="19">
        <f>VLOOKUP(AV482,'DATABASE F&amp;B'!$C$3:$F$216,4,0)</f>
        <v>0</v>
      </c>
      <c r="AZ482" s="19">
        <f t="shared" si="448"/>
        <v>0</v>
      </c>
      <c r="BA482" s="16"/>
      <c r="BB482" s="17">
        <f>VLOOKUP(BA482,'DATABASE F&amp;B'!$C$3:$F$216,2,0)</f>
        <v>0</v>
      </c>
      <c r="BC482" s="18"/>
      <c r="BD482" s="19">
        <f>VLOOKUP(BA482,'DATABASE F&amp;B'!$C$3:$F$216,4,0)</f>
        <v>0</v>
      </c>
      <c r="BE482" s="19">
        <f t="shared" si="449"/>
        <v>0</v>
      </c>
      <c r="BF482" s="16"/>
      <c r="BG482" s="17">
        <f>VLOOKUP(BF482,'DATABASE F&amp;B'!$C$3:$F$216,2,0)</f>
        <v>0</v>
      </c>
      <c r="BH482" s="18"/>
      <c r="BI482" s="19">
        <f>VLOOKUP(BF482,'DATABASE F&amp;B'!$C$3:$F$216,4,0)</f>
        <v>0</v>
      </c>
      <c r="BJ482" s="19">
        <f t="shared" si="450"/>
        <v>0</v>
      </c>
      <c r="BK482" s="16"/>
      <c r="BL482" s="17">
        <f>VLOOKUP(BK482,'DATABASE F&amp;B'!$C$3:$F$210,2,0)</f>
        <v>0</v>
      </c>
      <c r="BM482" s="18"/>
      <c r="BN482" s="19">
        <f>VLOOKUP(BK482,'DATABASE F&amp;B'!$C$3:$F$210,4,0)</f>
        <v>0</v>
      </c>
      <c r="BO482" s="19">
        <f t="shared" si="451"/>
        <v>0</v>
      </c>
      <c r="BP482" s="16"/>
      <c r="BQ482" s="17">
        <f>VLOOKUP(BP482,'DATABASE F&amp;B'!$C$3:$F$210,2,0)</f>
        <v>0</v>
      </c>
      <c r="BR482" s="18"/>
      <c r="BS482" s="19">
        <f>VLOOKUP(BP482,'DATABASE F&amp;B'!$C$3:$F$210,4,0)</f>
        <v>0</v>
      </c>
      <c r="BT482" s="19">
        <f t="shared" si="452"/>
        <v>0</v>
      </c>
      <c r="BU482" s="16"/>
      <c r="BV482" s="17">
        <f>VLOOKUP(BU482,'DATABASE F&amp;B'!$C$3:$F$210,2,0)</f>
        <v>0</v>
      </c>
      <c r="BW482" s="18"/>
      <c r="BX482" s="19">
        <f>VLOOKUP(BU482,'DATABASE F&amp;B'!$C$3:$F$210,4,0)</f>
        <v>0</v>
      </c>
      <c r="BY482" s="19">
        <f t="shared" si="453"/>
        <v>0</v>
      </c>
      <c r="BZ482" s="16"/>
      <c r="CA482" s="17">
        <f>VLOOKUP(BZ482,'DATABASE F&amp;B'!$C$3:$F$210,2,0)</f>
        <v>0</v>
      </c>
      <c r="CB482" s="18"/>
      <c r="CC482" s="19">
        <f>VLOOKUP(BZ482,'DATABASE F&amp;B'!$C$3:$F$210,4,0)</f>
        <v>0</v>
      </c>
      <c r="CD482" s="19">
        <f t="shared" si="454"/>
        <v>0</v>
      </c>
    </row>
    <row r="483" spans="1:82" ht="13.5" x14ac:dyDescent="0.25">
      <c r="A483" s="32" t="str">
        <f t="shared" si="434"/>
        <v>--20</v>
      </c>
      <c r="B483" s="22">
        <f t="shared" ref="B483:C483" si="488">B482+1</f>
        <v>479</v>
      </c>
      <c r="C483" s="22">
        <f t="shared" si="488"/>
        <v>479</v>
      </c>
      <c r="D483" s="34"/>
      <c r="E483" s="35"/>
      <c r="F483" s="35"/>
      <c r="G483" s="52"/>
      <c r="H483" s="36" t="str">
        <f t="shared" si="459"/>
        <v>RJ--479</v>
      </c>
      <c r="I483" s="36" t="str">
        <f t="shared" si="436"/>
        <v>--20</v>
      </c>
      <c r="J483" s="37" t="e">
        <f>VLOOKUP(D483,Laporan!$C$4:$D$34,2,0)</f>
        <v>#N/A</v>
      </c>
      <c r="K483" s="48"/>
      <c r="L483" s="13"/>
      <c r="M483" s="19">
        <f>SUMIF('DATABASE Room'!$B$3:$B$7,L483,'DATABASE Room'!$D$3:$D$7)</f>
        <v>0</v>
      </c>
      <c r="N483" s="13"/>
      <c r="O483" s="21">
        <f t="shared" si="437"/>
        <v>0</v>
      </c>
      <c r="P483" s="38"/>
      <c r="Q483" s="19">
        <f t="shared" si="438"/>
        <v>0</v>
      </c>
      <c r="R483" s="21">
        <f t="shared" si="439"/>
        <v>0</v>
      </c>
      <c r="S483" s="19">
        <f t="shared" si="440"/>
        <v>0</v>
      </c>
      <c r="T483" s="19">
        <f t="shared" si="441"/>
        <v>0</v>
      </c>
      <c r="U483" s="21">
        <f t="shared" si="442"/>
        <v>0</v>
      </c>
      <c r="V483" s="39"/>
      <c r="W483" s="16"/>
      <c r="X483" s="17">
        <f>VLOOKUP(W483,'DATABASE F&amp;B'!$C$3:$F$216,2,0)</f>
        <v>0</v>
      </c>
      <c r="Y483" s="18"/>
      <c r="Z483" s="19">
        <f>VLOOKUP(W483,'DATABASE F&amp;B'!$C$3:$F$216,4,0)</f>
        <v>0</v>
      </c>
      <c r="AA483" s="19">
        <f t="shared" si="443"/>
        <v>0</v>
      </c>
      <c r="AB483" s="16"/>
      <c r="AC483" s="17">
        <f>VLOOKUP(AB483,'DATABASE F&amp;B'!$C$3:$F$216,2,0)</f>
        <v>0</v>
      </c>
      <c r="AD483" s="18"/>
      <c r="AE483" s="19">
        <f>VLOOKUP(AB483,'DATABASE F&amp;B'!$C$3:$F$216,4,0)</f>
        <v>0</v>
      </c>
      <c r="AF483" s="19">
        <f t="shared" si="444"/>
        <v>0</v>
      </c>
      <c r="AG483" s="16"/>
      <c r="AH483" s="17">
        <f>VLOOKUP(AG483,'DATABASE F&amp;B'!$C$3:$F$216,2,0)</f>
        <v>0</v>
      </c>
      <c r="AI483" s="18"/>
      <c r="AJ483" s="19">
        <f>VLOOKUP(AG483,'DATABASE F&amp;B'!$C$3:$F$216,4,0)</f>
        <v>0</v>
      </c>
      <c r="AK483" s="19">
        <f t="shared" si="445"/>
        <v>0</v>
      </c>
      <c r="AL483" s="16"/>
      <c r="AM483" s="17">
        <f>VLOOKUP(AL483,'DATABASE F&amp;B'!$C$3:$F$216,2,0)</f>
        <v>0</v>
      </c>
      <c r="AN483" s="18"/>
      <c r="AO483" s="19">
        <f>VLOOKUP(AL483,'DATABASE F&amp;B'!$C$3:$F$216,4,0)</f>
        <v>0</v>
      </c>
      <c r="AP483" s="19">
        <f t="shared" si="446"/>
        <v>0</v>
      </c>
      <c r="AQ483" s="16"/>
      <c r="AR483" s="17">
        <f>VLOOKUP(AQ483,'DATABASE F&amp;B'!$C$3:$F$216,2,0)</f>
        <v>0</v>
      </c>
      <c r="AS483" s="13"/>
      <c r="AT483" s="19">
        <f>VLOOKUP(AQ483,'DATABASE F&amp;B'!$C$3:$F$216,4,0)</f>
        <v>0</v>
      </c>
      <c r="AU483" s="19">
        <f t="shared" si="447"/>
        <v>0</v>
      </c>
      <c r="AV483" s="16"/>
      <c r="AW483" s="17">
        <f>VLOOKUP(AV483,'DATABASE F&amp;B'!$C$3:$F$216,2,0)</f>
        <v>0</v>
      </c>
      <c r="AX483" s="18"/>
      <c r="AY483" s="19">
        <f>VLOOKUP(AV483,'DATABASE F&amp;B'!$C$3:$F$216,4,0)</f>
        <v>0</v>
      </c>
      <c r="AZ483" s="19">
        <f t="shared" si="448"/>
        <v>0</v>
      </c>
      <c r="BA483" s="16"/>
      <c r="BB483" s="17">
        <f>VLOOKUP(BA483,'DATABASE F&amp;B'!$C$3:$F$216,2,0)</f>
        <v>0</v>
      </c>
      <c r="BC483" s="18"/>
      <c r="BD483" s="19">
        <f>VLOOKUP(BA483,'DATABASE F&amp;B'!$C$3:$F$216,4,0)</f>
        <v>0</v>
      </c>
      <c r="BE483" s="19">
        <f t="shared" si="449"/>
        <v>0</v>
      </c>
      <c r="BF483" s="16"/>
      <c r="BG483" s="17">
        <f>VLOOKUP(BF483,'DATABASE F&amp;B'!$C$3:$F$216,2,0)</f>
        <v>0</v>
      </c>
      <c r="BH483" s="18"/>
      <c r="BI483" s="19">
        <f>VLOOKUP(BF483,'DATABASE F&amp;B'!$C$3:$F$216,4,0)</f>
        <v>0</v>
      </c>
      <c r="BJ483" s="19">
        <f t="shared" si="450"/>
        <v>0</v>
      </c>
      <c r="BK483" s="16"/>
      <c r="BL483" s="17">
        <f>VLOOKUP(BK483,'DATABASE F&amp;B'!$C$3:$F$210,2,0)</f>
        <v>0</v>
      </c>
      <c r="BM483" s="18"/>
      <c r="BN483" s="19">
        <f>VLOOKUP(BK483,'DATABASE F&amp;B'!$C$3:$F$210,4,0)</f>
        <v>0</v>
      </c>
      <c r="BO483" s="19">
        <f t="shared" si="451"/>
        <v>0</v>
      </c>
      <c r="BP483" s="16"/>
      <c r="BQ483" s="17">
        <f>VLOOKUP(BP483,'DATABASE F&amp;B'!$C$3:$F$210,2,0)</f>
        <v>0</v>
      </c>
      <c r="BR483" s="18"/>
      <c r="BS483" s="19">
        <f>VLOOKUP(BP483,'DATABASE F&amp;B'!$C$3:$F$210,4,0)</f>
        <v>0</v>
      </c>
      <c r="BT483" s="19">
        <f t="shared" si="452"/>
        <v>0</v>
      </c>
      <c r="BU483" s="16"/>
      <c r="BV483" s="17">
        <f>VLOOKUP(BU483,'DATABASE F&amp;B'!$C$3:$F$210,2,0)</f>
        <v>0</v>
      </c>
      <c r="BW483" s="18"/>
      <c r="BX483" s="19">
        <f>VLOOKUP(BU483,'DATABASE F&amp;B'!$C$3:$F$210,4,0)</f>
        <v>0</v>
      </c>
      <c r="BY483" s="19">
        <f t="shared" si="453"/>
        <v>0</v>
      </c>
      <c r="BZ483" s="16"/>
      <c r="CA483" s="17">
        <f>VLOOKUP(BZ483,'DATABASE F&amp;B'!$C$3:$F$210,2,0)</f>
        <v>0</v>
      </c>
      <c r="CB483" s="18"/>
      <c r="CC483" s="19">
        <f>VLOOKUP(BZ483,'DATABASE F&amp;B'!$C$3:$F$210,4,0)</f>
        <v>0</v>
      </c>
      <c r="CD483" s="19">
        <f t="shared" si="454"/>
        <v>0</v>
      </c>
    </row>
    <row r="484" spans="1:82" ht="13.5" x14ac:dyDescent="0.25">
      <c r="A484" s="32" t="str">
        <f t="shared" si="434"/>
        <v>--20</v>
      </c>
      <c r="B484" s="22">
        <f t="shared" ref="B484:C484" si="489">B483+1</f>
        <v>480</v>
      </c>
      <c r="C484" s="22">
        <f t="shared" si="489"/>
        <v>480</v>
      </c>
      <c r="D484" s="34"/>
      <c r="E484" s="35"/>
      <c r="F484" s="35"/>
      <c r="G484" s="52"/>
      <c r="H484" s="36" t="str">
        <f t="shared" si="459"/>
        <v>RJ--480</v>
      </c>
      <c r="I484" s="36" t="str">
        <f t="shared" si="436"/>
        <v>--20</v>
      </c>
      <c r="J484" s="37" t="e">
        <f>VLOOKUP(D484,Laporan!$C$4:$D$34,2,0)</f>
        <v>#N/A</v>
      </c>
      <c r="K484" s="48"/>
      <c r="L484" s="13"/>
      <c r="M484" s="19">
        <f>SUMIF('DATABASE Room'!$B$3:$B$7,L484,'DATABASE Room'!$D$3:$D$7)</f>
        <v>0</v>
      </c>
      <c r="N484" s="13"/>
      <c r="O484" s="21">
        <f t="shared" si="437"/>
        <v>0</v>
      </c>
      <c r="P484" s="38"/>
      <c r="Q484" s="19">
        <f t="shared" si="438"/>
        <v>0</v>
      </c>
      <c r="R484" s="21">
        <f t="shared" si="439"/>
        <v>0</v>
      </c>
      <c r="S484" s="19">
        <f t="shared" si="440"/>
        <v>0</v>
      </c>
      <c r="T484" s="19">
        <f t="shared" si="441"/>
        <v>0</v>
      </c>
      <c r="U484" s="21">
        <f t="shared" si="442"/>
        <v>0</v>
      </c>
      <c r="V484" s="39"/>
      <c r="W484" s="16"/>
      <c r="X484" s="17">
        <f>VLOOKUP(W484,'DATABASE F&amp;B'!$C$3:$F$216,2,0)</f>
        <v>0</v>
      </c>
      <c r="Y484" s="18"/>
      <c r="Z484" s="19">
        <f>VLOOKUP(W484,'DATABASE F&amp;B'!$C$3:$F$216,4,0)</f>
        <v>0</v>
      </c>
      <c r="AA484" s="19">
        <f t="shared" si="443"/>
        <v>0</v>
      </c>
      <c r="AB484" s="16"/>
      <c r="AC484" s="17">
        <f>VLOOKUP(AB484,'DATABASE F&amp;B'!$C$3:$F$216,2,0)</f>
        <v>0</v>
      </c>
      <c r="AD484" s="18"/>
      <c r="AE484" s="19">
        <f>VLOOKUP(AB484,'DATABASE F&amp;B'!$C$3:$F$216,4,0)</f>
        <v>0</v>
      </c>
      <c r="AF484" s="19">
        <f t="shared" si="444"/>
        <v>0</v>
      </c>
      <c r="AG484" s="16"/>
      <c r="AH484" s="17">
        <f>VLOOKUP(AG484,'DATABASE F&amp;B'!$C$3:$F$216,2,0)</f>
        <v>0</v>
      </c>
      <c r="AI484" s="18"/>
      <c r="AJ484" s="19">
        <f>VLOOKUP(AG484,'DATABASE F&amp;B'!$C$3:$F$216,4,0)</f>
        <v>0</v>
      </c>
      <c r="AK484" s="19">
        <f t="shared" si="445"/>
        <v>0</v>
      </c>
      <c r="AL484" s="16"/>
      <c r="AM484" s="17">
        <f>VLOOKUP(AL484,'DATABASE F&amp;B'!$C$3:$F$216,2,0)</f>
        <v>0</v>
      </c>
      <c r="AN484" s="18"/>
      <c r="AO484" s="19">
        <f>VLOOKUP(AL484,'DATABASE F&amp;B'!$C$3:$F$216,4,0)</f>
        <v>0</v>
      </c>
      <c r="AP484" s="19">
        <f t="shared" si="446"/>
        <v>0</v>
      </c>
      <c r="AQ484" s="16"/>
      <c r="AR484" s="17">
        <f>VLOOKUP(AQ484,'DATABASE F&amp;B'!$C$3:$F$216,2,0)</f>
        <v>0</v>
      </c>
      <c r="AS484" s="13"/>
      <c r="AT484" s="19">
        <f>VLOOKUP(AQ484,'DATABASE F&amp;B'!$C$3:$F$216,4,0)</f>
        <v>0</v>
      </c>
      <c r="AU484" s="19">
        <f t="shared" si="447"/>
        <v>0</v>
      </c>
      <c r="AV484" s="16"/>
      <c r="AW484" s="17">
        <f>VLOOKUP(AV484,'DATABASE F&amp;B'!$C$3:$F$216,2,0)</f>
        <v>0</v>
      </c>
      <c r="AX484" s="18"/>
      <c r="AY484" s="19">
        <f>VLOOKUP(AV484,'DATABASE F&amp;B'!$C$3:$F$216,4,0)</f>
        <v>0</v>
      </c>
      <c r="AZ484" s="19">
        <f t="shared" si="448"/>
        <v>0</v>
      </c>
      <c r="BA484" s="16"/>
      <c r="BB484" s="17">
        <f>VLOOKUP(BA484,'DATABASE F&amp;B'!$C$3:$F$216,2,0)</f>
        <v>0</v>
      </c>
      <c r="BC484" s="18"/>
      <c r="BD484" s="19">
        <f>VLOOKUP(BA484,'DATABASE F&amp;B'!$C$3:$F$216,4,0)</f>
        <v>0</v>
      </c>
      <c r="BE484" s="19">
        <f t="shared" si="449"/>
        <v>0</v>
      </c>
      <c r="BF484" s="16"/>
      <c r="BG484" s="17">
        <f>VLOOKUP(BF484,'DATABASE F&amp;B'!$C$3:$F$216,2,0)</f>
        <v>0</v>
      </c>
      <c r="BH484" s="18"/>
      <c r="BI484" s="19">
        <f>VLOOKUP(BF484,'DATABASE F&amp;B'!$C$3:$F$216,4,0)</f>
        <v>0</v>
      </c>
      <c r="BJ484" s="19">
        <f t="shared" si="450"/>
        <v>0</v>
      </c>
      <c r="BK484" s="16"/>
      <c r="BL484" s="17">
        <f>VLOOKUP(BK484,'DATABASE F&amp;B'!$C$3:$F$210,2,0)</f>
        <v>0</v>
      </c>
      <c r="BM484" s="18"/>
      <c r="BN484" s="19">
        <f>VLOOKUP(BK484,'DATABASE F&amp;B'!$C$3:$F$210,4,0)</f>
        <v>0</v>
      </c>
      <c r="BO484" s="19">
        <f t="shared" si="451"/>
        <v>0</v>
      </c>
      <c r="BP484" s="16"/>
      <c r="BQ484" s="17">
        <f>VLOOKUP(BP484,'DATABASE F&amp;B'!$C$3:$F$210,2,0)</f>
        <v>0</v>
      </c>
      <c r="BR484" s="18"/>
      <c r="BS484" s="19">
        <f>VLOOKUP(BP484,'DATABASE F&amp;B'!$C$3:$F$210,4,0)</f>
        <v>0</v>
      </c>
      <c r="BT484" s="19">
        <f t="shared" si="452"/>
        <v>0</v>
      </c>
      <c r="BU484" s="16"/>
      <c r="BV484" s="17">
        <f>VLOOKUP(BU484,'DATABASE F&amp;B'!$C$3:$F$210,2,0)</f>
        <v>0</v>
      </c>
      <c r="BW484" s="18"/>
      <c r="BX484" s="19">
        <f>VLOOKUP(BU484,'DATABASE F&amp;B'!$C$3:$F$210,4,0)</f>
        <v>0</v>
      </c>
      <c r="BY484" s="19">
        <f t="shared" si="453"/>
        <v>0</v>
      </c>
      <c r="BZ484" s="16"/>
      <c r="CA484" s="17">
        <f>VLOOKUP(BZ484,'DATABASE F&amp;B'!$C$3:$F$210,2,0)</f>
        <v>0</v>
      </c>
      <c r="CB484" s="18"/>
      <c r="CC484" s="19">
        <f>VLOOKUP(BZ484,'DATABASE F&amp;B'!$C$3:$F$210,4,0)</f>
        <v>0</v>
      </c>
      <c r="CD484" s="19">
        <f t="shared" si="454"/>
        <v>0</v>
      </c>
    </row>
    <row r="485" spans="1:82" ht="13.5" x14ac:dyDescent="0.25">
      <c r="A485" s="32" t="str">
        <f t="shared" si="434"/>
        <v>--20</v>
      </c>
      <c r="B485" s="22">
        <f t="shared" ref="B485:C485" si="490">B484+1</f>
        <v>481</v>
      </c>
      <c r="C485" s="22">
        <f t="shared" si="490"/>
        <v>481</v>
      </c>
      <c r="D485" s="34"/>
      <c r="E485" s="35"/>
      <c r="F485" s="35"/>
      <c r="G485" s="52"/>
      <c r="H485" s="36" t="str">
        <f t="shared" si="459"/>
        <v>RJ--481</v>
      </c>
      <c r="I485" s="36" t="str">
        <f t="shared" si="436"/>
        <v>--20</v>
      </c>
      <c r="J485" s="37" t="e">
        <f>VLOOKUP(D485,Laporan!$C$4:$D$34,2,0)</f>
        <v>#N/A</v>
      </c>
      <c r="K485" s="48"/>
      <c r="L485" s="13"/>
      <c r="M485" s="19">
        <f>SUMIF('DATABASE Room'!$B$3:$B$7,L485,'DATABASE Room'!$D$3:$D$7)</f>
        <v>0</v>
      </c>
      <c r="N485" s="13"/>
      <c r="O485" s="21">
        <f t="shared" si="437"/>
        <v>0</v>
      </c>
      <c r="P485" s="38"/>
      <c r="Q485" s="19">
        <f t="shared" si="438"/>
        <v>0</v>
      </c>
      <c r="R485" s="21">
        <f t="shared" si="439"/>
        <v>0</v>
      </c>
      <c r="S485" s="19">
        <f t="shared" si="440"/>
        <v>0</v>
      </c>
      <c r="T485" s="19">
        <f t="shared" si="441"/>
        <v>0</v>
      </c>
      <c r="U485" s="21">
        <f t="shared" si="442"/>
        <v>0</v>
      </c>
      <c r="V485" s="39"/>
      <c r="W485" s="16"/>
      <c r="X485" s="17">
        <f>VLOOKUP(W485,'DATABASE F&amp;B'!$C$3:$F$216,2,0)</f>
        <v>0</v>
      </c>
      <c r="Y485" s="18"/>
      <c r="Z485" s="19">
        <f>VLOOKUP(W485,'DATABASE F&amp;B'!$C$3:$F$216,4,0)</f>
        <v>0</v>
      </c>
      <c r="AA485" s="19">
        <f t="shared" si="443"/>
        <v>0</v>
      </c>
      <c r="AB485" s="16"/>
      <c r="AC485" s="17">
        <f>VLOOKUP(AB485,'DATABASE F&amp;B'!$C$3:$F$216,2,0)</f>
        <v>0</v>
      </c>
      <c r="AD485" s="18"/>
      <c r="AE485" s="19">
        <f>VLOOKUP(AB485,'DATABASE F&amp;B'!$C$3:$F$216,4,0)</f>
        <v>0</v>
      </c>
      <c r="AF485" s="19">
        <f t="shared" si="444"/>
        <v>0</v>
      </c>
      <c r="AG485" s="16"/>
      <c r="AH485" s="17">
        <f>VLOOKUP(AG485,'DATABASE F&amp;B'!$C$3:$F$216,2,0)</f>
        <v>0</v>
      </c>
      <c r="AI485" s="18"/>
      <c r="AJ485" s="19">
        <f>VLOOKUP(AG485,'DATABASE F&amp;B'!$C$3:$F$216,4,0)</f>
        <v>0</v>
      </c>
      <c r="AK485" s="19">
        <f t="shared" si="445"/>
        <v>0</v>
      </c>
      <c r="AL485" s="16"/>
      <c r="AM485" s="17">
        <f>VLOOKUP(AL485,'DATABASE F&amp;B'!$C$3:$F$216,2,0)</f>
        <v>0</v>
      </c>
      <c r="AN485" s="18"/>
      <c r="AO485" s="19">
        <f>VLOOKUP(AL485,'DATABASE F&amp;B'!$C$3:$F$216,4,0)</f>
        <v>0</v>
      </c>
      <c r="AP485" s="19">
        <f t="shared" si="446"/>
        <v>0</v>
      </c>
      <c r="AQ485" s="16"/>
      <c r="AR485" s="17">
        <f>VLOOKUP(AQ485,'DATABASE F&amp;B'!$C$3:$F$216,2,0)</f>
        <v>0</v>
      </c>
      <c r="AS485" s="13"/>
      <c r="AT485" s="19">
        <f>VLOOKUP(AQ485,'DATABASE F&amp;B'!$C$3:$F$216,4,0)</f>
        <v>0</v>
      </c>
      <c r="AU485" s="19">
        <f t="shared" si="447"/>
        <v>0</v>
      </c>
      <c r="AV485" s="16"/>
      <c r="AW485" s="17">
        <f>VLOOKUP(AV485,'DATABASE F&amp;B'!$C$3:$F$216,2,0)</f>
        <v>0</v>
      </c>
      <c r="AX485" s="18"/>
      <c r="AY485" s="19">
        <f>VLOOKUP(AV485,'DATABASE F&amp;B'!$C$3:$F$216,4,0)</f>
        <v>0</v>
      </c>
      <c r="AZ485" s="19">
        <f t="shared" si="448"/>
        <v>0</v>
      </c>
      <c r="BA485" s="16"/>
      <c r="BB485" s="17">
        <f>VLOOKUP(BA485,'DATABASE F&amp;B'!$C$3:$F$216,2,0)</f>
        <v>0</v>
      </c>
      <c r="BC485" s="18"/>
      <c r="BD485" s="19">
        <f>VLOOKUP(BA485,'DATABASE F&amp;B'!$C$3:$F$216,4,0)</f>
        <v>0</v>
      </c>
      <c r="BE485" s="19">
        <f t="shared" si="449"/>
        <v>0</v>
      </c>
      <c r="BF485" s="16"/>
      <c r="BG485" s="17">
        <f>VLOOKUP(BF485,'DATABASE F&amp;B'!$C$3:$F$216,2,0)</f>
        <v>0</v>
      </c>
      <c r="BH485" s="18"/>
      <c r="BI485" s="19">
        <f>VLOOKUP(BF485,'DATABASE F&amp;B'!$C$3:$F$216,4,0)</f>
        <v>0</v>
      </c>
      <c r="BJ485" s="19">
        <f t="shared" si="450"/>
        <v>0</v>
      </c>
      <c r="BK485" s="16"/>
      <c r="BL485" s="17">
        <f>VLOOKUP(BK485,'DATABASE F&amp;B'!$C$3:$F$210,2,0)</f>
        <v>0</v>
      </c>
      <c r="BM485" s="18"/>
      <c r="BN485" s="19">
        <f>VLOOKUP(BK485,'DATABASE F&amp;B'!$C$3:$F$210,4,0)</f>
        <v>0</v>
      </c>
      <c r="BO485" s="19">
        <f t="shared" si="451"/>
        <v>0</v>
      </c>
      <c r="BP485" s="16"/>
      <c r="BQ485" s="17">
        <f>VLOOKUP(BP485,'DATABASE F&amp;B'!$C$3:$F$210,2,0)</f>
        <v>0</v>
      </c>
      <c r="BR485" s="18"/>
      <c r="BS485" s="19">
        <f>VLOOKUP(BP485,'DATABASE F&amp;B'!$C$3:$F$210,4,0)</f>
        <v>0</v>
      </c>
      <c r="BT485" s="19">
        <f t="shared" si="452"/>
        <v>0</v>
      </c>
      <c r="BU485" s="16"/>
      <c r="BV485" s="17">
        <f>VLOOKUP(BU485,'DATABASE F&amp;B'!$C$3:$F$210,2,0)</f>
        <v>0</v>
      </c>
      <c r="BW485" s="18"/>
      <c r="BX485" s="19">
        <f>VLOOKUP(BU485,'DATABASE F&amp;B'!$C$3:$F$210,4,0)</f>
        <v>0</v>
      </c>
      <c r="BY485" s="19">
        <f t="shared" si="453"/>
        <v>0</v>
      </c>
      <c r="BZ485" s="16"/>
      <c r="CA485" s="17">
        <f>VLOOKUP(BZ485,'DATABASE F&amp;B'!$C$3:$F$210,2,0)</f>
        <v>0</v>
      </c>
      <c r="CB485" s="18"/>
      <c r="CC485" s="19">
        <f>VLOOKUP(BZ485,'DATABASE F&amp;B'!$C$3:$F$210,4,0)</f>
        <v>0</v>
      </c>
      <c r="CD485" s="19">
        <f t="shared" si="454"/>
        <v>0</v>
      </c>
    </row>
    <row r="486" spans="1:82" ht="13.5" x14ac:dyDescent="0.25">
      <c r="A486" s="32" t="str">
        <f t="shared" si="434"/>
        <v>--20</v>
      </c>
      <c r="B486" s="22">
        <f t="shared" ref="B486:C486" si="491">B485+1</f>
        <v>482</v>
      </c>
      <c r="C486" s="22">
        <f t="shared" si="491"/>
        <v>482</v>
      </c>
      <c r="D486" s="34"/>
      <c r="E486" s="35"/>
      <c r="F486" s="35"/>
      <c r="G486" s="52"/>
      <c r="H486" s="36" t="str">
        <f t="shared" si="459"/>
        <v>RJ--482</v>
      </c>
      <c r="I486" s="36" t="str">
        <f t="shared" si="436"/>
        <v>--20</v>
      </c>
      <c r="J486" s="37" t="e">
        <f>VLOOKUP(D486,Laporan!$C$4:$D$34,2,0)</f>
        <v>#N/A</v>
      </c>
      <c r="K486" s="48"/>
      <c r="L486" s="13"/>
      <c r="M486" s="19">
        <f>SUMIF('DATABASE Room'!$B$3:$B$7,L486,'DATABASE Room'!$D$3:$D$7)</f>
        <v>0</v>
      </c>
      <c r="N486" s="13"/>
      <c r="O486" s="21">
        <f t="shared" si="437"/>
        <v>0</v>
      </c>
      <c r="P486" s="38"/>
      <c r="Q486" s="19">
        <f t="shared" si="438"/>
        <v>0</v>
      </c>
      <c r="R486" s="21">
        <f t="shared" si="439"/>
        <v>0</v>
      </c>
      <c r="S486" s="19">
        <f t="shared" si="440"/>
        <v>0</v>
      </c>
      <c r="T486" s="19">
        <f t="shared" si="441"/>
        <v>0</v>
      </c>
      <c r="U486" s="21">
        <f t="shared" si="442"/>
        <v>0</v>
      </c>
      <c r="V486" s="39"/>
      <c r="W486" s="16"/>
      <c r="X486" s="17">
        <f>VLOOKUP(W486,'DATABASE F&amp;B'!$C$3:$F$216,2,0)</f>
        <v>0</v>
      </c>
      <c r="Y486" s="18"/>
      <c r="Z486" s="19">
        <f>VLOOKUP(W486,'DATABASE F&amp;B'!$C$3:$F$216,4,0)</f>
        <v>0</v>
      </c>
      <c r="AA486" s="19">
        <f t="shared" si="443"/>
        <v>0</v>
      </c>
      <c r="AB486" s="16"/>
      <c r="AC486" s="17">
        <f>VLOOKUP(AB486,'DATABASE F&amp;B'!$C$3:$F$216,2,0)</f>
        <v>0</v>
      </c>
      <c r="AD486" s="18"/>
      <c r="AE486" s="19">
        <f>VLOOKUP(AB486,'DATABASE F&amp;B'!$C$3:$F$216,4,0)</f>
        <v>0</v>
      </c>
      <c r="AF486" s="19">
        <f t="shared" si="444"/>
        <v>0</v>
      </c>
      <c r="AG486" s="16"/>
      <c r="AH486" s="17">
        <f>VLOOKUP(AG486,'DATABASE F&amp;B'!$C$3:$F$216,2,0)</f>
        <v>0</v>
      </c>
      <c r="AI486" s="18"/>
      <c r="AJ486" s="19">
        <f>VLOOKUP(AG486,'DATABASE F&amp;B'!$C$3:$F$216,4,0)</f>
        <v>0</v>
      </c>
      <c r="AK486" s="19">
        <f t="shared" si="445"/>
        <v>0</v>
      </c>
      <c r="AL486" s="16"/>
      <c r="AM486" s="17">
        <f>VLOOKUP(AL486,'DATABASE F&amp;B'!$C$3:$F$216,2,0)</f>
        <v>0</v>
      </c>
      <c r="AN486" s="18"/>
      <c r="AO486" s="19">
        <f>VLOOKUP(AL486,'DATABASE F&amp;B'!$C$3:$F$216,4,0)</f>
        <v>0</v>
      </c>
      <c r="AP486" s="19">
        <f t="shared" si="446"/>
        <v>0</v>
      </c>
      <c r="AQ486" s="16"/>
      <c r="AR486" s="17">
        <f>VLOOKUP(AQ486,'DATABASE F&amp;B'!$C$3:$F$216,2,0)</f>
        <v>0</v>
      </c>
      <c r="AS486" s="13"/>
      <c r="AT486" s="19">
        <f>VLOOKUP(AQ486,'DATABASE F&amp;B'!$C$3:$F$216,4,0)</f>
        <v>0</v>
      </c>
      <c r="AU486" s="19">
        <f t="shared" si="447"/>
        <v>0</v>
      </c>
      <c r="AV486" s="16"/>
      <c r="AW486" s="17">
        <f>VLOOKUP(AV486,'DATABASE F&amp;B'!$C$3:$F$216,2,0)</f>
        <v>0</v>
      </c>
      <c r="AX486" s="18"/>
      <c r="AY486" s="19">
        <f>VLOOKUP(AV486,'DATABASE F&amp;B'!$C$3:$F$216,4,0)</f>
        <v>0</v>
      </c>
      <c r="AZ486" s="19">
        <f t="shared" si="448"/>
        <v>0</v>
      </c>
      <c r="BA486" s="16"/>
      <c r="BB486" s="17">
        <f>VLOOKUP(BA486,'DATABASE F&amp;B'!$C$3:$F$216,2,0)</f>
        <v>0</v>
      </c>
      <c r="BC486" s="18"/>
      <c r="BD486" s="19">
        <f>VLOOKUP(BA486,'DATABASE F&amp;B'!$C$3:$F$216,4,0)</f>
        <v>0</v>
      </c>
      <c r="BE486" s="19">
        <f t="shared" si="449"/>
        <v>0</v>
      </c>
      <c r="BF486" s="16"/>
      <c r="BG486" s="17">
        <f>VLOOKUP(BF486,'DATABASE F&amp;B'!$C$3:$F$216,2,0)</f>
        <v>0</v>
      </c>
      <c r="BH486" s="18"/>
      <c r="BI486" s="19">
        <f>VLOOKUP(BF486,'DATABASE F&amp;B'!$C$3:$F$216,4,0)</f>
        <v>0</v>
      </c>
      <c r="BJ486" s="19">
        <f t="shared" si="450"/>
        <v>0</v>
      </c>
      <c r="BK486" s="16"/>
      <c r="BL486" s="17">
        <f>VLOOKUP(BK486,'DATABASE F&amp;B'!$C$3:$F$210,2,0)</f>
        <v>0</v>
      </c>
      <c r="BM486" s="18"/>
      <c r="BN486" s="19">
        <f>VLOOKUP(BK486,'DATABASE F&amp;B'!$C$3:$F$210,4,0)</f>
        <v>0</v>
      </c>
      <c r="BO486" s="19">
        <f t="shared" si="451"/>
        <v>0</v>
      </c>
      <c r="BP486" s="16"/>
      <c r="BQ486" s="17">
        <f>VLOOKUP(BP486,'DATABASE F&amp;B'!$C$3:$F$210,2,0)</f>
        <v>0</v>
      </c>
      <c r="BR486" s="18"/>
      <c r="BS486" s="19">
        <f>VLOOKUP(BP486,'DATABASE F&amp;B'!$C$3:$F$210,4,0)</f>
        <v>0</v>
      </c>
      <c r="BT486" s="19">
        <f t="shared" si="452"/>
        <v>0</v>
      </c>
      <c r="BU486" s="16"/>
      <c r="BV486" s="17">
        <f>VLOOKUP(BU486,'DATABASE F&amp;B'!$C$3:$F$210,2,0)</f>
        <v>0</v>
      </c>
      <c r="BW486" s="18"/>
      <c r="BX486" s="19">
        <f>VLOOKUP(BU486,'DATABASE F&amp;B'!$C$3:$F$210,4,0)</f>
        <v>0</v>
      </c>
      <c r="BY486" s="19">
        <f t="shared" si="453"/>
        <v>0</v>
      </c>
      <c r="BZ486" s="16"/>
      <c r="CA486" s="17">
        <f>VLOOKUP(BZ486,'DATABASE F&amp;B'!$C$3:$F$210,2,0)</f>
        <v>0</v>
      </c>
      <c r="CB486" s="18"/>
      <c r="CC486" s="19">
        <f>VLOOKUP(BZ486,'DATABASE F&amp;B'!$C$3:$F$210,4,0)</f>
        <v>0</v>
      </c>
      <c r="CD486" s="19">
        <f t="shared" si="454"/>
        <v>0</v>
      </c>
    </row>
    <row r="487" spans="1:82" ht="13.5" x14ac:dyDescent="0.25">
      <c r="A487" s="32" t="str">
        <f t="shared" si="434"/>
        <v>--20</v>
      </c>
      <c r="B487" s="22">
        <f t="shared" ref="B487:C487" si="492">B486+1</f>
        <v>483</v>
      </c>
      <c r="C487" s="22">
        <f t="shared" si="492"/>
        <v>483</v>
      </c>
      <c r="D487" s="34"/>
      <c r="E487" s="35"/>
      <c r="F487" s="35"/>
      <c r="G487" s="52"/>
      <c r="H487" s="36" t="str">
        <f t="shared" si="459"/>
        <v>RJ--483</v>
      </c>
      <c r="I487" s="36" t="str">
        <f t="shared" si="436"/>
        <v>--20</v>
      </c>
      <c r="J487" s="37" t="e">
        <f>VLOOKUP(D487,Laporan!$C$4:$D$34,2,0)</f>
        <v>#N/A</v>
      </c>
      <c r="K487" s="48"/>
      <c r="L487" s="13"/>
      <c r="M487" s="19">
        <f>SUMIF('DATABASE Room'!$B$3:$B$7,L487,'DATABASE Room'!$D$3:$D$7)</f>
        <v>0</v>
      </c>
      <c r="N487" s="13"/>
      <c r="O487" s="21">
        <f t="shared" si="437"/>
        <v>0</v>
      </c>
      <c r="P487" s="38"/>
      <c r="Q487" s="19">
        <f t="shared" si="438"/>
        <v>0</v>
      </c>
      <c r="R487" s="21">
        <f t="shared" si="439"/>
        <v>0</v>
      </c>
      <c r="S487" s="19">
        <f t="shared" si="440"/>
        <v>0</v>
      </c>
      <c r="T487" s="19">
        <f t="shared" si="441"/>
        <v>0</v>
      </c>
      <c r="U487" s="21">
        <f t="shared" si="442"/>
        <v>0</v>
      </c>
      <c r="V487" s="39"/>
      <c r="W487" s="16"/>
      <c r="X487" s="17">
        <f>VLOOKUP(W487,'DATABASE F&amp;B'!$C$3:$F$216,2,0)</f>
        <v>0</v>
      </c>
      <c r="Y487" s="18"/>
      <c r="Z487" s="19">
        <f>VLOOKUP(W487,'DATABASE F&amp;B'!$C$3:$F$216,4,0)</f>
        <v>0</v>
      </c>
      <c r="AA487" s="19">
        <f t="shared" si="443"/>
        <v>0</v>
      </c>
      <c r="AB487" s="16"/>
      <c r="AC487" s="17">
        <f>VLOOKUP(AB487,'DATABASE F&amp;B'!$C$3:$F$216,2,0)</f>
        <v>0</v>
      </c>
      <c r="AD487" s="18"/>
      <c r="AE487" s="19">
        <f>VLOOKUP(AB487,'DATABASE F&amp;B'!$C$3:$F$216,4,0)</f>
        <v>0</v>
      </c>
      <c r="AF487" s="19">
        <f t="shared" si="444"/>
        <v>0</v>
      </c>
      <c r="AG487" s="16"/>
      <c r="AH487" s="17">
        <f>VLOOKUP(AG487,'DATABASE F&amp;B'!$C$3:$F$216,2,0)</f>
        <v>0</v>
      </c>
      <c r="AI487" s="18"/>
      <c r="AJ487" s="19">
        <f>VLOOKUP(AG487,'DATABASE F&amp;B'!$C$3:$F$216,4,0)</f>
        <v>0</v>
      </c>
      <c r="AK487" s="19">
        <f t="shared" si="445"/>
        <v>0</v>
      </c>
      <c r="AL487" s="16"/>
      <c r="AM487" s="17">
        <f>VLOOKUP(AL487,'DATABASE F&amp;B'!$C$3:$F$216,2,0)</f>
        <v>0</v>
      </c>
      <c r="AN487" s="18"/>
      <c r="AO487" s="19">
        <f>VLOOKUP(AL487,'DATABASE F&amp;B'!$C$3:$F$216,4,0)</f>
        <v>0</v>
      </c>
      <c r="AP487" s="19">
        <f t="shared" si="446"/>
        <v>0</v>
      </c>
      <c r="AQ487" s="16"/>
      <c r="AR487" s="17">
        <f>VLOOKUP(AQ487,'DATABASE F&amp;B'!$C$3:$F$216,2,0)</f>
        <v>0</v>
      </c>
      <c r="AS487" s="13"/>
      <c r="AT487" s="19">
        <f>VLOOKUP(AQ487,'DATABASE F&amp;B'!$C$3:$F$216,4,0)</f>
        <v>0</v>
      </c>
      <c r="AU487" s="19">
        <f t="shared" si="447"/>
        <v>0</v>
      </c>
      <c r="AV487" s="16"/>
      <c r="AW487" s="17">
        <f>VLOOKUP(AV487,'DATABASE F&amp;B'!$C$3:$F$216,2,0)</f>
        <v>0</v>
      </c>
      <c r="AX487" s="18"/>
      <c r="AY487" s="19">
        <f>VLOOKUP(AV487,'DATABASE F&amp;B'!$C$3:$F$216,4,0)</f>
        <v>0</v>
      </c>
      <c r="AZ487" s="19">
        <f t="shared" si="448"/>
        <v>0</v>
      </c>
      <c r="BA487" s="16"/>
      <c r="BB487" s="17">
        <f>VLOOKUP(BA487,'DATABASE F&amp;B'!$C$3:$F$216,2,0)</f>
        <v>0</v>
      </c>
      <c r="BC487" s="18"/>
      <c r="BD487" s="19">
        <f>VLOOKUP(BA487,'DATABASE F&amp;B'!$C$3:$F$216,4,0)</f>
        <v>0</v>
      </c>
      <c r="BE487" s="19">
        <f t="shared" si="449"/>
        <v>0</v>
      </c>
      <c r="BF487" s="16"/>
      <c r="BG487" s="17">
        <f>VLOOKUP(BF487,'DATABASE F&amp;B'!$C$3:$F$216,2,0)</f>
        <v>0</v>
      </c>
      <c r="BH487" s="18"/>
      <c r="BI487" s="19">
        <f>VLOOKUP(BF487,'DATABASE F&amp;B'!$C$3:$F$216,4,0)</f>
        <v>0</v>
      </c>
      <c r="BJ487" s="19">
        <f t="shared" si="450"/>
        <v>0</v>
      </c>
      <c r="BK487" s="16"/>
      <c r="BL487" s="17">
        <f>VLOOKUP(BK487,'DATABASE F&amp;B'!$C$3:$F$210,2,0)</f>
        <v>0</v>
      </c>
      <c r="BM487" s="18"/>
      <c r="BN487" s="19">
        <f>VLOOKUP(BK487,'DATABASE F&amp;B'!$C$3:$F$210,4,0)</f>
        <v>0</v>
      </c>
      <c r="BO487" s="19">
        <f t="shared" si="451"/>
        <v>0</v>
      </c>
      <c r="BP487" s="16"/>
      <c r="BQ487" s="17">
        <f>VLOOKUP(BP487,'DATABASE F&amp;B'!$C$3:$F$210,2,0)</f>
        <v>0</v>
      </c>
      <c r="BR487" s="18"/>
      <c r="BS487" s="19">
        <f>VLOOKUP(BP487,'DATABASE F&amp;B'!$C$3:$F$210,4,0)</f>
        <v>0</v>
      </c>
      <c r="BT487" s="19">
        <f t="shared" si="452"/>
        <v>0</v>
      </c>
      <c r="BU487" s="16"/>
      <c r="BV487" s="17">
        <f>VLOOKUP(BU487,'DATABASE F&amp;B'!$C$3:$F$210,2,0)</f>
        <v>0</v>
      </c>
      <c r="BW487" s="18"/>
      <c r="BX487" s="19">
        <f>VLOOKUP(BU487,'DATABASE F&amp;B'!$C$3:$F$210,4,0)</f>
        <v>0</v>
      </c>
      <c r="BY487" s="19">
        <f t="shared" si="453"/>
        <v>0</v>
      </c>
      <c r="BZ487" s="16"/>
      <c r="CA487" s="17">
        <f>VLOOKUP(BZ487,'DATABASE F&amp;B'!$C$3:$F$210,2,0)</f>
        <v>0</v>
      </c>
      <c r="CB487" s="18"/>
      <c r="CC487" s="19">
        <f>VLOOKUP(BZ487,'DATABASE F&amp;B'!$C$3:$F$210,4,0)</f>
        <v>0</v>
      </c>
      <c r="CD487" s="19">
        <f t="shared" si="454"/>
        <v>0</v>
      </c>
    </row>
    <row r="488" spans="1:82" ht="13.5" x14ac:dyDescent="0.25">
      <c r="A488" s="32" t="str">
        <f t="shared" si="434"/>
        <v>--20</v>
      </c>
      <c r="B488" s="22">
        <f t="shared" ref="B488:C488" si="493">B487+1</f>
        <v>484</v>
      </c>
      <c r="C488" s="22">
        <f t="shared" si="493"/>
        <v>484</v>
      </c>
      <c r="D488" s="34"/>
      <c r="E488" s="35"/>
      <c r="F488" s="35"/>
      <c r="G488" s="52"/>
      <c r="H488" s="36" t="str">
        <f t="shared" si="459"/>
        <v>RJ--484</v>
      </c>
      <c r="I488" s="36" t="str">
        <f t="shared" si="436"/>
        <v>--20</v>
      </c>
      <c r="J488" s="37" t="e">
        <f>VLOOKUP(D488,Laporan!$C$4:$D$34,2,0)</f>
        <v>#N/A</v>
      </c>
      <c r="K488" s="48"/>
      <c r="L488" s="13"/>
      <c r="M488" s="19">
        <f>SUMIF('DATABASE Room'!$B$3:$B$7,L488,'DATABASE Room'!$D$3:$D$7)</f>
        <v>0</v>
      </c>
      <c r="N488" s="13"/>
      <c r="O488" s="21">
        <f t="shared" si="437"/>
        <v>0</v>
      </c>
      <c r="P488" s="38"/>
      <c r="Q488" s="19">
        <f t="shared" si="438"/>
        <v>0</v>
      </c>
      <c r="R488" s="21">
        <f t="shared" si="439"/>
        <v>0</v>
      </c>
      <c r="S488" s="19">
        <f t="shared" si="440"/>
        <v>0</v>
      </c>
      <c r="T488" s="19">
        <f t="shared" si="441"/>
        <v>0</v>
      </c>
      <c r="U488" s="21">
        <f t="shared" si="442"/>
        <v>0</v>
      </c>
      <c r="V488" s="39"/>
      <c r="W488" s="16"/>
      <c r="X488" s="17">
        <f>VLOOKUP(W488,'DATABASE F&amp;B'!$C$3:$F$216,2,0)</f>
        <v>0</v>
      </c>
      <c r="Y488" s="18"/>
      <c r="Z488" s="19">
        <f>VLOOKUP(W488,'DATABASE F&amp;B'!$C$3:$F$216,4,0)</f>
        <v>0</v>
      </c>
      <c r="AA488" s="19">
        <f t="shared" si="443"/>
        <v>0</v>
      </c>
      <c r="AB488" s="16"/>
      <c r="AC488" s="17">
        <f>VLOOKUP(AB488,'DATABASE F&amp;B'!$C$3:$F$216,2,0)</f>
        <v>0</v>
      </c>
      <c r="AD488" s="18"/>
      <c r="AE488" s="19">
        <f>VLOOKUP(AB488,'DATABASE F&amp;B'!$C$3:$F$216,4,0)</f>
        <v>0</v>
      </c>
      <c r="AF488" s="19">
        <f t="shared" si="444"/>
        <v>0</v>
      </c>
      <c r="AG488" s="16"/>
      <c r="AH488" s="17">
        <f>VLOOKUP(AG488,'DATABASE F&amp;B'!$C$3:$F$216,2,0)</f>
        <v>0</v>
      </c>
      <c r="AI488" s="18"/>
      <c r="AJ488" s="19">
        <f>VLOOKUP(AG488,'DATABASE F&amp;B'!$C$3:$F$216,4,0)</f>
        <v>0</v>
      </c>
      <c r="AK488" s="19">
        <f t="shared" si="445"/>
        <v>0</v>
      </c>
      <c r="AL488" s="16"/>
      <c r="AM488" s="17">
        <f>VLOOKUP(AL488,'DATABASE F&amp;B'!$C$3:$F$216,2,0)</f>
        <v>0</v>
      </c>
      <c r="AN488" s="18"/>
      <c r="AO488" s="19">
        <f>VLOOKUP(AL488,'DATABASE F&amp;B'!$C$3:$F$216,4,0)</f>
        <v>0</v>
      </c>
      <c r="AP488" s="19">
        <f t="shared" si="446"/>
        <v>0</v>
      </c>
      <c r="AQ488" s="16"/>
      <c r="AR488" s="17">
        <f>VLOOKUP(AQ488,'DATABASE F&amp;B'!$C$3:$F$216,2,0)</f>
        <v>0</v>
      </c>
      <c r="AS488" s="13"/>
      <c r="AT488" s="19">
        <f>VLOOKUP(AQ488,'DATABASE F&amp;B'!$C$3:$F$216,4,0)</f>
        <v>0</v>
      </c>
      <c r="AU488" s="19">
        <f t="shared" si="447"/>
        <v>0</v>
      </c>
      <c r="AV488" s="16"/>
      <c r="AW488" s="17">
        <f>VLOOKUP(AV488,'DATABASE F&amp;B'!$C$3:$F$216,2,0)</f>
        <v>0</v>
      </c>
      <c r="AX488" s="18"/>
      <c r="AY488" s="19">
        <f>VLOOKUP(AV488,'DATABASE F&amp;B'!$C$3:$F$216,4,0)</f>
        <v>0</v>
      </c>
      <c r="AZ488" s="19">
        <f t="shared" si="448"/>
        <v>0</v>
      </c>
      <c r="BA488" s="16"/>
      <c r="BB488" s="17">
        <f>VLOOKUP(BA488,'DATABASE F&amp;B'!$C$3:$F$216,2,0)</f>
        <v>0</v>
      </c>
      <c r="BC488" s="18"/>
      <c r="BD488" s="19">
        <f>VLOOKUP(BA488,'DATABASE F&amp;B'!$C$3:$F$216,4,0)</f>
        <v>0</v>
      </c>
      <c r="BE488" s="19">
        <f t="shared" si="449"/>
        <v>0</v>
      </c>
      <c r="BF488" s="16"/>
      <c r="BG488" s="17">
        <f>VLOOKUP(BF488,'DATABASE F&amp;B'!$C$3:$F$216,2,0)</f>
        <v>0</v>
      </c>
      <c r="BH488" s="18"/>
      <c r="BI488" s="19">
        <f>VLOOKUP(BF488,'DATABASE F&amp;B'!$C$3:$F$216,4,0)</f>
        <v>0</v>
      </c>
      <c r="BJ488" s="19">
        <f t="shared" si="450"/>
        <v>0</v>
      </c>
      <c r="BK488" s="16"/>
      <c r="BL488" s="17">
        <f>VLOOKUP(BK488,'DATABASE F&amp;B'!$C$3:$F$210,2,0)</f>
        <v>0</v>
      </c>
      <c r="BM488" s="18"/>
      <c r="BN488" s="19">
        <f>VLOOKUP(BK488,'DATABASE F&amp;B'!$C$3:$F$210,4,0)</f>
        <v>0</v>
      </c>
      <c r="BO488" s="19">
        <f t="shared" si="451"/>
        <v>0</v>
      </c>
      <c r="BP488" s="16"/>
      <c r="BQ488" s="17">
        <f>VLOOKUP(BP488,'DATABASE F&amp;B'!$C$3:$F$210,2,0)</f>
        <v>0</v>
      </c>
      <c r="BR488" s="18"/>
      <c r="BS488" s="19">
        <f>VLOOKUP(BP488,'DATABASE F&amp;B'!$C$3:$F$210,4,0)</f>
        <v>0</v>
      </c>
      <c r="BT488" s="19">
        <f t="shared" si="452"/>
        <v>0</v>
      </c>
      <c r="BU488" s="16"/>
      <c r="BV488" s="17">
        <f>VLOOKUP(BU488,'DATABASE F&amp;B'!$C$3:$F$210,2,0)</f>
        <v>0</v>
      </c>
      <c r="BW488" s="18"/>
      <c r="BX488" s="19">
        <f>VLOOKUP(BU488,'DATABASE F&amp;B'!$C$3:$F$210,4,0)</f>
        <v>0</v>
      </c>
      <c r="BY488" s="19">
        <f t="shared" si="453"/>
        <v>0</v>
      </c>
      <c r="BZ488" s="16"/>
      <c r="CA488" s="17">
        <f>VLOOKUP(BZ488,'DATABASE F&amp;B'!$C$3:$F$210,2,0)</f>
        <v>0</v>
      </c>
      <c r="CB488" s="18"/>
      <c r="CC488" s="19">
        <f>VLOOKUP(BZ488,'DATABASE F&amp;B'!$C$3:$F$210,4,0)</f>
        <v>0</v>
      </c>
      <c r="CD488" s="19">
        <f t="shared" si="454"/>
        <v>0</v>
      </c>
    </row>
    <row r="489" spans="1:82" ht="13.5" x14ac:dyDescent="0.25">
      <c r="A489" s="32" t="str">
        <f t="shared" si="434"/>
        <v>--20</v>
      </c>
      <c r="B489" s="22">
        <f t="shared" ref="B489:C489" si="494">B488+1</f>
        <v>485</v>
      </c>
      <c r="C489" s="22">
        <f t="shared" si="494"/>
        <v>485</v>
      </c>
      <c r="D489" s="34"/>
      <c r="E489" s="35"/>
      <c r="F489" s="35"/>
      <c r="G489" s="52"/>
      <c r="H489" s="36" t="str">
        <f t="shared" si="459"/>
        <v>RJ--485</v>
      </c>
      <c r="I489" s="36" t="str">
        <f t="shared" si="436"/>
        <v>--20</v>
      </c>
      <c r="J489" s="37" t="e">
        <f>VLOOKUP(D489,Laporan!$C$4:$D$34,2,0)</f>
        <v>#N/A</v>
      </c>
      <c r="K489" s="48"/>
      <c r="L489" s="13"/>
      <c r="M489" s="19">
        <f>SUMIF('DATABASE Room'!$B$3:$B$7,L489,'DATABASE Room'!$D$3:$D$7)</f>
        <v>0</v>
      </c>
      <c r="N489" s="13"/>
      <c r="O489" s="21">
        <f t="shared" si="437"/>
        <v>0</v>
      </c>
      <c r="P489" s="38"/>
      <c r="Q489" s="19">
        <f t="shared" si="438"/>
        <v>0</v>
      </c>
      <c r="R489" s="21">
        <f t="shared" si="439"/>
        <v>0</v>
      </c>
      <c r="S489" s="19">
        <f t="shared" si="440"/>
        <v>0</v>
      </c>
      <c r="T489" s="19">
        <f t="shared" si="441"/>
        <v>0</v>
      </c>
      <c r="U489" s="21">
        <f t="shared" si="442"/>
        <v>0</v>
      </c>
      <c r="V489" s="39"/>
      <c r="W489" s="16"/>
      <c r="X489" s="17">
        <f>VLOOKUP(W489,'DATABASE F&amp;B'!$C$3:$F$216,2,0)</f>
        <v>0</v>
      </c>
      <c r="Y489" s="18"/>
      <c r="Z489" s="19">
        <f>VLOOKUP(W489,'DATABASE F&amp;B'!$C$3:$F$216,4,0)</f>
        <v>0</v>
      </c>
      <c r="AA489" s="19">
        <f t="shared" si="443"/>
        <v>0</v>
      </c>
      <c r="AB489" s="16"/>
      <c r="AC489" s="17">
        <f>VLOOKUP(AB489,'DATABASE F&amp;B'!$C$3:$F$216,2,0)</f>
        <v>0</v>
      </c>
      <c r="AD489" s="18"/>
      <c r="AE489" s="19">
        <f>VLOOKUP(AB489,'DATABASE F&amp;B'!$C$3:$F$216,4,0)</f>
        <v>0</v>
      </c>
      <c r="AF489" s="19">
        <f t="shared" si="444"/>
        <v>0</v>
      </c>
      <c r="AG489" s="16"/>
      <c r="AH489" s="17">
        <f>VLOOKUP(AG489,'DATABASE F&amp;B'!$C$3:$F$216,2,0)</f>
        <v>0</v>
      </c>
      <c r="AI489" s="18"/>
      <c r="AJ489" s="19">
        <f>VLOOKUP(AG489,'DATABASE F&amp;B'!$C$3:$F$216,4,0)</f>
        <v>0</v>
      </c>
      <c r="AK489" s="19">
        <f t="shared" si="445"/>
        <v>0</v>
      </c>
      <c r="AL489" s="16"/>
      <c r="AM489" s="17">
        <f>VLOOKUP(AL489,'DATABASE F&amp;B'!$C$3:$F$216,2,0)</f>
        <v>0</v>
      </c>
      <c r="AN489" s="18"/>
      <c r="AO489" s="19">
        <f>VLOOKUP(AL489,'DATABASE F&amp;B'!$C$3:$F$216,4,0)</f>
        <v>0</v>
      </c>
      <c r="AP489" s="19">
        <f t="shared" si="446"/>
        <v>0</v>
      </c>
      <c r="AQ489" s="16"/>
      <c r="AR489" s="17">
        <f>VLOOKUP(AQ489,'DATABASE F&amp;B'!$C$3:$F$216,2,0)</f>
        <v>0</v>
      </c>
      <c r="AS489" s="13"/>
      <c r="AT489" s="19">
        <f>VLOOKUP(AQ489,'DATABASE F&amp;B'!$C$3:$F$216,4,0)</f>
        <v>0</v>
      </c>
      <c r="AU489" s="19">
        <f t="shared" si="447"/>
        <v>0</v>
      </c>
      <c r="AV489" s="16"/>
      <c r="AW489" s="17">
        <f>VLOOKUP(AV489,'DATABASE F&amp;B'!$C$3:$F$216,2,0)</f>
        <v>0</v>
      </c>
      <c r="AX489" s="18"/>
      <c r="AY489" s="19">
        <f>VLOOKUP(AV489,'DATABASE F&amp;B'!$C$3:$F$216,4,0)</f>
        <v>0</v>
      </c>
      <c r="AZ489" s="19">
        <f t="shared" si="448"/>
        <v>0</v>
      </c>
      <c r="BA489" s="16"/>
      <c r="BB489" s="17">
        <f>VLOOKUP(BA489,'DATABASE F&amp;B'!$C$3:$F$216,2,0)</f>
        <v>0</v>
      </c>
      <c r="BC489" s="18"/>
      <c r="BD489" s="19">
        <f>VLOOKUP(BA489,'DATABASE F&amp;B'!$C$3:$F$216,4,0)</f>
        <v>0</v>
      </c>
      <c r="BE489" s="19">
        <f t="shared" si="449"/>
        <v>0</v>
      </c>
      <c r="BF489" s="16"/>
      <c r="BG489" s="17">
        <f>VLOOKUP(BF489,'DATABASE F&amp;B'!$C$3:$F$216,2,0)</f>
        <v>0</v>
      </c>
      <c r="BH489" s="18"/>
      <c r="BI489" s="19">
        <f>VLOOKUP(BF489,'DATABASE F&amp;B'!$C$3:$F$216,4,0)</f>
        <v>0</v>
      </c>
      <c r="BJ489" s="19">
        <f t="shared" si="450"/>
        <v>0</v>
      </c>
      <c r="BK489" s="16"/>
      <c r="BL489" s="17">
        <f>VLOOKUP(BK489,'DATABASE F&amp;B'!$C$3:$F$210,2,0)</f>
        <v>0</v>
      </c>
      <c r="BM489" s="18"/>
      <c r="BN489" s="19">
        <f>VLOOKUP(BK489,'DATABASE F&amp;B'!$C$3:$F$210,4,0)</f>
        <v>0</v>
      </c>
      <c r="BO489" s="19">
        <f t="shared" si="451"/>
        <v>0</v>
      </c>
      <c r="BP489" s="16"/>
      <c r="BQ489" s="17">
        <f>VLOOKUP(BP489,'DATABASE F&amp;B'!$C$3:$F$210,2,0)</f>
        <v>0</v>
      </c>
      <c r="BR489" s="18"/>
      <c r="BS489" s="19">
        <f>VLOOKUP(BP489,'DATABASE F&amp;B'!$C$3:$F$210,4,0)</f>
        <v>0</v>
      </c>
      <c r="BT489" s="19">
        <f t="shared" si="452"/>
        <v>0</v>
      </c>
      <c r="BU489" s="16"/>
      <c r="BV489" s="17">
        <f>VLOOKUP(BU489,'DATABASE F&amp;B'!$C$3:$F$210,2,0)</f>
        <v>0</v>
      </c>
      <c r="BW489" s="18"/>
      <c r="BX489" s="19">
        <f>VLOOKUP(BU489,'DATABASE F&amp;B'!$C$3:$F$210,4,0)</f>
        <v>0</v>
      </c>
      <c r="BY489" s="19">
        <f t="shared" si="453"/>
        <v>0</v>
      </c>
      <c r="BZ489" s="16"/>
      <c r="CA489" s="17">
        <f>VLOOKUP(BZ489,'DATABASE F&amp;B'!$C$3:$F$210,2,0)</f>
        <v>0</v>
      </c>
      <c r="CB489" s="18"/>
      <c r="CC489" s="19">
        <f>VLOOKUP(BZ489,'DATABASE F&amp;B'!$C$3:$F$210,4,0)</f>
        <v>0</v>
      </c>
      <c r="CD489" s="19">
        <f t="shared" si="454"/>
        <v>0</v>
      </c>
    </row>
    <row r="490" spans="1:82" ht="13.5" x14ac:dyDescent="0.25">
      <c r="A490" s="32" t="str">
        <f t="shared" si="434"/>
        <v>--20</v>
      </c>
      <c r="B490" s="22">
        <f t="shared" ref="B490:C490" si="495">B489+1</f>
        <v>486</v>
      </c>
      <c r="C490" s="22">
        <f t="shared" si="495"/>
        <v>486</v>
      </c>
      <c r="D490" s="34"/>
      <c r="E490" s="35"/>
      <c r="F490" s="35"/>
      <c r="G490" s="52"/>
      <c r="H490" s="36" t="str">
        <f t="shared" si="459"/>
        <v>RJ--486</v>
      </c>
      <c r="I490" s="36" t="str">
        <f t="shared" si="436"/>
        <v>--20</v>
      </c>
      <c r="J490" s="37" t="e">
        <f>VLOOKUP(D490,Laporan!$C$4:$D$34,2,0)</f>
        <v>#N/A</v>
      </c>
      <c r="K490" s="48"/>
      <c r="L490" s="13"/>
      <c r="M490" s="19">
        <f>SUMIF('DATABASE Room'!$B$3:$B$7,L490,'DATABASE Room'!$D$3:$D$7)</f>
        <v>0</v>
      </c>
      <c r="N490" s="13"/>
      <c r="O490" s="21">
        <f t="shared" si="437"/>
        <v>0</v>
      </c>
      <c r="P490" s="38"/>
      <c r="Q490" s="19">
        <f t="shared" si="438"/>
        <v>0</v>
      </c>
      <c r="R490" s="21">
        <f t="shared" si="439"/>
        <v>0</v>
      </c>
      <c r="S490" s="19">
        <f t="shared" si="440"/>
        <v>0</v>
      </c>
      <c r="T490" s="19">
        <f t="shared" si="441"/>
        <v>0</v>
      </c>
      <c r="U490" s="21">
        <f t="shared" si="442"/>
        <v>0</v>
      </c>
      <c r="V490" s="39"/>
      <c r="W490" s="16"/>
      <c r="X490" s="17">
        <f>VLOOKUP(W490,'DATABASE F&amp;B'!$C$3:$F$216,2,0)</f>
        <v>0</v>
      </c>
      <c r="Y490" s="18"/>
      <c r="Z490" s="19">
        <f>VLOOKUP(W490,'DATABASE F&amp;B'!$C$3:$F$216,4,0)</f>
        <v>0</v>
      </c>
      <c r="AA490" s="19">
        <f t="shared" si="443"/>
        <v>0</v>
      </c>
      <c r="AB490" s="16"/>
      <c r="AC490" s="17">
        <f>VLOOKUP(AB490,'DATABASE F&amp;B'!$C$3:$F$216,2,0)</f>
        <v>0</v>
      </c>
      <c r="AD490" s="18"/>
      <c r="AE490" s="19">
        <f>VLOOKUP(AB490,'DATABASE F&amp;B'!$C$3:$F$216,4,0)</f>
        <v>0</v>
      </c>
      <c r="AF490" s="19">
        <f t="shared" si="444"/>
        <v>0</v>
      </c>
      <c r="AG490" s="16"/>
      <c r="AH490" s="17">
        <f>VLOOKUP(AG490,'DATABASE F&amp;B'!$C$3:$F$216,2,0)</f>
        <v>0</v>
      </c>
      <c r="AI490" s="18"/>
      <c r="AJ490" s="19">
        <f>VLOOKUP(AG490,'DATABASE F&amp;B'!$C$3:$F$216,4,0)</f>
        <v>0</v>
      </c>
      <c r="AK490" s="19">
        <f t="shared" si="445"/>
        <v>0</v>
      </c>
      <c r="AL490" s="16"/>
      <c r="AM490" s="17">
        <f>VLOOKUP(AL490,'DATABASE F&amp;B'!$C$3:$F$216,2,0)</f>
        <v>0</v>
      </c>
      <c r="AN490" s="18"/>
      <c r="AO490" s="19">
        <f>VLOOKUP(AL490,'DATABASE F&amp;B'!$C$3:$F$216,4,0)</f>
        <v>0</v>
      </c>
      <c r="AP490" s="19">
        <f t="shared" si="446"/>
        <v>0</v>
      </c>
      <c r="AQ490" s="16"/>
      <c r="AR490" s="17">
        <f>VLOOKUP(AQ490,'DATABASE F&amp;B'!$C$3:$F$216,2,0)</f>
        <v>0</v>
      </c>
      <c r="AS490" s="13"/>
      <c r="AT490" s="19">
        <f>VLOOKUP(AQ490,'DATABASE F&amp;B'!$C$3:$F$216,4,0)</f>
        <v>0</v>
      </c>
      <c r="AU490" s="19">
        <f t="shared" si="447"/>
        <v>0</v>
      </c>
      <c r="AV490" s="16"/>
      <c r="AW490" s="17">
        <f>VLOOKUP(AV490,'DATABASE F&amp;B'!$C$3:$F$216,2,0)</f>
        <v>0</v>
      </c>
      <c r="AX490" s="18"/>
      <c r="AY490" s="19">
        <f>VLOOKUP(AV490,'DATABASE F&amp;B'!$C$3:$F$216,4,0)</f>
        <v>0</v>
      </c>
      <c r="AZ490" s="19">
        <f t="shared" si="448"/>
        <v>0</v>
      </c>
      <c r="BA490" s="16"/>
      <c r="BB490" s="17">
        <f>VLOOKUP(BA490,'DATABASE F&amp;B'!$C$3:$F$216,2,0)</f>
        <v>0</v>
      </c>
      <c r="BC490" s="18"/>
      <c r="BD490" s="19">
        <f>VLOOKUP(BA490,'DATABASE F&amp;B'!$C$3:$F$216,4,0)</f>
        <v>0</v>
      </c>
      <c r="BE490" s="19">
        <f t="shared" si="449"/>
        <v>0</v>
      </c>
      <c r="BF490" s="16"/>
      <c r="BG490" s="17">
        <f>VLOOKUP(BF490,'DATABASE F&amp;B'!$C$3:$F$216,2,0)</f>
        <v>0</v>
      </c>
      <c r="BH490" s="18"/>
      <c r="BI490" s="19">
        <f>VLOOKUP(BF490,'DATABASE F&amp;B'!$C$3:$F$216,4,0)</f>
        <v>0</v>
      </c>
      <c r="BJ490" s="19">
        <f t="shared" si="450"/>
        <v>0</v>
      </c>
      <c r="BK490" s="16"/>
      <c r="BL490" s="17">
        <f>VLOOKUP(BK490,'DATABASE F&amp;B'!$C$3:$F$210,2,0)</f>
        <v>0</v>
      </c>
      <c r="BM490" s="18"/>
      <c r="BN490" s="19">
        <f>VLOOKUP(BK490,'DATABASE F&amp;B'!$C$3:$F$210,4,0)</f>
        <v>0</v>
      </c>
      <c r="BO490" s="19">
        <f t="shared" si="451"/>
        <v>0</v>
      </c>
      <c r="BP490" s="16"/>
      <c r="BQ490" s="17">
        <f>VLOOKUP(BP490,'DATABASE F&amp;B'!$C$3:$F$210,2,0)</f>
        <v>0</v>
      </c>
      <c r="BR490" s="18"/>
      <c r="BS490" s="19">
        <f>VLOOKUP(BP490,'DATABASE F&amp;B'!$C$3:$F$210,4,0)</f>
        <v>0</v>
      </c>
      <c r="BT490" s="19">
        <f t="shared" si="452"/>
        <v>0</v>
      </c>
      <c r="BU490" s="16"/>
      <c r="BV490" s="17">
        <f>VLOOKUP(BU490,'DATABASE F&amp;B'!$C$3:$F$210,2,0)</f>
        <v>0</v>
      </c>
      <c r="BW490" s="18"/>
      <c r="BX490" s="19">
        <f>VLOOKUP(BU490,'DATABASE F&amp;B'!$C$3:$F$210,4,0)</f>
        <v>0</v>
      </c>
      <c r="BY490" s="19">
        <f t="shared" si="453"/>
        <v>0</v>
      </c>
      <c r="BZ490" s="16"/>
      <c r="CA490" s="17">
        <f>VLOOKUP(BZ490,'DATABASE F&amp;B'!$C$3:$F$210,2,0)</f>
        <v>0</v>
      </c>
      <c r="CB490" s="18"/>
      <c r="CC490" s="19">
        <f>VLOOKUP(BZ490,'DATABASE F&amp;B'!$C$3:$F$210,4,0)</f>
        <v>0</v>
      </c>
      <c r="CD490" s="19">
        <f t="shared" si="454"/>
        <v>0</v>
      </c>
    </row>
    <row r="491" spans="1:82" ht="13.5" x14ac:dyDescent="0.25">
      <c r="A491" s="32" t="str">
        <f t="shared" si="434"/>
        <v>--20</v>
      </c>
      <c r="B491" s="22">
        <f t="shared" ref="B491:C491" si="496">B490+1</f>
        <v>487</v>
      </c>
      <c r="C491" s="22">
        <f t="shared" si="496"/>
        <v>487</v>
      </c>
      <c r="D491" s="34"/>
      <c r="E491" s="35"/>
      <c r="F491" s="35"/>
      <c r="G491" s="52"/>
      <c r="H491" s="36" t="str">
        <f t="shared" si="459"/>
        <v>RJ--487</v>
      </c>
      <c r="I491" s="36" t="str">
        <f t="shared" si="436"/>
        <v>--20</v>
      </c>
      <c r="J491" s="37" t="e">
        <f>VLOOKUP(D491,Laporan!$C$4:$D$34,2,0)</f>
        <v>#N/A</v>
      </c>
      <c r="K491" s="48"/>
      <c r="L491" s="13"/>
      <c r="M491" s="19">
        <f>SUMIF('DATABASE Room'!$B$3:$B$7,L491,'DATABASE Room'!$D$3:$D$7)</f>
        <v>0</v>
      </c>
      <c r="N491" s="13"/>
      <c r="O491" s="21">
        <f t="shared" si="437"/>
        <v>0</v>
      </c>
      <c r="P491" s="38"/>
      <c r="Q491" s="19">
        <f t="shared" si="438"/>
        <v>0</v>
      </c>
      <c r="R491" s="21">
        <f t="shared" si="439"/>
        <v>0</v>
      </c>
      <c r="S491" s="19">
        <f t="shared" si="440"/>
        <v>0</v>
      </c>
      <c r="T491" s="19">
        <f t="shared" si="441"/>
        <v>0</v>
      </c>
      <c r="U491" s="21">
        <f t="shared" si="442"/>
        <v>0</v>
      </c>
      <c r="V491" s="39"/>
      <c r="W491" s="16"/>
      <c r="X491" s="17">
        <f>VLOOKUP(W491,'DATABASE F&amp;B'!$C$3:$F$216,2,0)</f>
        <v>0</v>
      </c>
      <c r="Y491" s="18"/>
      <c r="Z491" s="19">
        <f>VLOOKUP(W491,'DATABASE F&amp;B'!$C$3:$F$216,4,0)</f>
        <v>0</v>
      </c>
      <c r="AA491" s="19">
        <f t="shared" si="443"/>
        <v>0</v>
      </c>
      <c r="AB491" s="16"/>
      <c r="AC491" s="17">
        <f>VLOOKUP(AB491,'DATABASE F&amp;B'!$C$3:$F$216,2,0)</f>
        <v>0</v>
      </c>
      <c r="AD491" s="18"/>
      <c r="AE491" s="19">
        <f>VLOOKUP(AB491,'DATABASE F&amp;B'!$C$3:$F$216,4,0)</f>
        <v>0</v>
      </c>
      <c r="AF491" s="19">
        <f t="shared" si="444"/>
        <v>0</v>
      </c>
      <c r="AG491" s="16"/>
      <c r="AH491" s="17">
        <f>VLOOKUP(AG491,'DATABASE F&amp;B'!$C$3:$F$216,2,0)</f>
        <v>0</v>
      </c>
      <c r="AI491" s="18"/>
      <c r="AJ491" s="19">
        <f>VLOOKUP(AG491,'DATABASE F&amp;B'!$C$3:$F$216,4,0)</f>
        <v>0</v>
      </c>
      <c r="AK491" s="19">
        <f t="shared" si="445"/>
        <v>0</v>
      </c>
      <c r="AL491" s="16"/>
      <c r="AM491" s="17">
        <f>VLOOKUP(AL491,'DATABASE F&amp;B'!$C$3:$F$216,2,0)</f>
        <v>0</v>
      </c>
      <c r="AN491" s="18"/>
      <c r="AO491" s="19">
        <f>VLOOKUP(AL491,'DATABASE F&amp;B'!$C$3:$F$216,4,0)</f>
        <v>0</v>
      </c>
      <c r="AP491" s="19">
        <f t="shared" si="446"/>
        <v>0</v>
      </c>
      <c r="AQ491" s="16"/>
      <c r="AR491" s="17">
        <f>VLOOKUP(AQ491,'DATABASE F&amp;B'!$C$3:$F$216,2,0)</f>
        <v>0</v>
      </c>
      <c r="AS491" s="13"/>
      <c r="AT491" s="19">
        <f>VLOOKUP(AQ491,'DATABASE F&amp;B'!$C$3:$F$216,4,0)</f>
        <v>0</v>
      </c>
      <c r="AU491" s="19">
        <f t="shared" si="447"/>
        <v>0</v>
      </c>
      <c r="AV491" s="16"/>
      <c r="AW491" s="17">
        <f>VLOOKUP(AV491,'DATABASE F&amp;B'!$C$3:$F$216,2,0)</f>
        <v>0</v>
      </c>
      <c r="AX491" s="18"/>
      <c r="AY491" s="19">
        <f>VLOOKUP(AV491,'DATABASE F&amp;B'!$C$3:$F$216,4,0)</f>
        <v>0</v>
      </c>
      <c r="AZ491" s="19">
        <f t="shared" si="448"/>
        <v>0</v>
      </c>
      <c r="BA491" s="16"/>
      <c r="BB491" s="17">
        <f>VLOOKUP(BA491,'DATABASE F&amp;B'!$C$3:$F$216,2,0)</f>
        <v>0</v>
      </c>
      <c r="BC491" s="18"/>
      <c r="BD491" s="19">
        <f>VLOOKUP(BA491,'DATABASE F&amp;B'!$C$3:$F$216,4,0)</f>
        <v>0</v>
      </c>
      <c r="BE491" s="19">
        <f t="shared" si="449"/>
        <v>0</v>
      </c>
      <c r="BF491" s="16"/>
      <c r="BG491" s="17">
        <f>VLOOKUP(BF491,'DATABASE F&amp;B'!$C$3:$F$216,2,0)</f>
        <v>0</v>
      </c>
      <c r="BH491" s="18"/>
      <c r="BI491" s="19">
        <f>VLOOKUP(BF491,'DATABASE F&amp;B'!$C$3:$F$216,4,0)</f>
        <v>0</v>
      </c>
      <c r="BJ491" s="19">
        <f t="shared" si="450"/>
        <v>0</v>
      </c>
      <c r="BK491" s="16"/>
      <c r="BL491" s="17">
        <f>VLOOKUP(BK491,'DATABASE F&amp;B'!$C$3:$F$210,2,0)</f>
        <v>0</v>
      </c>
      <c r="BM491" s="18"/>
      <c r="BN491" s="19">
        <f>VLOOKUP(BK491,'DATABASE F&amp;B'!$C$3:$F$210,4,0)</f>
        <v>0</v>
      </c>
      <c r="BO491" s="19">
        <f t="shared" si="451"/>
        <v>0</v>
      </c>
      <c r="BP491" s="16"/>
      <c r="BQ491" s="17">
        <f>VLOOKUP(BP491,'DATABASE F&amp;B'!$C$3:$F$210,2,0)</f>
        <v>0</v>
      </c>
      <c r="BR491" s="18"/>
      <c r="BS491" s="19">
        <f>VLOOKUP(BP491,'DATABASE F&amp;B'!$C$3:$F$210,4,0)</f>
        <v>0</v>
      </c>
      <c r="BT491" s="19">
        <f t="shared" si="452"/>
        <v>0</v>
      </c>
      <c r="BU491" s="16"/>
      <c r="BV491" s="17">
        <f>VLOOKUP(BU491,'DATABASE F&amp;B'!$C$3:$F$210,2,0)</f>
        <v>0</v>
      </c>
      <c r="BW491" s="18"/>
      <c r="BX491" s="19">
        <f>VLOOKUP(BU491,'DATABASE F&amp;B'!$C$3:$F$210,4,0)</f>
        <v>0</v>
      </c>
      <c r="BY491" s="19">
        <f t="shared" si="453"/>
        <v>0</v>
      </c>
      <c r="BZ491" s="16"/>
      <c r="CA491" s="17">
        <f>VLOOKUP(BZ491,'DATABASE F&amp;B'!$C$3:$F$210,2,0)</f>
        <v>0</v>
      </c>
      <c r="CB491" s="18"/>
      <c r="CC491" s="19">
        <f>VLOOKUP(BZ491,'DATABASE F&amp;B'!$C$3:$F$210,4,0)</f>
        <v>0</v>
      </c>
      <c r="CD491" s="19">
        <f t="shared" si="454"/>
        <v>0</v>
      </c>
    </row>
    <row r="492" spans="1:82" ht="13.5" x14ac:dyDescent="0.25">
      <c r="A492" s="32" t="str">
        <f t="shared" si="434"/>
        <v>--20</v>
      </c>
      <c r="B492" s="22">
        <f t="shared" ref="B492:C492" si="497">B491+1</f>
        <v>488</v>
      </c>
      <c r="C492" s="22">
        <f t="shared" si="497"/>
        <v>488</v>
      </c>
      <c r="D492" s="34"/>
      <c r="E492" s="35"/>
      <c r="F492" s="35"/>
      <c r="G492" s="52"/>
      <c r="H492" s="36" t="str">
        <f t="shared" si="459"/>
        <v>RJ--488</v>
      </c>
      <c r="I492" s="36" t="str">
        <f t="shared" si="436"/>
        <v>--20</v>
      </c>
      <c r="J492" s="37" t="e">
        <f>VLOOKUP(D492,Laporan!$C$4:$D$34,2,0)</f>
        <v>#N/A</v>
      </c>
      <c r="K492" s="48"/>
      <c r="L492" s="13"/>
      <c r="M492" s="19">
        <f>SUMIF('DATABASE Room'!$B$3:$B$7,L492,'DATABASE Room'!$D$3:$D$7)</f>
        <v>0</v>
      </c>
      <c r="N492" s="13"/>
      <c r="O492" s="21">
        <f t="shared" si="437"/>
        <v>0</v>
      </c>
      <c r="P492" s="38"/>
      <c r="Q492" s="19">
        <f t="shared" si="438"/>
        <v>0</v>
      </c>
      <c r="R492" s="21">
        <f t="shared" si="439"/>
        <v>0</v>
      </c>
      <c r="S492" s="19">
        <f t="shared" si="440"/>
        <v>0</v>
      </c>
      <c r="T492" s="19">
        <f t="shared" si="441"/>
        <v>0</v>
      </c>
      <c r="U492" s="21">
        <f t="shared" si="442"/>
        <v>0</v>
      </c>
      <c r="V492" s="39"/>
      <c r="W492" s="16"/>
      <c r="X492" s="17">
        <f>VLOOKUP(W492,'DATABASE F&amp;B'!$C$3:$F$216,2,0)</f>
        <v>0</v>
      </c>
      <c r="Y492" s="18"/>
      <c r="Z492" s="19">
        <f>VLOOKUP(W492,'DATABASE F&amp;B'!$C$3:$F$216,4,0)</f>
        <v>0</v>
      </c>
      <c r="AA492" s="19">
        <f t="shared" si="443"/>
        <v>0</v>
      </c>
      <c r="AB492" s="16"/>
      <c r="AC492" s="17">
        <f>VLOOKUP(AB492,'DATABASE F&amp;B'!$C$3:$F$216,2,0)</f>
        <v>0</v>
      </c>
      <c r="AD492" s="18"/>
      <c r="AE492" s="19">
        <f>VLOOKUP(AB492,'DATABASE F&amp;B'!$C$3:$F$216,4,0)</f>
        <v>0</v>
      </c>
      <c r="AF492" s="19">
        <f t="shared" si="444"/>
        <v>0</v>
      </c>
      <c r="AG492" s="16"/>
      <c r="AH492" s="17">
        <f>VLOOKUP(AG492,'DATABASE F&amp;B'!$C$3:$F$216,2,0)</f>
        <v>0</v>
      </c>
      <c r="AI492" s="18"/>
      <c r="AJ492" s="19">
        <f>VLOOKUP(AG492,'DATABASE F&amp;B'!$C$3:$F$216,4,0)</f>
        <v>0</v>
      </c>
      <c r="AK492" s="19">
        <f t="shared" si="445"/>
        <v>0</v>
      </c>
      <c r="AL492" s="16"/>
      <c r="AM492" s="17">
        <f>VLOOKUP(AL492,'DATABASE F&amp;B'!$C$3:$F$216,2,0)</f>
        <v>0</v>
      </c>
      <c r="AN492" s="18"/>
      <c r="AO492" s="19">
        <f>VLOOKUP(AL492,'DATABASE F&amp;B'!$C$3:$F$216,4,0)</f>
        <v>0</v>
      </c>
      <c r="AP492" s="19">
        <f t="shared" si="446"/>
        <v>0</v>
      </c>
      <c r="AQ492" s="16"/>
      <c r="AR492" s="17">
        <f>VLOOKUP(AQ492,'DATABASE F&amp;B'!$C$3:$F$216,2,0)</f>
        <v>0</v>
      </c>
      <c r="AS492" s="13"/>
      <c r="AT492" s="19">
        <f>VLOOKUP(AQ492,'DATABASE F&amp;B'!$C$3:$F$216,4,0)</f>
        <v>0</v>
      </c>
      <c r="AU492" s="19">
        <f t="shared" si="447"/>
        <v>0</v>
      </c>
      <c r="AV492" s="16"/>
      <c r="AW492" s="17">
        <f>VLOOKUP(AV492,'DATABASE F&amp;B'!$C$3:$F$216,2,0)</f>
        <v>0</v>
      </c>
      <c r="AX492" s="18"/>
      <c r="AY492" s="19">
        <f>VLOOKUP(AV492,'DATABASE F&amp;B'!$C$3:$F$216,4,0)</f>
        <v>0</v>
      </c>
      <c r="AZ492" s="19">
        <f t="shared" si="448"/>
        <v>0</v>
      </c>
      <c r="BA492" s="16"/>
      <c r="BB492" s="17">
        <f>VLOOKUP(BA492,'DATABASE F&amp;B'!$C$3:$F$216,2,0)</f>
        <v>0</v>
      </c>
      <c r="BC492" s="18"/>
      <c r="BD492" s="19">
        <f>VLOOKUP(BA492,'DATABASE F&amp;B'!$C$3:$F$216,4,0)</f>
        <v>0</v>
      </c>
      <c r="BE492" s="19">
        <f t="shared" si="449"/>
        <v>0</v>
      </c>
      <c r="BF492" s="16"/>
      <c r="BG492" s="17">
        <f>VLOOKUP(BF492,'DATABASE F&amp;B'!$C$3:$F$216,2,0)</f>
        <v>0</v>
      </c>
      <c r="BH492" s="18"/>
      <c r="BI492" s="19">
        <f>VLOOKUP(BF492,'DATABASE F&amp;B'!$C$3:$F$216,4,0)</f>
        <v>0</v>
      </c>
      <c r="BJ492" s="19">
        <f t="shared" si="450"/>
        <v>0</v>
      </c>
      <c r="BK492" s="16"/>
      <c r="BL492" s="17">
        <f>VLOOKUP(BK492,'DATABASE F&amp;B'!$C$3:$F$210,2,0)</f>
        <v>0</v>
      </c>
      <c r="BM492" s="18"/>
      <c r="BN492" s="19">
        <f>VLOOKUP(BK492,'DATABASE F&amp;B'!$C$3:$F$210,4,0)</f>
        <v>0</v>
      </c>
      <c r="BO492" s="19">
        <f t="shared" si="451"/>
        <v>0</v>
      </c>
      <c r="BP492" s="16"/>
      <c r="BQ492" s="17">
        <f>VLOOKUP(BP492,'DATABASE F&amp;B'!$C$3:$F$210,2,0)</f>
        <v>0</v>
      </c>
      <c r="BR492" s="18"/>
      <c r="BS492" s="19">
        <f>VLOOKUP(BP492,'DATABASE F&amp;B'!$C$3:$F$210,4,0)</f>
        <v>0</v>
      </c>
      <c r="BT492" s="19">
        <f t="shared" si="452"/>
        <v>0</v>
      </c>
      <c r="BU492" s="16"/>
      <c r="BV492" s="17">
        <f>VLOOKUP(BU492,'DATABASE F&amp;B'!$C$3:$F$210,2,0)</f>
        <v>0</v>
      </c>
      <c r="BW492" s="18"/>
      <c r="BX492" s="19">
        <f>VLOOKUP(BU492,'DATABASE F&amp;B'!$C$3:$F$210,4,0)</f>
        <v>0</v>
      </c>
      <c r="BY492" s="19">
        <f t="shared" si="453"/>
        <v>0</v>
      </c>
      <c r="BZ492" s="16"/>
      <c r="CA492" s="17">
        <f>VLOOKUP(BZ492,'DATABASE F&amp;B'!$C$3:$F$210,2,0)</f>
        <v>0</v>
      </c>
      <c r="CB492" s="18"/>
      <c r="CC492" s="19">
        <f>VLOOKUP(BZ492,'DATABASE F&amp;B'!$C$3:$F$210,4,0)</f>
        <v>0</v>
      </c>
      <c r="CD492" s="19">
        <f t="shared" si="454"/>
        <v>0</v>
      </c>
    </row>
    <row r="493" spans="1:82" ht="13.5" x14ac:dyDescent="0.25">
      <c r="A493" s="32" t="str">
        <f t="shared" si="434"/>
        <v>--20</v>
      </c>
      <c r="B493" s="22">
        <f t="shared" ref="B493:C493" si="498">B492+1</f>
        <v>489</v>
      </c>
      <c r="C493" s="22">
        <f t="shared" si="498"/>
        <v>489</v>
      </c>
      <c r="D493" s="34"/>
      <c r="E493" s="35"/>
      <c r="F493" s="35"/>
      <c r="G493" s="52"/>
      <c r="H493" s="36" t="str">
        <f t="shared" si="459"/>
        <v>RJ--489</v>
      </c>
      <c r="I493" s="36" t="str">
        <f t="shared" si="436"/>
        <v>--20</v>
      </c>
      <c r="J493" s="37" t="e">
        <f>VLOOKUP(D493,Laporan!$C$4:$D$34,2,0)</f>
        <v>#N/A</v>
      </c>
      <c r="K493" s="48"/>
      <c r="L493" s="13"/>
      <c r="M493" s="19">
        <f>SUMIF('DATABASE Room'!$B$3:$B$7,L493,'DATABASE Room'!$D$3:$D$7)</f>
        <v>0</v>
      </c>
      <c r="N493" s="13"/>
      <c r="O493" s="21">
        <f t="shared" si="437"/>
        <v>0</v>
      </c>
      <c r="P493" s="38"/>
      <c r="Q493" s="19">
        <f t="shared" si="438"/>
        <v>0</v>
      </c>
      <c r="R493" s="21">
        <f t="shared" si="439"/>
        <v>0</v>
      </c>
      <c r="S493" s="19">
        <f t="shared" si="440"/>
        <v>0</v>
      </c>
      <c r="T493" s="19">
        <f t="shared" si="441"/>
        <v>0</v>
      </c>
      <c r="U493" s="21">
        <f t="shared" si="442"/>
        <v>0</v>
      </c>
      <c r="V493" s="39"/>
      <c r="W493" s="16"/>
      <c r="X493" s="17">
        <f>VLOOKUP(W493,'DATABASE F&amp;B'!$C$3:$F$216,2,0)</f>
        <v>0</v>
      </c>
      <c r="Y493" s="18"/>
      <c r="Z493" s="19">
        <f>VLOOKUP(W493,'DATABASE F&amp;B'!$C$3:$F$216,4,0)</f>
        <v>0</v>
      </c>
      <c r="AA493" s="19">
        <f t="shared" si="443"/>
        <v>0</v>
      </c>
      <c r="AB493" s="16"/>
      <c r="AC493" s="17">
        <f>VLOOKUP(AB493,'DATABASE F&amp;B'!$C$3:$F$216,2,0)</f>
        <v>0</v>
      </c>
      <c r="AD493" s="18"/>
      <c r="AE493" s="19">
        <f>VLOOKUP(AB493,'DATABASE F&amp;B'!$C$3:$F$216,4,0)</f>
        <v>0</v>
      </c>
      <c r="AF493" s="19">
        <f t="shared" si="444"/>
        <v>0</v>
      </c>
      <c r="AG493" s="16"/>
      <c r="AH493" s="17">
        <f>VLOOKUP(AG493,'DATABASE F&amp;B'!$C$3:$F$216,2,0)</f>
        <v>0</v>
      </c>
      <c r="AI493" s="18"/>
      <c r="AJ493" s="19">
        <f>VLOOKUP(AG493,'DATABASE F&amp;B'!$C$3:$F$216,4,0)</f>
        <v>0</v>
      </c>
      <c r="AK493" s="19">
        <f t="shared" si="445"/>
        <v>0</v>
      </c>
      <c r="AL493" s="16"/>
      <c r="AM493" s="17">
        <f>VLOOKUP(AL493,'DATABASE F&amp;B'!$C$3:$F$216,2,0)</f>
        <v>0</v>
      </c>
      <c r="AN493" s="18"/>
      <c r="AO493" s="19">
        <f>VLOOKUP(AL493,'DATABASE F&amp;B'!$C$3:$F$216,4,0)</f>
        <v>0</v>
      </c>
      <c r="AP493" s="19">
        <f t="shared" si="446"/>
        <v>0</v>
      </c>
      <c r="AQ493" s="16"/>
      <c r="AR493" s="17">
        <f>VLOOKUP(AQ493,'DATABASE F&amp;B'!$C$3:$F$216,2,0)</f>
        <v>0</v>
      </c>
      <c r="AS493" s="13"/>
      <c r="AT493" s="19">
        <f>VLOOKUP(AQ493,'DATABASE F&amp;B'!$C$3:$F$216,4,0)</f>
        <v>0</v>
      </c>
      <c r="AU493" s="19">
        <f t="shared" si="447"/>
        <v>0</v>
      </c>
      <c r="AV493" s="16"/>
      <c r="AW493" s="17">
        <f>VLOOKUP(AV493,'DATABASE F&amp;B'!$C$3:$F$216,2,0)</f>
        <v>0</v>
      </c>
      <c r="AX493" s="18"/>
      <c r="AY493" s="19">
        <f>VLOOKUP(AV493,'DATABASE F&amp;B'!$C$3:$F$216,4,0)</f>
        <v>0</v>
      </c>
      <c r="AZ493" s="19">
        <f t="shared" si="448"/>
        <v>0</v>
      </c>
      <c r="BA493" s="16"/>
      <c r="BB493" s="17">
        <f>VLOOKUP(BA493,'DATABASE F&amp;B'!$C$3:$F$216,2,0)</f>
        <v>0</v>
      </c>
      <c r="BC493" s="18"/>
      <c r="BD493" s="19">
        <f>VLOOKUP(BA493,'DATABASE F&amp;B'!$C$3:$F$216,4,0)</f>
        <v>0</v>
      </c>
      <c r="BE493" s="19">
        <f t="shared" si="449"/>
        <v>0</v>
      </c>
      <c r="BF493" s="16"/>
      <c r="BG493" s="17">
        <f>VLOOKUP(BF493,'DATABASE F&amp;B'!$C$3:$F$216,2,0)</f>
        <v>0</v>
      </c>
      <c r="BH493" s="18"/>
      <c r="BI493" s="19">
        <f>VLOOKUP(BF493,'DATABASE F&amp;B'!$C$3:$F$216,4,0)</f>
        <v>0</v>
      </c>
      <c r="BJ493" s="19">
        <f t="shared" si="450"/>
        <v>0</v>
      </c>
      <c r="BK493" s="16"/>
      <c r="BL493" s="17">
        <f>VLOOKUP(BK493,'DATABASE F&amp;B'!$C$3:$F$210,2,0)</f>
        <v>0</v>
      </c>
      <c r="BM493" s="18"/>
      <c r="BN493" s="19">
        <f>VLOOKUP(BK493,'DATABASE F&amp;B'!$C$3:$F$210,4,0)</f>
        <v>0</v>
      </c>
      <c r="BO493" s="19">
        <f t="shared" si="451"/>
        <v>0</v>
      </c>
      <c r="BP493" s="16"/>
      <c r="BQ493" s="17">
        <f>VLOOKUP(BP493,'DATABASE F&amp;B'!$C$3:$F$210,2,0)</f>
        <v>0</v>
      </c>
      <c r="BR493" s="18"/>
      <c r="BS493" s="19">
        <f>VLOOKUP(BP493,'DATABASE F&amp;B'!$C$3:$F$210,4,0)</f>
        <v>0</v>
      </c>
      <c r="BT493" s="19">
        <f t="shared" si="452"/>
        <v>0</v>
      </c>
      <c r="BU493" s="16"/>
      <c r="BV493" s="17">
        <f>VLOOKUP(BU493,'DATABASE F&amp;B'!$C$3:$F$210,2,0)</f>
        <v>0</v>
      </c>
      <c r="BW493" s="18"/>
      <c r="BX493" s="19">
        <f>VLOOKUP(BU493,'DATABASE F&amp;B'!$C$3:$F$210,4,0)</f>
        <v>0</v>
      </c>
      <c r="BY493" s="19">
        <f t="shared" si="453"/>
        <v>0</v>
      </c>
      <c r="BZ493" s="16"/>
      <c r="CA493" s="17">
        <f>VLOOKUP(BZ493,'DATABASE F&amp;B'!$C$3:$F$210,2,0)</f>
        <v>0</v>
      </c>
      <c r="CB493" s="18"/>
      <c r="CC493" s="19">
        <f>VLOOKUP(BZ493,'DATABASE F&amp;B'!$C$3:$F$210,4,0)</f>
        <v>0</v>
      </c>
      <c r="CD493" s="19">
        <f t="shared" si="454"/>
        <v>0</v>
      </c>
    </row>
    <row r="494" spans="1:82" ht="13.5" x14ac:dyDescent="0.25">
      <c r="A494" s="32" t="str">
        <f t="shared" si="434"/>
        <v>--20</v>
      </c>
      <c r="B494" s="22">
        <f t="shared" ref="B494:C494" si="499">B493+1</f>
        <v>490</v>
      </c>
      <c r="C494" s="22">
        <f t="shared" si="499"/>
        <v>490</v>
      </c>
      <c r="D494" s="34"/>
      <c r="E494" s="35"/>
      <c r="F494" s="35"/>
      <c r="G494" s="52"/>
      <c r="H494" s="36" t="str">
        <f t="shared" si="459"/>
        <v>RJ--490</v>
      </c>
      <c r="I494" s="36" t="str">
        <f t="shared" si="436"/>
        <v>--20</v>
      </c>
      <c r="J494" s="37" t="e">
        <f>VLOOKUP(D494,Laporan!$C$4:$D$34,2,0)</f>
        <v>#N/A</v>
      </c>
      <c r="K494" s="48"/>
      <c r="L494" s="13"/>
      <c r="M494" s="19">
        <f>SUMIF('DATABASE Room'!$B$3:$B$7,L494,'DATABASE Room'!$D$3:$D$7)</f>
        <v>0</v>
      </c>
      <c r="N494" s="13"/>
      <c r="O494" s="21">
        <f t="shared" si="437"/>
        <v>0</v>
      </c>
      <c r="P494" s="38"/>
      <c r="Q494" s="19">
        <f t="shared" si="438"/>
        <v>0</v>
      </c>
      <c r="R494" s="21">
        <f t="shared" si="439"/>
        <v>0</v>
      </c>
      <c r="S494" s="19">
        <f t="shared" si="440"/>
        <v>0</v>
      </c>
      <c r="T494" s="19">
        <f t="shared" si="441"/>
        <v>0</v>
      </c>
      <c r="U494" s="21">
        <f t="shared" si="442"/>
        <v>0</v>
      </c>
      <c r="V494" s="39"/>
      <c r="W494" s="16"/>
      <c r="X494" s="17">
        <f>VLOOKUP(W494,'DATABASE F&amp;B'!$C$3:$F$216,2,0)</f>
        <v>0</v>
      </c>
      <c r="Y494" s="18"/>
      <c r="Z494" s="19">
        <f>VLOOKUP(W494,'DATABASE F&amp;B'!$C$3:$F$216,4,0)</f>
        <v>0</v>
      </c>
      <c r="AA494" s="19">
        <f t="shared" si="443"/>
        <v>0</v>
      </c>
      <c r="AB494" s="16"/>
      <c r="AC494" s="17">
        <f>VLOOKUP(AB494,'DATABASE F&amp;B'!$C$3:$F$216,2,0)</f>
        <v>0</v>
      </c>
      <c r="AD494" s="18"/>
      <c r="AE494" s="19">
        <f>VLOOKUP(AB494,'DATABASE F&amp;B'!$C$3:$F$216,4,0)</f>
        <v>0</v>
      </c>
      <c r="AF494" s="19">
        <f t="shared" si="444"/>
        <v>0</v>
      </c>
      <c r="AG494" s="16"/>
      <c r="AH494" s="17">
        <f>VLOOKUP(AG494,'DATABASE F&amp;B'!$C$3:$F$216,2,0)</f>
        <v>0</v>
      </c>
      <c r="AI494" s="18"/>
      <c r="AJ494" s="19">
        <f>VLOOKUP(AG494,'DATABASE F&amp;B'!$C$3:$F$216,4,0)</f>
        <v>0</v>
      </c>
      <c r="AK494" s="19">
        <f t="shared" si="445"/>
        <v>0</v>
      </c>
      <c r="AL494" s="16"/>
      <c r="AM494" s="17">
        <f>VLOOKUP(AL494,'DATABASE F&amp;B'!$C$3:$F$216,2,0)</f>
        <v>0</v>
      </c>
      <c r="AN494" s="18"/>
      <c r="AO494" s="19">
        <f>VLOOKUP(AL494,'DATABASE F&amp;B'!$C$3:$F$216,4,0)</f>
        <v>0</v>
      </c>
      <c r="AP494" s="19">
        <f t="shared" si="446"/>
        <v>0</v>
      </c>
      <c r="AQ494" s="16"/>
      <c r="AR494" s="17">
        <f>VLOOKUP(AQ494,'DATABASE F&amp;B'!$C$3:$F$216,2,0)</f>
        <v>0</v>
      </c>
      <c r="AS494" s="13"/>
      <c r="AT494" s="19">
        <f>VLOOKUP(AQ494,'DATABASE F&amp;B'!$C$3:$F$216,4,0)</f>
        <v>0</v>
      </c>
      <c r="AU494" s="19">
        <f t="shared" si="447"/>
        <v>0</v>
      </c>
      <c r="AV494" s="16"/>
      <c r="AW494" s="17">
        <f>VLOOKUP(AV494,'DATABASE F&amp;B'!$C$3:$F$216,2,0)</f>
        <v>0</v>
      </c>
      <c r="AX494" s="18"/>
      <c r="AY494" s="19">
        <f>VLOOKUP(AV494,'DATABASE F&amp;B'!$C$3:$F$216,4,0)</f>
        <v>0</v>
      </c>
      <c r="AZ494" s="19">
        <f t="shared" si="448"/>
        <v>0</v>
      </c>
      <c r="BA494" s="16"/>
      <c r="BB494" s="17">
        <f>VLOOKUP(BA494,'DATABASE F&amp;B'!$C$3:$F$216,2,0)</f>
        <v>0</v>
      </c>
      <c r="BC494" s="18"/>
      <c r="BD494" s="19">
        <f>VLOOKUP(BA494,'DATABASE F&amp;B'!$C$3:$F$216,4,0)</f>
        <v>0</v>
      </c>
      <c r="BE494" s="19">
        <f t="shared" si="449"/>
        <v>0</v>
      </c>
      <c r="BF494" s="16"/>
      <c r="BG494" s="17">
        <f>VLOOKUP(BF494,'DATABASE F&amp;B'!$C$3:$F$216,2,0)</f>
        <v>0</v>
      </c>
      <c r="BH494" s="18"/>
      <c r="BI494" s="19">
        <f>VLOOKUP(BF494,'DATABASE F&amp;B'!$C$3:$F$216,4,0)</f>
        <v>0</v>
      </c>
      <c r="BJ494" s="19">
        <f t="shared" si="450"/>
        <v>0</v>
      </c>
      <c r="BK494" s="16"/>
      <c r="BL494" s="17">
        <f>VLOOKUP(BK494,'DATABASE F&amp;B'!$C$3:$F$210,2,0)</f>
        <v>0</v>
      </c>
      <c r="BM494" s="18"/>
      <c r="BN494" s="19">
        <f>VLOOKUP(BK494,'DATABASE F&amp;B'!$C$3:$F$210,4,0)</f>
        <v>0</v>
      </c>
      <c r="BO494" s="19">
        <f t="shared" si="451"/>
        <v>0</v>
      </c>
      <c r="BP494" s="16"/>
      <c r="BQ494" s="17">
        <f>VLOOKUP(BP494,'DATABASE F&amp;B'!$C$3:$F$210,2,0)</f>
        <v>0</v>
      </c>
      <c r="BR494" s="18"/>
      <c r="BS494" s="19">
        <f>VLOOKUP(BP494,'DATABASE F&amp;B'!$C$3:$F$210,4,0)</f>
        <v>0</v>
      </c>
      <c r="BT494" s="19">
        <f t="shared" si="452"/>
        <v>0</v>
      </c>
      <c r="BU494" s="16"/>
      <c r="BV494" s="17">
        <f>VLOOKUP(BU494,'DATABASE F&amp;B'!$C$3:$F$210,2,0)</f>
        <v>0</v>
      </c>
      <c r="BW494" s="18"/>
      <c r="BX494" s="19">
        <f>VLOOKUP(BU494,'DATABASE F&amp;B'!$C$3:$F$210,4,0)</f>
        <v>0</v>
      </c>
      <c r="BY494" s="19">
        <f t="shared" si="453"/>
        <v>0</v>
      </c>
      <c r="BZ494" s="16"/>
      <c r="CA494" s="17">
        <f>VLOOKUP(BZ494,'DATABASE F&amp;B'!$C$3:$F$210,2,0)</f>
        <v>0</v>
      </c>
      <c r="CB494" s="18"/>
      <c r="CC494" s="19">
        <f>VLOOKUP(BZ494,'DATABASE F&amp;B'!$C$3:$F$210,4,0)</f>
        <v>0</v>
      </c>
      <c r="CD494" s="19">
        <f t="shared" si="454"/>
        <v>0</v>
      </c>
    </row>
    <row r="495" spans="1:82" ht="13.5" x14ac:dyDescent="0.25">
      <c r="A495" s="32" t="str">
        <f t="shared" si="434"/>
        <v>--20</v>
      </c>
      <c r="B495" s="22">
        <f t="shared" ref="B495:C495" si="500">B494+1</f>
        <v>491</v>
      </c>
      <c r="C495" s="22">
        <f t="shared" si="500"/>
        <v>491</v>
      </c>
      <c r="D495" s="34"/>
      <c r="E495" s="35"/>
      <c r="F495" s="35"/>
      <c r="G495" s="52"/>
      <c r="H495" s="36" t="str">
        <f t="shared" si="459"/>
        <v>RJ--491</v>
      </c>
      <c r="I495" s="36" t="str">
        <f t="shared" si="436"/>
        <v>--20</v>
      </c>
      <c r="J495" s="37" t="e">
        <f>VLOOKUP(D495,Laporan!$C$4:$D$34,2,0)</f>
        <v>#N/A</v>
      </c>
      <c r="K495" s="48"/>
      <c r="L495" s="13"/>
      <c r="M495" s="19">
        <f>SUMIF('DATABASE Room'!$B$3:$B$7,L495,'DATABASE Room'!$D$3:$D$7)</f>
        <v>0</v>
      </c>
      <c r="N495" s="13"/>
      <c r="O495" s="21">
        <f t="shared" si="437"/>
        <v>0</v>
      </c>
      <c r="P495" s="38"/>
      <c r="Q495" s="19">
        <f t="shared" si="438"/>
        <v>0</v>
      </c>
      <c r="R495" s="21">
        <f t="shared" si="439"/>
        <v>0</v>
      </c>
      <c r="S495" s="19">
        <f t="shared" si="440"/>
        <v>0</v>
      </c>
      <c r="T495" s="19">
        <f t="shared" si="441"/>
        <v>0</v>
      </c>
      <c r="U495" s="21">
        <f t="shared" si="442"/>
        <v>0</v>
      </c>
      <c r="V495" s="39"/>
      <c r="W495" s="16"/>
      <c r="X495" s="17">
        <f>VLOOKUP(W495,'DATABASE F&amp;B'!$C$3:$F$216,2,0)</f>
        <v>0</v>
      </c>
      <c r="Y495" s="18"/>
      <c r="Z495" s="19">
        <f>VLOOKUP(W495,'DATABASE F&amp;B'!$C$3:$F$216,4,0)</f>
        <v>0</v>
      </c>
      <c r="AA495" s="19">
        <f t="shared" si="443"/>
        <v>0</v>
      </c>
      <c r="AB495" s="16"/>
      <c r="AC495" s="17">
        <f>VLOOKUP(AB495,'DATABASE F&amp;B'!$C$3:$F$216,2,0)</f>
        <v>0</v>
      </c>
      <c r="AD495" s="18"/>
      <c r="AE495" s="19">
        <f>VLOOKUP(AB495,'DATABASE F&amp;B'!$C$3:$F$216,4,0)</f>
        <v>0</v>
      </c>
      <c r="AF495" s="19">
        <f t="shared" si="444"/>
        <v>0</v>
      </c>
      <c r="AG495" s="16"/>
      <c r="AH495" s="17">
        <f>VLOOKUP(AG495,'DATABASE F&amp;B'!$C$3:$F$216,2,0)</f>
        <v>0</v>
      </c>
      <c r="AI495" s="18"/>
      <c r="AJ495" s="19">
        <f>VLOOKUP(AG495,'DATABASE F&amp;B'!$C$3:$F$216,4,0)</f>
        <v>0</v>
      </c>
      <c r="AK495" s="19">
        <f t="shared" si="445"/>
        <v>0</v>
      </c>
      <c r="AL495" s="16"/>
      <c r="AM495" s="17">
        <f>VLOOKUP(AL495,'DATABASE F&amp;B'!$C$3:$F$216,2,0)</f>
        <v>0</v>
      </c>
      <c r="AN495" s="18"/>
      <c r="AO495" s="19">
        <f>VLOOKUP(AL495,'DATABASE F&amp;B'!$C$3:$F$216,4,0)</f>
        <v>0</v>
      </c>
      <c r="AP495" s="19">
        <f t="shared" si="446"/>
        <v>0</v>
      </c>
      <c r="AQ495" s="16"/>
      <c r="AR495" s="17">
        <f>VLOOKUP(AQ495,'DATABASE F&amp;B'!$C$3:$F$216,2,0)</f>
        <v>0</v>
      </c>
      <c r="AS495" s="13"/>
      <c r="AT495" s="19">
        <f>VLOOKUP(AQ495,'DATABASE F&amp;B'!$C$3:$F$216,4,0)</f>
        <v>0</v>
      </c>
      <c r="AU495" s="19">
        <f t="shared" si="447"/>
        <v>0</v>
      </c>
      <c r="AV495" s="16"/>
      <c r="AW495" s="17">
        <f>VLOOKUP(AV495,'DATABASE F&amp;B'!$C$3:$F$216,2,0)</f>
        <v>0</v>
      </c>
      <c r="AX495" s="18"/>
      <c r="AY495" s="19">
        <f>VLOOKUP(AV495,'DATABASE F&amp;B'!$C$3:$F$216,4,0)</f>
        <v>0</v>
      </c>
      <c r="AZ495" s="19">
        <f t="shared" si="448"/>
        <v>0</v>
      </c>
      <c r="BA495" s="16"/>
      <c r="BB495" s="17">
        <f>VLOOKUP(BA495,'DATABASE F&amp;B'!$C$3:$F$216,2,0)</f>
        <v>0</v>
      </c>
      <c r="BC495" s="18"/>
      <c r="BD495" s="19">
        <f>VLOOKUP(BA495,'DATABASE F&amp;B'!$C$3:$F$216,4,0)</f>
        <v>0</v>
      </c>
      <c r="BE495" s="19">
        <f t="shared" si="449"/>
        <v>0</v>
      </c>
      <c r="BF495" s="16"/>
      <c r="BG495" s="17">
        <f>VLOOKUP(BF495,'DATABASE F&amp;B'!$C$3:$F$216,2,0)</f>
        <v>0</v>
      </c>
      <c r="BH495" s="18"/>
      <c r="BI495" s="19">
        <f>VLOOKUP(BF495,'DATABASE F&amp;B'!$C$3:$F$216,4,0)</f>
        <v>0</v>
      </c>
      <c r="BJ495" s="19">
        <f t="shared" si="450"/>
        <v>0</v>
      </c>
      <c r="BK495" s="16"/>
      <c r="BL495" s="17">
        <f>VLOOKUP(BK495,'DATABASE F&amp;B'!$C$3:$F$210,2,0)</f>
        <v>0</v>
      </c>
      <c r="BM495" s="18"/>
      <c r="BN495" s="19">
        <f>VLOOKUP(BK495,'DATABASE F&amp;B'!$C$3:$F$210,4,0)</f>
        <v>0</v>
      </c>
      <c r="BO495" s="19">
        <f t="shared" si="451"/>
        <v>0</v>
      </c>
      <c r="BP495" s="16"/>
      <c r="BQ495" s="17">
        <f>VLOOKUP(BP495,'DATABASE F&amp;B'!$C$3:$F$210,2,0)</f>
        <v>0</v>
      </c>
      <c r="BR495" s="18"/>
      <c r="BS495" s="19">
        <f>VLOOKUP(BP495,'DATABASE F&amp;B'!$C$3:$F$210,4,0)</f>
        <v>0</v>
      </c>
      <c r="BT495" s="19">
        <f t="shared" si="452"/>
        <v>0</v>
      </c>
      <c r="BU495" s="16"/>
      <c r="BV495" s="17">
        <f>VLOOKUP(BU495,'DATABASE F&amp;B'!$C$3:$F$210,2,0)</f>
        <v>0</v>
      </c>
      <c r="BW495" s="18"/>
      <c r="BX495" s="19">
        <f>VLOOKUP(BU495,'DATABASE F&amp;B'!$C$3:$F$210,4,0)</f>
        <v>0</v>
      </c>
      <c r="BY495" s="19">
        <f t="shared" si="453"/>
        <v>0</v>
      </c>
      <c r="BZ495" s="16"/>
      <c r="CA495" s="17">
        <f>VLOOKUP(BZ495,'DATABASE F&amp;B'!$C$3:$F$210,2,0)</f>
        <v>0</v>
      </c>
      <c r="CB495" s="18"/>
      <c r="CC495" s="19">
        <f>VLOOKUP(BZ495,'DATABASE F&amp;B'!$C$3:$F$210,4,0)</f>
        <v>0</v>
      </c>
      <c r="CD495" s="19">
        <f t="shared" si="454"/>
        <v>0</v>
      </c>
    </row>
    <row r="496" spans="1:82" ht="13.5" x14ac:dyDescent="0.25">
      <c r="A496" s="32" t="str">
        <f t="shared" si="434"/>
        <v>--20</v>
      </c>
      <c r="B496" s="22">
        <f t="shared" ref="B496:C496" si="501">B495+1</f>
        <v>492</v>
      </c>
      <c r="C496" s="22">
        <f t="shared" si="501"/>
        <v>492</v>
      </c>
      <c r="D496" s="34"/>
      <c r="E496" s="35"/>
      <c r="F496" s="35"/>
      <c r="G496" s="52"/>
      <c r="H496" s="36" t="str">
        <f t="shared" si="459"/>
        <v>RJ--492</v>
      </c>
      <c r="I496" s="36" t="str">
        <f t="shared" si="436"/>
        <v>--20</v>
      </c>
      <c r="J496" s="37" t="e">
        <f>VLOOKUP(D496,Laporan!$C$4:$D$34,2,0)</f>
        <v>#N/A</v>
      </c>
      <c r="K496" s="48"/>
      <c r="L496" s="13"/>
      <c r="M496" s="19">
        <f>SUMIF('DATABASE Room'!$B$3:$B$7,L496,'DATABASE Room'!$D$3:$D$7)</f>
        <v>0</v>
      </c>
      <c r="N496" s="13"/>
      <c r="O496" s="21">
        <f t="shared" si="437"/>
        <v>0</v>
      </c>
      <c r="P496" s="38"/>
      <c r="Q496" s="19">
        <f t="shared" si="438"/>
        <v>0</v>
      </c>
      <c r="R496" s="21">
        <f t="shared" si="439"/>
        <v>0</v>
      </c>
      <c r="S496" s="19">
        <f t="shared" si="440"/>
        <v>0</v>
      </c>
      <c r="T496" s="19">
        <f t="shared" si="441"/>
        <v>0</v>
      </c>
      <c r="U496" s="21">
        <f t="shared" si="442"/>
        <v>0</v>
      </c>
      <c r="V496" s="39"/>
      <c r="W496" s="16"/>
      <c r="X496" s="17">
        <f>VLOOKUP(W496,'DATABASE F&amp;B'!$C$3:$F$216,2,0)</f>
        <v>0</v>
      </c>
      <c r="Y496" s="18"/>
      <c r="Z496" s="19">
        <f>VLOOKUP(W496,'DATABASE F&amp;B'!$C$3:$F$216,4,0)</f>
        <v>0</v>
      </c>
      <c r="AA496" s="19">
        <f t="shared" si="443"/>
        <v>0</v>
      </c>
      <c r="AB496" s="16"/>
      <c r="AC496" s="17">
        <f>VLOOKUP(AB496,'DATABASE F&amp;B'!$C$3:$F$216,2,0)</f>
        <v>0</v>
      </c>
      <c r="AD496" s="18"/>
      <c r="AE496" s="19">
        <f>VLOOKUP(AB496,'DATABASE F&amp;B'!$C$3:$F$216,4,0)</f>
        <v>0</v>
      </c>
      <c r="AF496" s="19">
        <f t="shared" si="444"/>
        <v>0</v>
      </c>
      <c r="AG496" s="16"/>
      <c r="AH496" s="17">
        <f>VLOOKUP(AG496,'DATABASE F&amp;B'!$C$3:$F$216,2,0)</f>
        <v>0</v>
      </c>
      <c r="AI496" s="18"/>
      <c r="AJ496" s="19">
        <f>VLOOKUP(AG496,'DATABASE F&amp;B'!$C$3:$F$216,4,0)</f>
        <v>0</v>
      </c>
      <c r="AK496" s="19">
        <f t="shared" si="445"/>
        <v>0</v>
      </c>
      <c r="AL496" s="16"/>
      <c r="AM496" s="17">
        <f>VLOOKUP(AL496,'DATABASE F&amp;B'!$C$3:$F$216,2,0)</f>
        <v>0</v>
      </c>
      <c r="AN496" s="18"/>
      <c r="AO496" s="19">
        <f>VLOOKUP(AL496,'DATABASE F&amp;B'!$C$3:$F$216,4,0)</f>
        <v>0</v>
      </c>
      <c r="AP496" s="19">
        <f t="shared" si="446"/>
        <v>0</v>
      </c>
      <c r="AQ496" s="16"/>
      <c r="AR496" s="17">
        <f>VLOOKUP(AQ496,'DATABASE F&amp;B'!$C$3:$F$216,2,0)</f>
        <v>0</v>
      </c>
      <c r="AS496" s="13"/>
      <c r="AT496" s="19">
        <f>VLOOKUP(AQ496,'DATABASE F&amp;B'!$C$3:$F$216,4,0)</f>
        <v>0</v>
      </c>
      <c r="AU496" s="19">
        <f t="shared" si="447"/>
        <v>0</v>
      </c>
      <c r="AV496" s="16"/>
      <c r="AW496" s="17">
        <f>VLOOKUP(AV496,'DATABASE F&amp;B'!$C$3:$F$216,2,0)</f>
        <v>0</v>
      </c>
      <c r="AX496" s="18"/>
      <c r="AY496" s="19">
        <f>VLOOKUP(AV496,'DATABASE F&amp;B'!$C$3:$F$216,4,0)</f>
        <v>0</v>
      </c>
      <c r="AZ496" s="19">
        <f t="shared" si="448"/>
        <v>0</v>
      </c>
      <c r="BA496" s="16"/>
      <c r="BB496" s="17">
        <f>VLOOKUP(BA496,'DATABASE F&amp;B'!$C$3:$F$216,2,0)</f>
        <v>0</v>
      </c>
      <c r="BC496" s="18"/>
      <c r="BD496" s="19">
        <f>VLOOKUP(BA496,'DATABASE F&amp;B'!$C$3:$F$216,4,0)</f>
        <v>0</v>
      </c>
      <c r="BE496" s="19">
        <f t="shared" si="449"/>
        <v>0</v>
      </c>
      <c r="BF496" s="16"/>
      <c r="BG496" s="17">
        <f>VLOOKUP(BF496,'DATABASE F&amp;B'!$C$3:$F$216,2,0)</f>
        <v>0</v>
      </c>
      <c r="BH496" s="18"/>
      <c r="BI496" s="19">
        <f>VLOOKUP(BF496,'DATABASE F&amp;B'!$C$3:$F$216,4,0)</f>
        <v>0</v>
      </c>
      <c r="BJ496" s="19">
        <f t="shared" si="450"/>
        <v>0</v>
      </c>
      <c r="BK496" s="16"/>
      <c r="BL496" s="17">
        <f>VLOOKUP(BK496,'DATABASE F&amp;B'!$C$3:$F$210,2,0)</f>
        <v>0</v>
      </c>
      <c r="BM496" s="18"/>
      <c r="BN496" s="19">
        <f>VLOOKUP(BK496,'DATABASE F&amp;B'!$C$3:$F$210,4,0)</f>
        <v>0</v>
      </c>
      <c r="BO496" s="19">
        <f t="shared" si="451"/>
        <v>0</v>
      </c>
      <c r="BP496" s="16"/>
      <c r="BQ496" s="17">
        <f>VLOOKUP(BP496,'DATABASE F&amp;B'!$C$3:$F$210,2,0)</f>
        <v>0</v>
      </c>
      <c r="BR496" s="18"/>
      <c r="BS496" s="19">
        <f>VLOOKUP(BP496,'DATABASE F&amp;B'!$C$3:$F$210,4,0)</f>
        <v>0</v>
      </c>
      <c r="BT496" s="19">
        <f t="shared" si="452"/>
        <v>0</v>
      </c>
      <c r="BU496" s="16"/>
      <c r="BV496" s="17">
        <f>VLOOKUP(BU496,'DATABASE F&amp;B'!$C$3:$F$210,2,0)</f>
        <v>0</v>
      </c>
      <c r="BW496" s="18"/>
      <c r="BX496" s="19">
        <f>VLOOKUP(BU496,'DATABASE F&amp;B'!$C$3:$F$210,4,0)</f>
        <v>0</v>
      </c>
      <c r="BY496" s="19">
        <f t="shared" si="453"/>
        <v>0</v>
      </c>
      <c r="BZ496" s="16"/>
      <c r="CA496" s="17">
        <f>VLOOKUP(BZ496,'DATABASE F&amp;B'!$C$3:$F$210,2,0)</f>
        <v>0</v>
      </c>
      <c r="CB496" s="18"/>
      <c r="CC496" s="19">
        <f>VLOOKUP(BZ496,'DATABASE F&amp;B'!$C$3:$F$210,4,0)</f>
        <v>0</v>
      </c>
      <c r="CD496" s="19">
        <f t="shared" si="454"/>
        <v>0</v>
      </c>
    </row>
    <row r="497" spans="1:82" ht="13.5" x14ac:dyDescent="0.25">
      <c r="A497" s="32" t="str">
        <f t="shared" si="434"/>
        <v>--20</v>
      </c>
      <c r="B497" s="22">
        <f t="shared" ref="B497:C497" si="502">B496+1</f>
        <v>493</v>
      </c>
      <c r="C497" s="22">
        <f t="shared" si="502"/>
        <v>493</v>
      </c>
      <c r="D497" s="34"/>
      <c r="E497" s="35"/>
      <c r="F497" s="35"/>
      <c r="G497" s="52"/>
      <c r="H497" s="36" t="str">
        <f t="shared" si="459"/>
        <v>RJ--493</v>
      </c>
      <c r="I497" s="36" t="str">
        <f t="shared" si="436"/>
        <v>--20</v>
      </c>
      <c r="J497" s="37" t="e">
        <f>VLOOKUP(D497,Laporan!$C$4:$D$34,2,0)</f>
        <v>#N/A</v>
      </c>
      <c r="K497" s="48"/>
      <c r="L497" s="13"/>
      <c r="M497" s="19">
        <f>SUMIF('DATABASE Room'!$B$3:$B$7,L497,'DATABASE Room'!$D$3:$D$7)</f>
        <v>0</v>
      </c>
      <c r="N497" s="13"/>
      <c r="O497" s="21">
        <f t="shared" si="437"/>
        <v>0</v>
      </c>
      <c r="P497" s="38"/>
      <c r="Q497" s="19">
        <f t="shared" si="438"/>
        <v>0</v>
      </c>
      <c r="R497" s="21">
        <f t="shared" si="439"/>
        <v>0</v>
      </c>
      <c r="S497" s="19">
        <f t="shared" si="440"/>
        <v>0</v>
      </c>
      <c r="T497" s="19">
        <f t="shared" si="441"/>
        <v>0</v>
      </c>
      <c r="U497" s="21">
        <f t="shared" si="442"/>
        <v>0</v>
      </c>
      <c r="V497" s="39"/>
      <c r="W497" s="16"/>
      <c r="X497" s="17">
        <f>VLOOKUP(W497,'DATABASE F&amp;B'!$C$3:$F$216,2,0)</f>
        <v>0</v>
      </c>
      <c r="Y497" s="18"/>
      <c r="Z497" s="19">
        <f>VLOOKUP(W497,'DATABASE F&amp;B'!$C$3:$F$216,4,0)</f>
        <v>0</v>
      </c>
      <c r="AA497" s="19">
        <f t="shared" si="443"/>
        <v>0</v>
      </c>
      <c r="AB497" s="16"/>
      <c r="AC497" s="17">
        <f>VLOOKUP(AB497,'DATABASE F&amp;B'!$C$3:$F$216,2,0)</f>
        <v>0</v>
      </c>
      <c r="AD497" s="18"/>
      <c r="AE497" s="19">
        <f>VLOOKUP(AB497,'DATABASE F&amp;B'!$C$3:$F$216,4,0)</f>
        <v>0</v>
      </c>
      <c r="AF497" s="19">
        <f t="shared" si="444"/>
        <v>0</v>
      </c>
      <c r="AG497" s="16"/>
      <c r="AH497" s="17">
        <f>VLOOKUP(AG497,'DATABASE F&amp;B'!$C$3:$F$216,2,0)</f>
        <v>0</v>
      </c>
      <c r="AI497" s="18"/>
      <c r="AJ497" s="19">
        <f>VLOOKUP(AG497,'DATABASE F&amp;B'!$C$3:$F$216,4,0)</f>
        <v>0</v>
      </c>
      <c r="AK497" s="19">
        <f t="shared" si="445"/>
        <v>0</v>
      </c>
      <c r="AL497" s="16"/>
      <c r="AM497" s="17">
        <f>VLOOKUP(AL497,'DATABASE F&amp;B'!$C$3:$F$216,2,0)</f>
        <v>0</v>
      </c>
      <c r="AN497" s="18"/>
      <c r="AO497" s="19">
        <f>VLOOKUP(AL497,'DATABASE F&amp;B'!$C$3:$F$216,4,0)</f>
        <v>0</v>
      </c>
      <c r="AP497" s="19">
        <f t="shared" si="446"/>
        <v>0</v>
      </c>
      <c r="AQ497" s="16"/>
      <c r="AR497" s="17">
        <f>VLOOKUP(AQ497,'DATABASE F&amp;B'!$C$3:$F$216,2,0)</f>
        <v>0</v>
      </c>
      <c r="AS497" s="13"/>
      <c r="AT497" s="19">
        <f>VLOOKUP(AQ497,'DATABASE F&amp;B'!$C$3:$F$216,4,0)</f>
        <v>0</v>
      </c>
      <c r="AU497" s="19">
        <f t="shared" si="447"/>
        <v>0</v>
      </c>
      <c r="AV497" s="16"/>
      <c r="AW497" s="17">
        <f>VLOOKUP(AV497,'DATABASE F&amp;B'!$C$3:$F$216,2,0)</f>
        <v>0</v>
      </c>
      <c r="AX497" s="18"/>
      <c r="AY497" s="19">
        <f>VLOOKUP(AV497,'DATABASE F&amp;B'!$C$3:$F$216,4,0)</f>
        <v>0</v>
      </c>
      <c r="AZ497" s="19">
        <f t="shared" si="448"/>
        <v>0</v>
      </c>
      <c r="BA497" s="16"/>
      <c r="BB497" s="17">
        <f>VLOOKUP(BA497,'DATABASE F&amp;B'!$C$3:$F$216,2,0)</f>
        <v>0</v>
      </c>
      <c r="BC497" s="18"/>
      <c r="BD497" s="19">
        <f>VLOOKUP(BA497,'DATABASE F&amp;B'!$C$3:$F$216,4,0)</f>
        <v>0</v>
      </c>
      <c r="BE497" s="19">
        <f t="shared" si="449"/>
        <v>0</v>
      </c>
      <c r="BF497" s="16"/>
      <c r="BG497" s="17">
        <f>VLOOKUP(BF497,'DATABASE F&amp;B'!$C$3:$F$216,2,0)</f>
        <v>0</v>
      </c>
      <c r="BH497" s="18"/>
      <c r="BI497" s="19">
        <f>VLOOKUP(BF497,'DATABASE F&amp;B'!$C$3:$F$216,4,0)</f>
        <v>0</v>
      </c>
      <c r="BJ497" s="19">
        <f t="shared" si="450"/>
        <v>0</v>
      </c>
      <c r="BK497" s="16"/>
      <c r="BL497" s="17">
        <f>VLOOKUP(BK497,'DATABASE F&amp;B'!$C$3:$F$210,2,0)</f>
        <v>0</v>
      </c>
      <c r="BM497" s="18"/>
      <c r="BN497" s="19">
        <f>VLOOKUP(BK497,'DATABASE F&amp;B'!$C$3:$F$210,4,0)</f>
        <v>0</v>
      </c>
      <c r="BO497" s="19">
        <f t="shared" si="451"/>
        <v>0</v>
      </c>
      <c r="BP497" s="16"/>
      <c r="BQ497" s="17">
        <f>VLOOKUP(BP497,'DATABASE F&amp;B'!$C$3:$F$210,2,0)</f>
        <v>0</v>
      </c>
      <c r="BR497" s="18"/>
      <c r="BS497" s="19">
        <f>VLOOKUP(BP497,'DATABASE F&amp;B'!$C$3:$F$210,4,0)</f>
        <v>0</v>
      </c>
      <c r="BT497" s="19">
        <f t="shared" si="452"/>
        <v>0</v>
      </c>
      <c r="BU497" s="16"/>
      <c r="BV497" s="17">
        <f>VLOOKUP(BU497,'DATABASE F&amp;B'!$C$3:$F$210,2,0)</f>
        <v>0</v>
      </c>
      <c r="BW497" s="18"/>
      <c r="BX497" s="19">
        <f>VLOOKUP(BU497,'DATABASE F&amp;B'!$C$3:$F$210,4,0)</f>
        <v>0</v>
      </c>
      <c r="BY497" s="19">
        <f t="shared" si="453"/>
        <v>0</v>
      </c>
      <c r="BZ497" s="16"/>
      <c r="CA497" s="17">
        <f>VLOOKUP(BZ497,'DATABASE F&amp;B'!$C$3:$F$210,2,0)</f>
        <v>0</v>
      </c>
      <c r="CB497" s="18"/>
      <c r="CC497" s="19">
        <f>VLOOKUP(BZ497,'DATABASE F&amp;B'!$C$3:$F$210,4,0)</f>
        <v>0</v>
      </c>
      <c r="CD497" s="19">
        <f t="shared" si="454"/>
        <v>0</v>
      </c>
    </row>
    <row r="498" spans="1:82" ht="13.5" x14ac:dyDescent="0.25">
      <c r="A498" s="32" t="str">
        <f t="shared" si="434"/>
        <v>--20</v>
      </c>
      <c r="B498" s="22">
        <f t="shared" ref="B498:C498" si="503">B497+1</f>
        <v>494</v>
      </c>
      <c r="C498" s="22">
        <f t="shared" si="503"/>
        <v>494</v>
      </c>
      <c r="D498" s="34"/>
      <c r="E498" s="35"/>
      <c r="F498" s="35"/>
      <c r="G498" s="52"/>
      <c r="H498" s="36" t="str">
        <f t="shared" si="459"/>
        <v>RJ--494</v>
      </c>
      <c r="I498" s="36" t="str">
        <f t="shared" si="436"/>
        <v>--20</v>
      </c>
      <c r="J498" s="37" t="e">
        <f>VLOOKUP(D498,Laporan!$C$4:$D$34,2,0)</f>
        <v>#N/A</v>
      </c>
      <c r="K498" s="48"/>
      <c r="L498" s="13"/>
      <c r="M498" s="19">
        <f>SUMIF('DATABASE Room'!$B$3:$B$7,L498,'DATABASE Room'!$D$3:$D$7)</f>
        <v>0</v>
      </c>
      <c r="N498" s="13"/>
      <c r="O498" s="21">
        <f t="shared" si="437"/>
        <v>0</v>
      </c>
      <c r="P498" s="38"/>
      <c r="Q498" s="19">
        <f t="shared" si="438"/>
        <v>0</v>
      </c>
      <c r="R498" s="21">
        <f t="shared" si="439"/>
        <v>0</v>
      </c>
      <c r="S498" s="19">
        <f t="shared" si="440"/>
        <v>0</v>
      </c>
      <c r="T498" s="19">
        <f t="shared" si="441"/>
        <v>0</v>
      </c>
      <c r="U498" s="21">
        <f t="shared" si="442"/>
        <v>0</v>
      </c>
      <c r="V498" s="39"/>
      <c r="W498" s="16"/>
      <c r="X498" s="17">
        <f>VLOOKUP(W498,'DATABASE F&amp;B'!$C$3:$F$216,2,0)</f>
        <v>0</v>
      </c>
      <c r="Y498" s="18"/>
      <c r="Z498" s="19">
        <f>VLOOKUP(W498,'DATABASE F&amp;B'!$C$3:$F$216,4,0)</f>
        <v>0</v>
      </c>
      <c r="AA498" s="19">
        <f t="shared" si="443"/>
        <v>0</v>
      </c>
      <c r="AB498" s="16"/>
      <c r="AC498" s="17">
        <f>VLOOKUP(AB498,'DATABASE F&amp;B'!$C$3:$F$216,2,0)</f>
        <v>0</v>
      </c>
      <c r="AD498" s="18"/>
      <c r="AE498" s="19">
        <f>VLOOKUP(AB498,'DATABASE F&amp;B'!$C$3:$F$216,4,0)</f>
        <v>0</v>
      </c>
      <c r="AF498" s="19">
        <f t="shared" si="444"/>
        <v>0</v>
      </c>
      <c r="AG498" s="16"/>
      <c r="AH498" s="17">
        <f>VLOOKUP(AG498,'DATABASE F&amp;B'!$C$3:$F$216,2,0)</f>
        <v>0</v>
      </c>
      <c r="AI498" s="18"/>
      <c r="AJ498" s="19">
        <f>VLOOKUP(AG498,'DATABASE F&amp;B'!$C$3:$F$216,4,0)</f>
        <v>0</v>
      </c>
      <c r="AK498" s="19">
        <f t="shared" si="445"/>
        <v>0</v>
      </c>
      <c r="AL498" s="16"/>
      <c r="AM498" s="17">
        <f>VLOOKUP(AL498,'DATABASE F&amp;B'!$C$3:$F$216,2,0)</f>
        <v>0</v>
      </c>
      <c r="AN498" s="18"/>
      <c r="AO498" s="19">
        <f>VLOOKUP(AL498,'DATABASE F&amp;B'!$C$3:$F$216,4,0)</f>
        <v>0</v>
      </c>
      <c r="AP498" s="19">
        <f t="shared" si="446"/>
        <v>0</v>
      </c>
      <c r="AQ498" s="16"/>
      <c r="AR498" s="17">
        <f>VLOOKUP(AQ498,'DATABASE F&amp;B'!$C$3:$F$216,2,0)</f>
        <v>0</v>
      </c>
      <c r="AS498" s="13"/>
      <c r="AT498" s="19">
        <f>VLOOKUP(AQ498,'DATABASE F&amp;B'!$C$3:$F$216,4,0)</f>
        <v>0</v>
      </c>
      <c r="AU498" s="19">
        <f t="shared" si="447"/>
        <v>0</v>
      </c>
      <c r="AV498" s="16"/>
      <c r="AW498" s="17">
        <f>VLOOKUP(AV498,'DATABASE F&amp;B'!$C$3:$F$216,2,0)</f>
        <v>0</v>
      </c>
      <c r="AX498" s="18"/>
      <c r="AY498" s="19">
        <f>VLOOKUP(AV498,'DATABASE F&amp;B'!$C$3:$F$216,4,0)</f>
        <v>0</v>
      </c>
      <c r="AZ498" s="19">
        <f t="shared" si="448"/>
        <v>0</v>
      </c>
      <c r="BA498" s="16"/>
      <c r="BB498" s="17">
        <f>VLOOKUP(BA498,'DATABASE F&amp;B'!$C$3:$F$216,2,0)</f>
        <v>0</v>
      </c>
      <c r="BC498" s="18"/>
      <c r="BD498" s="19">
        <f>VLOOKUP(BA498,'DATABASE F&amp;B'!$C$3:$F$216,4,0)</f>
        <v>0</v>
      </c>
      <c r="BE498" s="19">
        <f t="shared" si="449"/>
        <v>0</v>
      </c>
      <c r="BF498" s="16"/>
      <c r="BG498" s="17">
        <f>VLOOKUP(BF498,'DATABASE F&amp;B'!$C$3:$F$216,2,0)</f>
        <v>0</v>
      </c>
      <c r="BH498" s="18"/>
      <c r="BI498" s="19">
        <f>VLOOKUP(BF498,'DATABASE F&amp;B'!$C$3:$F$216,4,0)</f>
        <v>0</v>
      </c>
      <c r="BJ498" s="19">
        <f t="shared" si="450"/>
        <v>0</v>
      </c>
      <c r="BK498" s="16"/>
      <c r="BL498" s="17">
        <f>VLOOKUP(BK498,'DATABASE F&amp;B'!$C$3:$F$210,2,0)</f>
        <v>0</v>
      </c>
      <c r="BM498" s="18"/>
      <c r="BN498" s="19">
        <f>VLOOKUP(BK498,'DATABASE F&amp;B'!$C$3:$F$210,4,0)</f>
        <v>0</v>
      </c>
      <c r="BO498" s="19">
        <f t="shared" si="451"/>
        <v>0</v>
      </c>
      <c r="BP498" s="16"/>
      <c r="BQ498" s="17">
        <f>VLOOKUP(BP498,'DATABASE F&amp;B'!$C$3:$F$210,2,0)</f>
        <v>0</v>
      </c>
      <c r="BR498" s="18"/>
      <c r="BS498" s="19">
        <f>VLOOKUP(BP498,'DATABASE F&amp;B'!$C$3:$F$210,4,0)</f>
        <v>0</v>
      </c>
      <c r="BT498" s="19">
        <f t="shared" si="452"/>
        <v>0</v>
      </c>
      <c r="BU498" s="16"/>
      <c r="BV498" s="17">
        <f>VLOOKUP(BU498,'DATABASE F&amp;B'!$C$3:$F$210,2,0)</f>
        <v>0</v>
      </c>
      <c r="BW498" s="18"/>
      <c r="BX498" s="19">
        <f>VLOOKUP(BU498,'DATABASE F&amp;B'!$C$3:$F$210,4,0)</f>
        <v>0</v>
      </c>
      <c r="BY498" s="19">
        <f t="shared" si="453"/>
        <v>0</v>
      </c>
      <c r="BZ498" s="16"/>
      <c r="CA498" s="17">
        <f>VLOOKUP(BZ498,'DATABASE F&amp;B'!$C$3:$F$210,2,0)</f>
        <v>0</v>
      </c>
      <c r="CB498" s="18"/>
      <c r="CC498" s="19">
        <f>VLOOKUP(BZ498,'DATABASE F&amp;B'!$C$3:$F$210,4,0)</f>
        <v>0</v>
      </c>
      <c r="CD498" s="19">
        <f t="shared" si="454"/>
        <v>0</v>
      </c>
    </row>
    <row r="499" spans="1:82" ht="13.5" x14ac:dyDescent="0.25">
      <c r="A499" s="32" t="str">
        <f t="shared" si="434"/>
        <v>--20</v>
      </c>
      <c r="B499" s="22">
        <f t="shared" ref="B499:C499" si="504">B498+1</f>
        <v>495</v>
      </c>
      <c r="C499" s="22">
        <f t="shared" si="504"/>
        <v>495</v>
      </c>
      <c r="D499" s="34"/>
      <c r="E499" s="35"/>
      <c r="F499" s="35"/>
      <c r="G499" s="52"/>
      <c r="H499" s="36" t="str">
        <f t="shared" si="459"/>
        <v>RJ--495</v>
      </c>
      <c r="I499" s="36" t="str">
        <f t="shared" si="436"/>
        <v>--20</v>
      </c>
      <c r="J499" s="37" t="e">
        <f>VLOOKUP(D499,Laporan!$C$4:$D$34,2,0)</f>
        <v>#N/A</v>
      </c>
      <c r="K499" s="48"/>
      <c r="L499" s="13"/>
      <c r="M499" s="19">
        <f>SUMIF('DATABASE Room'!$B$3:$B$7,L499,'DATABASE Room'!$D$3:$D$7)</f>
        <v>0</v>
      </c>
      <c r="N499" s="13"/>
      <c r="O499" s="21">
        <f t="shared" si="437"/>
        <v>0</v>
      </c>
      <c r="P499" s="38"/>
      <c r="Q499" s="19">
        <f t="shared" si="438"/>
        <v>0</v>
      </c>
      <c r="R499" s="21">
        <f t="shared" si="439"/>
        <v>0</v>
      </c>
      <c r="S499" s="19">
        <f t="shared" si="440"/>
        <v>0</v>
      </c>
      <c r="T499" s="19">
        <f t="shared" si="441"/>
        <v>0</v>
      </c>
      <c r="U499" s="21">
        <f t="shared" si="442"/>
        <v>0</v>
      </c>
      <c r="V499" s="39"/>
      <c r="W499" s="16"/>
      <c r="X499" s="17">
        <f>VLOOKUP(W499,'DATABASE F&amp;B'!$C$3:$F$216,2,0)</f>
        <v>0</v>
      </c>
      <c r="Y499" s="18"/>
      <c r="Z499" s="19">
        <f>VLOOKUP(W499,'DATABASE F&amp;B'!$C$3:$F$216,4,0)</f>
        <v>0</v>
      </c>
      <c r="AA499" s="19">
        <f t="shared" si="443"/>
        <v>0</v>
      </c>
      <c r="AB499" s="16"/>
      <c r="AC499" s="17">
        <f>VLOOKUP(AB499,'DATABASE F&amp;B'!$C$3:$F$216,2,0)</f>
        <v>0</v>
      </c>
      <c r="AD499" s="18"/>
      <c r="AE499" s="19">
        <f>VLOOKUP(AB499,'DATABASE F&amp;B'!$C$3:$F$216,4,0)</f>
        <v>0</v>
      </c>
      <c r="AF499" s="19">
        <f t="shared" si="444"/>
        <v>0</v>
      </c>
      <c r="AG499" s="16"/>
      <c r="AH499" s="17">
        <f>VLOOKUP(AG499,'DATABASE F&amp;B'!$C$3:$F$216,2,0)</f>
        <v>0</v>
      </c>
      <c r="AI499" s="18"/>
      <c r="AJ499" s="19">
        <f>VLOOKUP(AG499,'DATABASE F&amp;B'!$C$3:$F$216,4,0)</f>
        <v>0</v>
      </c>
      <c r="AK499" s="19">
        <f t="shared" si="445"/>
        <v>0</v>
      </c>
      <c r="AL499" s="16"/>
      <c r="AM499" s="17">
        <f>VLOOKUP(AL499,'DATABASE F&amp;B'!$C$3:$F$216,2,0)</f>
        <v>0</v>
      </c>
      <c r="AN499" s="18"/>
      <c r="AO499" s="19">
        <f>VLOOKUP(AL499,'DATABASE F&amp;B'!$C$3:$F$216,4,0)</f>
        <v>0</v>
      </c>
      <c r="AP499" s="19">
        <f t="shared" si="446"/>
        <v>0</v>
      </c>
      <c r="AQ499" s="16"/>
      <c r="AR499" s="17">
        <f>VLOOKUP(AQ499,'DATABASE F&amp;B'!$C$3:$F$216,2,0)</f>
        <v>0</v>
      </c>
      <c r="AS499" s="13"/>
      <c r="AT499" s="19">
        <f>VLOOKUP(AQ499,'DATABASE F&amp;B'!$C$3:$F$216,4,0)</f>
        <v>0</v>
      </c>
      <c r="AU499" s="19">
        <f t="shared" si="447"/>
        <v>0</v>
      </c>
      <c r="AV499" s="16"/>
      <c r="AW499" s="17">
        <f>VLOOKUP(AV499,'DATABASE F&amp;B'!$C$3:$F$216,2,0)</f>
        <v>0</v>
      </c>
      <c r="AX499" s="18"/>
      <c r="AY499" s="19">
        <f>VLOOKUP(AV499,'DATABASE F&amp;B'!$C$3:$F$216,4,0)</f>
        <v>0</v>
      </c>
      <c r="AZ499" s="19">
        <f t="shared" si="448"/>
        <v>0</v>
      </c>
      <c r="BA499" s="16"/>
      <c r="BB499" s="17">
        <f>VLOOKUP(BA499,'DATABASE F&amp;B'!$C$3:$F$216,2,0)</f>
        <v>0</v>
      </c>
      <c r="BC499" s="18"/>
      <c r="BD499" s="19">
        <f>VLOOKUP(BA499,'DATABASE F&amp;B'!$C$3:$F$216,4,0)</f>
        <v>0</v>
      </c>
      <c r="BE499" s="19">
        <f t="shared" si="449"/>
        <v>0</v>
      </c>
      <c r="BF499" s="16"/>
      <c r="BG499" s="17">
        <f>VLOOKUP(BF499,'DATABASE F&amp;B'!$C$3:$F$216,2,0)</f>
        <v>0</v>
      </c>
      <c r="BH499" s="18"/>
      <c r="BI499" s="19">
        <f>VLOOKUP(BF499,'DATABASE F&amp;B'!$C$3:$F$216,4,0)</f>
        <v>0</v>
      </c>
      <c r="BJ499" s="19">
        <f t="shared" si="450"/>
        <v>0</v>
      </c>
      <c r="BK499" s="16"/>
      <c r="BL499" s="17">
        <f>VLOOKUP(BK499,'DATABASE F&amp;B'!$C$3:$F$210,2,0)</f>
        <v>0</v>
      </c>
      <c r="BM499" s="18"/>
      <c r="BN499" s="19">
        <f>VLOOKUP(BK499,'DATABASE F&amp;B'!$C$3:$F$210,4,0)</f>
        <v>0</v>
      </c>
      <c r="BO499" s="19">
        <f t="shared" si="451"/>
        <v>0</v>
      </c>
      <c r="BP499" s="16"/>
      <c r="BQ499" s="17">
        <f>VLOOKUP(BP499,'DATABASE F&amp;B'!$C$3:$F$210,2,0)</f>
        <v>0</v>
      </c>
      <c r="BR499" s="18"/>
      <c r="BS499" s="19">
        <f>VLOOKUP(BP499,'DATABASE F&amp;B'!$C$3:$F$210,4,0)</f>
        <v>0</v>
      </c>
      <c r="BT499" s="19">
        <f t="shared" si="452"/>
        <v>0</v>
      </c>
      <c r="BU499" s="16"/>
      <c r="BV499" s="17">
        <f>VLOOKUP(BU499,'DATABASE F&amp;B'!$C$3:$F$210,2,0)</f>
        <v>0</v>
      </c>
      <c r="BW499" s="18"/>
      <c r="BX499" s="19">
        <f>VLOOKUP(BU499,'DATABASE F&amp;B'!$C$3:$F$210,4,0)</f>
        <v>0</v>
      </c>
      <c r="BY499" s="19">
        <f t="shared" si="453"/>
        <v>0</v>
      </c>
      <c r="BZ499" s="16"/>
      <c r="CA499" s="17">
        <f>VLOOKUP(BZ499,'DATABASE F&amp;B'!$C$3:$F$210,2,0)</f>
        <v>0</v>
      </c>
      <c r="CB499" s="18"/>
      <c r="CC499" s="19">
        <f>VLOOKUP(BZ499,'DATABASE F&amp;B'!$C$3:$F$210,4,0)</f>
        <v>0</v>
      </c>
      <c r="CD499" s="19">
        <f t="shared" si="454"/>
        <v>0</v>
      </c>
    </row>
    <row r="500" spans="1:82" ht="13.5" x14ac:dyDescent="0.25">
      <c r="A500" s="32" t="str">
        <f t="shared" si="434"/>
        <v>--20</v>
      </c>
      <c r="B500" s="22">
        <f t="shared" ref="B500:C500" si="505">B499+1</f>
        <v>496</v>
      </c>
      <c r="C500" s="22">
        <f t="shared" si="505"/>
        <v>496</v>
      </c>
      <c r="D500" s="34"/>
      <c r="E500" s="35"/>
      <c r="F500" s="35"/>
      <c r="G500" s="52"/>
      <c r="H500" s="36" t="str">
        <f t="shared" si="459"/>
        <v>RJ--496</v>
      </c>
      <c r="I500" s="36" t="str">
        <f t="shared" si="436"/>
        <v>--20</v>
      </c>
      <c r="J500" s="37" t="e">
        <f>VLOOKUP(D500,Laporan!$C$4:$D$34,2,0)</f>
        <v>#N/A</v>
      </c>
      <c r="K500" s="48"/>
      <c r="L500" s="13"/>
      <c r="M500" s="19">
        <f>SUMIF('DATABASE Room'!$B$3:$B$7,L500,'DATABASE Room'!$D$3:$D$7)</f>
        <v>0</v>
      </c>
      <c r="N500" s="13"/>
      <c r="O500" s="21">
        <f t="shared" si="437"/>
        <v>0</v>
      </c>
      <c r="P500" s="38"/>
      <c r="Q500" s="19">
        <f t="shared" si="438"/>
        <v>0</v>
      </c>
      <c r="R500" s="21">
        <f t="shared" si="439"/>
        <v>0</v>
      </c>
      <c r="S500" s="19">
        <f t="shared" si="440"/>
        <v>0</v>
      </c>
      <c r="T500" s="19">
        <f t="shared" si="441"/>
        <v>0</v>
      </c>
      <c r="U500" s="21">
        <f t="shared" si="442"/>
        <v>0</v>
      </c>
      <c r="V500" s="39"/>
      <c r="W500" s="16"/>
      <c r="X500" s="17">
        <f>VLOOKUP(W500,'DATABASE F&amp;B'!$C$3:$F$216,2,0)</f>
        <v>0</v>
      </c>
      <c r="Y500" s="18"/>
      <c r="Z500" s="19">
        <f>VLOOKUP(W500,'DATABASE F&amp;B'!$C$3:$F$216,4,0)</f>
        <v>0</v>
      </c>
      <c r="AA500" s="19">
        <f t="shared" si="443"/>
        <v>0</v>
      </c>
      <c r="AB500" s="16"/>
      <c r="AC500" s="17">
        <f>VLOOKUP(AB500,'DATABASE F&amp;B'!$C$3:$F$216,2,0)</f>
        <v>0</v>
      </c>
      <c r="AD500" s="18"/>
      <c r="AE500" s="19">
        <f>VLOOKUP(AB500,'DATABASE F&amp;B'!$C$3:$F$216,4,0)</f>
        <v>0</v>
      </c>
      <c r="AF500" s="19">
        <f t="shared" si="444"/>
        <v>0</v>
      </c>
      <c r="AG500" s="16"/>
      <c r="AH500" s="17">
        <f>VLOOKUP(AG500,'DATABASE F&amp;B'!$C$3:$F$216,2,0)</f>
        <v>0</v>
      </c>
      <c r="AI500" s="18"/>
      <c r="AJ500" s="19">
        <f>VLOOKUP(AG500,'DATABASE F&amp;B'!$C$3:$F$216,4,0)</f>
        <v>0</v>
      </c>
      <c r="AK500" s="19">
        <f t="shared" si="445"/>
        <v>0</v>
      </c>
      <c r="AL500" s="16"/>
      <c r="AM500" s="17">
        <f>VLOOKUP(AL500,'DATABASE F&amp;B'!$C$3:$F$216,2,0)</f>
        <v>0</v>
      </c>
      <c r="AN500" s="18"/>
      <c r="AO500" s="19">
        <f>VLOOKUP(AL500,'DATABASE F&amp;B'!$C$3:$F$216,4,0)</f>
        <v>0</v>
      </c>
      <c r="AP500" s="19">
        <f t="shared" si="446"/>
        <v>0</v>
      </c>
      <c r="AQ500" s="16"/>
      <c r="AR500" s="17">
        <f>VLOOKUP(AQ500,'DATABASE F&amp;B'!$C$3:$F$216,2,0)</f>
        <v>0</v>
      </c>
      <c r="AS500" s="13"/>
      <c r="AT500" s="19">
        <f>VLOOKUP(AQ500,'DATABASE F&amp;B'!$C$3:$F$216,4,0)</f>
        <v>0</v>
      </c>
      <c r="AU500" s="19">
        <f t="shared" si="447"/>
        <v>0</v>
      </c>
      <c r="AV500" s="16"/>
      <c r="AW500" s="17">
        <f>VLOOKUP(AV500,'DATABASE F&amp;B'!$C$3:$F$216,2,0)</f>
        <v>0</v>
      </c>
      <c r="AX500" s="18"/>
      <c r="AY500" s="19">
        <f>VLOOKUP(AV500,'DATABASE F&amp;B'!$C$3:$F$216,4,0)</f>
        <v>0</v>
      </c>
      <c r="AZ500" s="19">
        <f t="shared" si="448"/>
        <v>0</v>
      </c>
      <c r="BA500" s="16"/>
      <c r="BB500" s="17">
        <f>VLOOKUP(BA500,'DATABASE F&amp;B'!$C$3:$F$216,2,0)</f>
        <v>0</v>
      </c>
      <c r="BC500" s="18"/>
      <c r="BD500" s="19">
        <f>VLOOKUP(BA500,'DATABASE F&amp;B'!$C$3:$F$216,4,0)</f>
        <v>0</v>
      </c>
      <c r="BE500" s="19">
        <f t="shared" si="449"/>
        <v>0</v>
      </c>
      <c r="BF500" s="16"/>
      <c r="BG500" s="17">
        <f>VLOOKUP(BF500,'DATABASE F&amp;B'!$C$3:$F$216,2,0)</f>
        <v>0</v>
      </c>
      <c r="BH500" s="18"/>
      <c r="BI500" s="19">
        <f>VLOOKUP(BF500,'DATABASE F&amp;B'!$C$3:$F$216,4,0)</f>
        <v>0</v>
      </c>
      <c r="BJ500" s="19">
        <f t="shared" si="450"/>
        <v>0</v>
      </c>
      <c r="BK500" s="16"/>
      <c r="BL500" s="17">
        <f>VLOOKUP(BK500,'DATABASE F&amp;B'!$C$3:$F$210,2,0)</f>
        <v>0</v>
      </c>
      <c r="BM500" s="18"/>
      <c r="BN500" s="19">
        <f>VLOOKUP(BK500,'DATABASE F&amp;B'!$C$3:$F$210,4,0)</f>
        <v>0</v>
      </c>
      <c r="BO500" s="19">
        <f t="shared" si="451"/>
        <v>0</v>
      </c>
      <c r="BP500" s="16"/>
      <c r="BQ500" s="17">
        <f>VLOOKUP(BP500,'DATABASE F&amp;B'!$C$3:$F$210,2,0)</f>
        <v>0</v>
      </c>
      <c r="BR500" s="18"/>
      <c r="BS500" s="19">
        <f>VLOOKUP(BP500,'DATABASE F&amp;B'!$C$3:$F$210,4,0)</f>
        <v>0</v>
      </c>
      <c r="BT500" s="19">
        <f t="shared" si="452"/>
        <v>0</v>
      </c>
      <c r="BU500" s="16"/>
      <c r="BV500" s="17">
        <f>VLOOKUP(BU500,'DATABASE F&amp;B'!$C$3:$F$210,2,0)</f>
        <v>0</v>
      </c>
      <c r="BW500" s="18"/>
      <c r="BX500" s="19">
        <f>VLOOKUP(BU500,'DATABASE F&amp;B'!$C$3:$F$210,4,0)</f>
        <v>0</v>
      </c>
      <c r="BY500" s="19">
        <f t="shared" si="453"/>
        <v>0</v>
      </c>
      <c r="BZ500" s="16"/>
      <c r="CA500" s="17">
        <f>VLOOKUP(BZ500,'DATABASE F&amp;B'!$C$3:$F$210,2,0)</f>
        <v>0</v>
      </c>
      <c r="CB500" s="18"/>
      <c r="CC500" s="19">
        <f>VLOOKUP(BZ500,'DATABASE F&amp;B'!$C$3:$F$210,4,0)</f>
        <v>0</v>
      </c>
      <c r="CD500" s="19">
        <f t="shared" si="454"/>
        <v>0</v>
      </c>
    </row>
    <row r="501" spans="1:82" ht="13.5" x14ac:dyDescent="0.25">
      <c r="A501" s="32" t="str">
        <f t="shared" si="434"/>
        <v>--20</v>
      </c>
      <c r="B501" s="22">
        <f t="shared" ref="B501:C501" si="506">B500+1</f>
        <v>497</v>
      </c>
      <c r="C501" s="22">
        <f t="shared" si="506"/>
        <v>497</v>
      </c>
      <c r="D501" s="34"/>
      <c r="E501" s="35"/>
      <c r="F501" s="35"/>
      <c r="G501" s="52"/>
      <c r="H501" s="36" t="str">
        <f t="shared" si="459"/>
        <v>RJ--497</v>
      </c>
      <c r="I501" s="36" t="str">
        <f t="shared" si="436"/>
        <v>--20</v>
      </c>
      <c r="J501" s="37" t="e">
        <f>VLOOKUP(D501,Laporan!$C$4:$D$34,2,0)</f>
        <v>#N/A</v>
      </c>
      <c r="K501" s="48"/>
      <c r="L501" s="13"/>
      <c r="M501" s="19">
        <f>SUMIF('DATABASE Room'!$B$3:$B$7,L501,'DATABASE Room'!$D$3:$D$7)</f>
        <v>0</v>
      </c>
      <c r="N501" s="13"/>
      <c r="O501" s="21">
        <f t="shared" si="437"/>
        <v>0</v>
      </c>
      <c r="P501" s="38"/>
      <c r="Q501" s="19">
        <f t="shared" si="438"/>
        <v>0</v>
      </c>
      <c r="R501" s="21">
        <f t="shared" si="439"/>
        <v>0</v>
      </c>
      <c r="S501" s="19">
        <f t="shared" si="440"/>
        <v>0</v>
      </c>
      <c r="T501" s="19">
        <f t="shared" si="441"/>
        <v>0</v>
      </c>
      <c r="U501" s="21">
        <f t="shared" si="442"/>
        <v>0</v>
      </c>
      <c r="V501" s="39"/>
      <c r="W501" s="16"/>
      <c r="X501" s="17">
        <f>VLOOKUP(W501,'DATABASE F&amp;B'!$C$3:$F$216,2,0)</f>
        <v>0</v>
      </c>
      <c r="Y501" s="18"/>
      <c r="Z501" s="19">
        <f>VLOOKUP(W501,'DATABASE F&amp;B'!$C$3:$F$216,4,0)</f>
        <v>0</v>
      </c>
      <c r="AA501" s="19">
        <f t="shared" si="443"/>
        <v>0</v>
      </c>
      <c r="AB501" s="16"/>
      <c r="AC501" s="17">
        <f>VLOOKUP(AB501,'DATABASE F&amp;B'!$C$3:$F$216,2,0)</f>
        <v>0</v>
      </c>
      <c r="AD501" s="18"/>
      <c r="AE501" s="19">
        <f>VLOOKUP(AB501,'DATABASE F&amp;B'!$C$3:$F$216,4,0)</f>
        <v>0</v>
      </c>
      <c r="AF501" s="19">
        <f t="shared" si="444"/>
        <v>0</v>
      </c>
      <c r="AG501" s="16"/>
      <c r="AH501" s="17">
        <f>VLOOKUP(AG501,'DATABASE F&amp;B'!$C$3:$F$216,2,0)</f>
        <v>0</v>
      </c>
      <c r="AI501" s="18"/>
      <c r="AJ501" s="19">
        <f>VLOOKUP(AG501,'DATABASE F&amp;B'!$C$3:$F$216,4,0)</f>
        <v>0</v>
      </c>
      <c r="AK501" s="19">
        <f t="shared" si="445"/>
        <v>0</v>
      </c>
      <c r="AL501" s="16"/>
      <c r="AM501" s="17">
        <f>VLOOKUP(AL501,'DATABASE F&amp;B'!$C$3:$F$216,2,0)</f>
        <v>0</v>
      </c>
      <c r="AN501" s="18"/>
      <c r="AO501" s="19">
        <f>VLOOKUP(AL501,'DATABASE F&amp;B'!$C$3:$F$216,4,0)</f>
        <v>0</v>
      </c>
      <c r="AP501" s="19">
        <f t="shared" si="446"/>
        <v>0</v>
      </c>
      <c r="AQ501" s="16"/>
      <c r="AR501" s="17">
        <f>VLOOKUP(AQ501,'DATABASE F&amp;B'!$C$3:$F$216,2,0)</f>
        <v>0</v>
      </c>
      <c r="AS501" s="13"/>
      <c r="AT501" s="19">
        <f>VLOOKUP(AQ501,'DATABASE F&amp;B'!$C$3:$F$216,4,0)</f>
        <v>0</v>
      </c>
      <c r="AU501" s="19">
        <f t="shared" si="447"/>
        <v>0</v>
      </c>
      <c r="AV501" s="16"/>
      <c r="AW501" s="17">
        <f>VLOOKUP(AV501,'DATABASE F&amp;B'!$C$3:$F$216,2,0)</f>
        <v>0</v>
      </c>
      <c r="AX501" s="18"/>
      <c r="AY501" s="19">
        <f>VLOOKUP(AV501,'DATABASE F&amp;B'!$C$3:$F$216,4,0)</f>
        <v>0</v>
      </c>
      <c r="AZ501" s="19">
        <f t="shared" si="448"/>
        <v>0</v>
      </c>
      <c r="BA501" s="16"/>
      <c r="BB501" s="17">
        <f>VLOOKUP(BA501,'DATABASE F&amp;B'!$C$3:$F$216,2,0)</f>
        <v>0</v>
      </c>
      <c r="BC501" s="18"/>
      <c r="BD501" s="19">
        <f>VLOOKUP(BA501,'DATABASE F&amp;B'!$C$3:$F$216,4,0)</f>
        <v>0</v>
      </c>
      <c r="BE501" s="19">
        <f t="shared" si="449"/>
        <v>0</v>
      </c>
      <c r="BF501" s="16"/>
      <c r="BG501" s="17">
        <f>VLOOKUP(BF501,'DATABASE F&amp;B'!$C$3:$F$216,2,0)</f>
        <v>0</v>
      </c>
      <c r="BH501" s="18"/>
      <c r="BI501" s="19">
        <f>VLOOKUP(BF501,'DATABASE F&amp;B'!$C$3:$F$216,4,0)</f>
        <v>0</v>
      </c>
      <c r="BJ501" s="19">
        <f t="shared" si="450"/>
        <v>0</v>
      </c>
      <c r="BK501" s="16"/>
      <c r="BL501" s="17">
        <f>VLOOKUP(BK501,'DATABASE F&amp;B'!$C$3:$F$210,2,0)</f>
        <v>0</v>
      </c>
      <c r="BM501" s="18"/>
      <c r="BN501" s="19">
        <f>VLOOKUP(BK501,'DATABASE F&amp;B'!$C$3:$F$210,4,0)</f>
        <v>0</v>
      </c>
      <c r="BO501" s="19">
        <f t="shared" si="451"/>
        <v>0</v>
      </c>
      <c r="BP501" s="16"/>
      <c r="BQ501" s="17">
        <f>VLOOKUP(BP501,'DATABASE F&amp;B'!$C$3:$F$210,2,0)</f>
        <v>0</v>
      </c>
      <c r="BR501" s="18"/>
      <c r="BS501" s="19">
        <f>VLOOKUP(BP501,'DATABASE F&amp;B'!$C$3:$F$210,4,0)</f>
        <v>0</v>
      </c>
      <c r="BT501" s="19">
        <f t="shared" si="452"/>
        <v>0</v>
      </c>
      <c r="BU501" s="16"/>
      <c r="BV501" s="17">
        <f>VLOOKUP(BU501,'DATABASE F&amp;B'!$C$3:$F$210,2,0)</f>
        <v>0</v>
      </c>
      <c r="BW501" s="18"/>
      <c r="BX501" s="19">
        <f>VLOOKUP(BU501,'DATABASE F&amp;B'!$C$3:$F$210,4,0)</f>
        <v>0</v>
      </c>
      <c r="BY501" s="19">
        <f t="shared" si="453"/>
        <v>0</v>
      </c>
      <c r="BZ501" s="16"/>
      <c r="CA501" s="17">
        <f>VLOOKUP(BZ501,'DATABASE F&amp;B'!$C$3:$F$210,2,0)</f>
        <v>0</v>
      </c>
      <c r="CB501" s="18"/>
      <c r="CC501" s="19">
        <f>VLOOKUP(BZ501,'DATABASE F&amp;B'!$C$3:$F$210,4,0)</f>
        <v>0</v>
      </c>
      <c r="CD501" s="19">
        <f t="shared" si="454"/>
        <v>0</v>
      </c>
    </row>
    <row r="502" spans="1:82" ht="13.5" x14ac:dyDescent="0.25">
      <c r="A502" s="32" t="str">
        <f t="shared" si="434"/>
        <v>--20</v>
      </c>
      <c r="B502" s="22">
        <f t="shared" ref="B502:C502" si="507">B501+1</f>
        <v>498</v>
      </c>
      <c r="C502" s="22">
        <f t="shared" si="507"/>
        <v>498</v>
      </c>
      <c r="D502" s="34"/>
      <c r="E502" s="35"/>
      <c r="F502" s="35"/>
      <c r="G502" s="52"/>
      <c r="H502" s="36" t="str">
        <f t="shared" si="459"/>
        <v>RJ--498</v>
      </c>
      <c r="I502" s="36" t="str">
        <f t="shared" si="436"/>
        <v>--20</v>
      </c>
      <c r="J502" s="37" t="e">
        <f>VLOOKUP(D502,Laporan!$C$4:$D$34,2,0)</f>
        <v>#N/A</v>
      </c>
      <c r="K502" s="48"/>
      <c r="L502" s="13"/>
      <c r="M502" s="19">
        <f>SUMIF('DATABASE Room'!$B$3:$B$7,L502,'DATABASE Room'!$D$3:$D$7)</f>
        <v>0</v>
      </c>
      <c r="N502" s="13"/>
      <c r="O502" s="21">
        <f t="shared" si="437"/>
        <v>0</v>
      </c>
      <c r="P502" s="38"/>
      <c r="Q502" s="19">
        <f t="shared" si="438"/>
        <v>0</v>
      </c>
      <c r="R502" s="21">
        <f t="shared" si="439"/>
        <v>0</v>
      </c>
      <c r="S502" s="19">
        <f t="shared" si="440"/>
        <v>0</v>
      </c>
      <c r="T502" s="19">
        <f t="shared" si="441"/>
        <v>0</v>
      </c>
      <c r="U502" s="21">
        <f t="shared" si="442"/>
        <v>0</v>
      </c>
      <c r="V502" s="39"/>
      <c r="W502" s="16"/>
      <c r="X502" s="17">
        <f>VLOOKUP(W502,'DATABASE F&amp;B'!$C$3:$F$216,2,0)</f>
        <v>0</v>
      </c>
      <c r="Y502" s="18"/>
      <c r="Z502" s="19">
        <f>VLOOKUP(W502,'DATABASE F&amp;B'!$C$3:$F$216,4,0)</f>
        <v>0</v>
      </c>
      <c r="AA502" s="19">
        <f t="shared" si="443"/>
        <v>0</v>
      </c>
      <c r="AB502" s="16"/>
      <c r="AC502" s="17">
        <f>VLOOKUP(AB502,'DATABASE F&amp;B'!$C$3:$F$216,2,0)</f>
        <v>0</v>
      </c>
      <c r="AD502" s="18"/>
      <c r="AE502" s="19">
        <f>VLOOKUP(AB502,'DATABASE F&amp;B'!$C$3:$F$216,4,0)</f>
        <v>0</v>
      </c>
      <c r="AF502" s="19">
        <f t="shared" si="444"/>
        <v>0</v>
      </c>
      <c r="AG502" s="16"/>
      <c r="AH502" s="17">
        <f>VLOOKUP(AG502,'DATABASE F&amp;B'!$C$3:$F$216,2,0)</f>
        <v>0</v>
      </c>
      <c r="AI502" s="18"/>
      <c r="AJ502" s="19">
        <f>VLOOKUP(AG502,'DATABASE F&amp;B'!$C$3:$F$216,4,0)</f>
        <v>0</v>
      </c>
      <c r="AK502" s="19">
        <f t="shared" si="445"/>
        <v>0</v>
      </c>
      <c r="AL502" s="16"/>
      <c r="AM502" s="17">
        <f>VLOOKUP(AL502,'DATABASE F&amp;B'!$C$3:$F$216,2,0)</f>
        <v>0</v>
      </c>
      <c r="AN502" s="18"/>
      <c r="AO502" s="19">
        <f>VLOOKUP(AL502,'DATABASE F&amp;B'!$C$3:$F$216,4,0)</f>
        <v>0</v>
      </c>
      <c r="AP502" s="19">
        <f t="shared" si="446"/>
        <v>0</v>
      </c>
      <c r="AQ502" s="16"/>
      <c r="AR502" s="17">
        <f>VLOOKUP(AQ502,'DATABASE F&amp;B'!$C$3:$F$216,2,0)</f>
        <v>0</v>
      </c>
      <c r="AS502" s="13"/>
      <c r="AT502" s="19">
        <f>VLOOKUP(AQ502,'DATABASE F&amp;B'!$C$3:$F$216,4,0)</f>
        <v>0</v>
      </c>
      <c r="AU502" s="19">
        <f t="shared" si="447"/>
        <v>0</v>
      </c>
      <c r="AV502" s="16"/>
      <c r="AW502" s="17">
        <f>VLOOKUP(AV502,'DATABASE F&amp;B'!$C$3:$F$216,2,0)</f>
        <v>0</v>
      </c>
      <c r="AX502" s="18"/>
      <c r="AY502" s="19">
        <f>VLOOKUP(AV502,'DATABASE F&amp;B'!$C$3:$F$216,4,0)</f>
        <v>0</v>
      </c>
      <c r="AZ502" s="19">
        <f t="shared" si="448"/>
        <v>0</v>
      </c>
      <c r="BA502" s="16"/>
      <c r="BB502" s="17">
        <f>VLOOKUP(BA502,'DATABASE F&amp;B'!$C$3:$F$216,2,0)</f>
        <v>0</v>
      </c>
      <c r="BC502" s="18"/>
      <c r="BD502" s="19">
        <f>VLOOKUP(BA502,'DATABASE F&amp;B'!$C$3:$F$216,4,0)</f>
        <v>0</v>
      </c>
      <c r="BE502" s="19">
        <f t="shared" si="449"/>
        <v>0</v>
      </c>
      <c r="BF502" s="16"/>
      <c r="BG502" s="17">
        <f>VLOOKUP(BF502,'DATABASE F&amp;B'!$C$3:$F$216,2,0)</f>
        <v>0</v>
      </c>
      <c r="BH502" s="18"/>
      <c r="BI502" s="19">
        <f>VLOOKUP(BF502,'DATABASE F&amp;B'!$C$3:$F$216,4,0)</f>
        <v>0</v>
      </c>
      <c r="BJ502" s="19">
        <f t="shared" si="450"/>
        <v>0</v>
      </c>
      <c r="BK502" s="16"/>
      <c r="BL502" s="17">
        <f>VLOOKUP(BK502,'DATABASE F&amp;B'!$C$3:$F$210,2,0)</f>
        <v>0</v>
      </c>
      <c r="BM502" s="18"/>
      <c r="BN502" s="19">
        <f>VLOOKUP(BK502,'DATABASE F&amp;B'!$C$3:$F$210,4,0)</f>
        <v>0</v>
      </c>
      <c r="BO502" s="19">
        <f t="shared" si="451"/>
        <v>0</v>
      </c>
      <c r="BP502" s="16"/>
      <c r="BQ502" s="17">
        <f>VLOOKUP(BP502,'DATABASE F&amp;B'!$C$3:$F$210,2,0)</f>
        <v>0</v>
      </c>
      <c r="BR502" s="18"/>
      <c r="BS502" s="19">
        <f>VLOOKUP(BP502,'DATABASE F&amp;B'!$C$3:$F$210,4,0)</f>
        <v>0</v>
      </c>
      <c r="BT502" s="19">
        <f t="shared" si="452"/>
        <v>0</v>
      </c>
      <c r="BU502" s="16"/>
      <c r="BV502" s="17">
        <f>VLOOKUP(BU502,'DATABASE F&amp;B'!$C$3:$F$210,2,0)</f>
        <v>0</v>
      </c>
      <c r="BW502" s="18"/>
      <c r="BX502" s="19">
        <f>VLOOKUP(BU502,'DATABASE F&amp;B'!$C$3:$F$210,4,0)</f>
        <v>0</v>
      </c>
      <c r="BY502" s="19">
        <f t="shared" si="453"/>
        <v>0</v>
      </c>
      <c r="BZ502" s="16"/>
      <c r="CA502" s="17">
        <f>VLOOKUP(BZ502,'DATABASE F&amp;B'!$C$3:$F$210,2,0)</f>
        <v>0</v>
      </c>
      <c r="CB502" s="18"/>
      <c r="CC502" s="19">
        <f>VLOOKUP(BZ502,'DATABASE F&amp;B'!$C$3:$F$210,4,0)</f>
        <v>0</v>
      </c>
      <c r="CD502" s="19">
        <f t="shared" si="454"/>
        <v>0</v>
      </c>
    </row>
    <row r="503" spans="1:82" ht="13.5" x14ac:dyDescent="0.25">
      <c r="A503" s="32" t="str">
        <f t="shared" si="434"/>
        <v>--20</v>
      </c>
      <c r="B503" s="22">
        <f t="shared" ref="B503:C503" si="508">B502+1</f>
        <v>499</v>
      </c>
      <c r="C503" s="22">
        <f t="shared" si="508"/>
        <v>499</v>
      </c>
      <c r="D503" s="34"/>
      <c r="E503" s="35"/>
      <c r="F503" s="35"/>
      <c r="G503" s="52"/>
      <c r="H503" s="36" t="str">
        <f t="shared" si="459"/>
        <v>RJ--499</v>
      </c>
      <c r="I503" s="36" t="str">
        <f t="shared" si="436"/>
        <v>--20</v>
      </c>
      <c r="J503" s="37" t="e">
        <f>VLOOKUP(D503,Laporan!$C$4:$D$34,2,0)</f>
        <v>#N/A</v>
      </c>
      <c r="K503" s="48"/>
      <c r="L503" s="13"/>
      <c r="M503" s="19">
        <f>SUMIF('DATABASE Room'!$B$3:$B$7,L503,'DATABASE Room'!$D$3:$D$7)</f>
        <v>0</v>
      </c>
      <c r="N503" s="13"/>
      <c r="O503" s="21">
        <f t="shared" si="437"/>
        <v>0</v>
      </c>
      <c r="P503" s="38"/>
      <c r="Q503" s="19">
        <f t="shared" si="438"/>
        <v>0</v>
      </c>
      <c r="R503" s="21">
        <f t="shared" si="439"/>
        <v>0</v>
      </c>
      <c r="S503" s="19">
        <f t="shared" si="440"/>
        <v>0</v>
      </c>
      <c r="T503" s="19">
        <f t="shared" si="441"/>
        <v>0</v>
      </c>
      <c r="U503" s="21">
        <f t="shared" si="442"/>
        <v>0</v>
      </c>
      <c r="V503" s="39"/>
      <c r="W503" s="16"/>
      <c r="X503" s="17">
        <f>VLOOKUP(W503,'DATABASE F&amp;B'!$C$3:$F$216,2,0)</f>
        <v>0</v>
      </c>
      <c r="Y503" s="18"/>
      <c r="Z503" s="19">
        <f>VLOOKUP(W503,'DATABASE F&amp;B'!$C$3:$F$216,4,0)</f>
        <v>0</v>
      </c>
      <c r="AA503" s="19">
        <f t="shared" si="443"/>
        <v>0</v>
      </c>
      <c r="AB503" s="16"/>
      <c r="AC503" s="17">
        <f>VLOOKUP(AB503,'DATABASE F&amp;B'!$C$3:$F$216,2,0)</f>
        <v>0</v>
      </c>
      <c r="AD503" s="18"/>
      <c r="AE503" s="19">
        <f>VLOOKUP(AB503,'DATABASE F&amp;B'!$C$3:$F$216,4,0)</f>
        <v>0</v>
      </c>
      <c r="AF503" s="19">
        <f t="shared" si="444"/>
        <v>0</v>
      </c>
      <c r="AG503" s="16"/>
      <c r="AH503" s="17">
        <f>VLOOKUP(AG503,'DATABASE F&amp;B'!$C$3:$F$216,2,0)</f>
        <v>0</v>
      </c>
      <c r="AI503" s="18"/>
      <c r="AJ503" s="19">
        <f>VLOOKUP(AG503,'DATABASE F&amp;B'!$C$3:$F$216,4,0)</f>
        <v>0</v>
      </c>
      <c r="AK503" s="19">
        <f t="shared" si="445"/>
        <v>0</v>
      </c>
      <c r="AL503" s="16"/>
      <c r="AM503" s="17">
        <f>VLOOKUP(AL503,'DATABASE F&amp;B'!$C$3:$F$216,2,0)</f>
        <v>0</v>
      </c>
      <c r="AN503" s="18"/>
      <c r="AO503" s="19">
        <f>VLOOKUP(AL503,'DATABASE F&amp;B'!$C$3:$F$216,4,0)</f>
        <v>0</v>
      </c>
      <c r="AP503" s="19">
        <f t="shared" si="446"/>
        <v>0</v>
      </c>
      <c r="AQ503" s="16"/>
      <c r="AR503" s="17">
        <f>VLOOKUP(AQ503,'DATABASE F&amp;B'!$C$3:$F$216,2,0)</f>
        <v>0</v>
      </c>
      <c r="AS503" s="13"/>
      <c r="AT503" s="19">
        <f>VLOOKUP(AQ503,'DATABASE F&amp;B'!$C$3:$F$216,4,0)</f>
        <v>0</v>
      </c>
      <c r="AU503" s="19">
        <f t="shared" si="447"/>
        <v>0</v>
      </c>
      <c r="AV503" s="16"/>
      <c r="AW503" s="17">
        <f>VLOOKUP(AV503,'DATABASE F&amp;B'!$C$3:$F$216,2,0)</f>
        <v>0</v>
      </c>
      <c r="AX503" s="18"/>
      <c r="AY503" s="19">
        <f>VLOOKUP(AV503,'DATABASE F&amp;B'!$C$3:$F$216,4,0)</f>
        <v>0</v>
      </c>
      <c r="AZ503" s="19">
        <f t="shared" si="448"/>
        <v>0</v>
      </c>
      <c r="BA503" s="16"/>
      <c r="BB503" s="17">
        <f>VLOOKUP(BA503,'DATABASE F&amp;B'!$C$3:$F$216,2,0)</f>
        <v>0</v>
      </c>
      <c r="BC503" s="18"/>
      <c r="BD503" s="19">
        <f>VLOOKUP(BA503,'DATABASE F&amp;B'!$C$3:$F$216,4,0)</f>
        <v>0</v>
      </c>
      <c r="BE503" s="19">
        <f t="shared" si="449"/>
        <v>0</v>
      </c>
      <c r="BF503" s="16"/>
      <c r="BG503" s="17">
        <f>VLOOKUP(BF503,'DATABASE F&amp;B'!$C$3:$F$216,2,0)</f>
        <v>0</v>
      </c>
      <c r="BH503" s="18"/>
      <c r="BI503" s="19">
        <f>VLOOKUP(BF503,'DATABASE F&amp;B'!$C$3:$F$216,4,0)</f>
        <v>0</v>
      </c>
      <c r="BJ503" s="19">
        <f t="shared" si="450"/>
        <v>0</v>
      </c>
      <c r="BK503" s="16"/>
      <c r="BL503" s="17">
        <f>VLOOKUP(BK503,'DATABASE F&amp;B'!$C$3:$F$210,2,0)</f>
        <v>0</v>
      </c>
      <c r="BM503" s="18"/>
      <c r="BN503" s="19">
        <f>VLOOKUP(BK503,'DATABASE F&amp;B'!$C$3:$F$210,4,0)</f>
        <v>0</v>
      </c>
      <c r="BO503" s="19">
        <f t="shared" si="451"/>
        <v>0</v>
      </c>
      <c r="BP503" s="16"/>
      <c r="BQ503" s="17">
        <f>VLOOKUP(BP503,'DATABASE F&amp;B'!$C$3:$F$210,2,0)</f>
        <v>0</v>
      </c>
      <c r="BR503" s="18"/>
      <c r="BS503" s="19">
        <f>VLOOKUP(BP503,'DATABASE F&amp;B'!$C$3:$F$210,4,0)</f>
        <v>0</v>
      </c>
      <c r="BT503" s="19">
        <f t="shared" si="452"/>
        <v>0</v>
      </c>
      <c r="BU503" s="16"/>
      <c r="BV503" s="17">
        <f>VLOOKUP(BU503,'DATABASE F&amp;B'!$C$3:$F$210,2,0)</f>
        <v>0</v>
      </c>
      <c r="BW503" s="18"/>
      <c r="BX503" s="19">
        <f>VLOOKUP(BU503,'DATABASE F&amp;B'!$C$3:$F$210,4,0)</f>
        <v>0</v>
      </c>
      <c r="BY503" s="19">
        <f t="shared" si="453"/>
        <v>0</v>
      </c>
      <c r="BZ503" s="16"/>
      <c r="CA503" s="17">
        <f>VLOOKUP(BZ503,'DATABASE F&amp;B'!$C$3:$F$210,2,0)</f>
        <v>0</v>
      </c>
      <c r="CB503" s="18"/>
      <c r="CC503" s="19">
        <f>VLOOKUP(BZ503,'DATABASE F&amp;B'!$C$3:$F$210,4,0)</f>
        <v>0</v>
      </c>
      <c r="CD503" s="19">
        <f t="shared" si="454"/>
        <v>0</v>
      </c>
    </row>
    <row r="504" spans="1:82" ht="13.5" x14ac:dyDescent="0.25">
      <c r="A504" s="32" t="str">
        <f t="shared" si="434"/>
        <v>--20</v>
      </c>
      <c r="B504" s="22">
        <f t="shared" ref="B504:C504" si="509">B503+1</f>
        <v>500</v>
      </c>
      <c r="C504" s="22">
        <f t="shared" si="509"/>
        <v>500</v>
      </c>
      <c r="D504" s="34"/>
      <c r="E504" s="35"/>
      <c r="F504" s="35"/>
      <c r="G504" s="52"/>
      <c r="H504" s="36" t="str">
        <f t="shared" si="459"/>
        <v>RJ--500</v>
      </c>
      <c r="I504" s="36" t="str">
        <f t="shared" si="436"/>
        <v>--20</v>
      </c>
      <c r="J504" s="37" t="e">
        <f>VLOOKUP(D504,Laporan!$C$4:$D$34,2,0)</f>
        <v>#N/A</v>
      </c>
      <c r="K504" s="48"/>
      <c r="L504" s="13"/>
      <c r="M504" s="19">
        <f>SUMIF('DATABASE Room'!$B$3:$B$7,L504,'DATABASE Room'!$D$3:$D$7)</f>
        <v>0</v>
      </c>
      <c r="N504" s="13"/>
      <c r="O504" s="21">
        <f t="shared" si="437"/>
        <v>0</v>
      </c>
      <c r="P504" s="38"/>
      <c r="Q504" s="19">
        <f t="shared" si="438"/>
        <v>0</v>
      </c>
      <c r="R504" s="21">
        <f t="shared" si="439"/>
        <v>0</v>
      </c>
      <c r="S504" s="19">
        <f t="shared" si="440"/>
        <v>0</v>
      </c>
      <c r="T504" s="19">
        <f t="shared" si="441"/>
        <v>0</v>
      </c>
      <c r="U504" s="21">
        <f t="shared" si="442"/>
        <v>0</v>
      </c>
      <c r="V504" s="39"/>
      <c r="W504" s="16"/>
      <c r="X504" s="17">
        <f>VLOOKUP(W504,'DATABASE F&amp;B'!$C$3:$F$216,2,0)</f>
        <v>0</v>
      </c>
      <c r="Y504" s="18"/>
      <c r="Z504" s="19">
        <f>VLOOKUP(W504,'DATABASE F&amp;B'!$C$3:$F$216,4,0)</f>
        <v>0</v>
      </c>
      <c r="AA504" s="19">
        <f t="shared" si="443"/>
        <v>0</v>
      </c>
      <c r="AB504" s="16"/>
      <c r="AC504" s="17">
        <f>VLOOKUP(AB504,'DATABASE F&amp;B'!$C$3:$F$216,2,0)</f>
        <v>0</v>
      </c>
      <c r="AD504" s="18"/>
      <c r="AE504" s="19">
        <f>VLOOKUP(AB504,'DATABASE F&amp;B'!$C$3:$F$216,4,0)</f>
        <v>0</v>
      </c>
      <c r="AF504" s="19">
        <f t="shared" si="444"/>
        <v>0</v>
      </c>
      <c r="AG504" s="16"/>
      <c r="AH504" s="17">
        <f>VLOOKUP(AG504,'DATABASE F&amp;B'!$C$3:$F$216,2,0)</f>
        <v>0</v>
      </c>
      <c r="AI504" s="18"/>
      <c r="AJ504" s="19">
        <f>VLOOKUP(AG504,'DATABASE F&amp;B'!$C$3:$F$216,4,0)</f>
        <v>0</v>
      </c>
      <c r="AK504" s="19">
        <f t="shared" si="445"/>
        <v>0</v>
      </c>
      <c r="AL504" s="16"/>
      <c r="AM504" s="17">
        <f>VLOOKUP(AL504,'DATABASE F&amp;B'!$C$3:$F$216,2,0)</f>
        <v>0</v>
      </c>
      <c r="AN504" s="18"/>
      <c r="AO504" s="19">
        <f>VLOOKUP(AL504,'DATABASE F&amp;B'!$C$3:$F$216,4,0)</f>
        <v>0</v>
      </c>
      <c r="AP504" s="19">
        <f t="shared" si="446"/>
        <v>0</v>
      </c>
      <c r="AQ504" s="16"/>
      <c r="AR504" s="17">
        <f>VLOOKUP(AQ504,'DATABASE F&amp;B'!$C$3:$F$216,2,0)</f>
        <v>0</v>
      </c>
      <c r="AS504" s="13"/>
      <c r="AT504" s="19">
        <f>VLOOKUP(AQ504,'DATABASE F&amp;B'!$C$3:$F$216,4,0)</f>
        <v>0</v>
      </c>
      <c r="AU504" s="19">
        <f t="shared" si="447"/>
        <v>0</v>
      </c>
      <c r="AV504" s="16"/>
      <c r="AW504" s="17">
        <f>VLOOKUP(AV504,'DATABASE F&amp;B'!$C$3:$F$216,2,0)</f>
        <v>0</v>
      </c>
      <c r="AX504" s="18"/>
      <c r="AY504" s="19">
        <f>VLOOKUP(AV504,'DATABASE F&amp;B'!$C$3:$F$216,4,0)</f>
        <v>0</v>
      </c>
      <c r="AZ504" s="19">
        <f t="shared" si="448"/>
        <v>0</v>
      </c>
      <c r="BA504" s="16"/>
      <c r="BB504" s="17">
        <f>VLOOKUP(BA504,'DATABASE F&amp;B'!$C$3:$F$216,2,0)</f>
        <v>0</v>
      </c>
      <c r="BC504" s="18"/>
      <c r="BD504" s="19">
        <f>VLOOKUP(BA504,'DATABASE F&amp;B'!$C$3:$F$216,4,0)</f>
        <v>0</v>
      </c>
      <c r="BE504" s="19">
        <f t="shared" si="449"/>
        <v>0</v>
      </c>
      <c r="BF504" s="16"/>
      <c r="BG504" s="17">
        <f>VLOOKUP(BF504,'DATABASE F&amp;B'!$C$3:$F$216,2,0)</f>
        <v>0</v>
      </c>
      <c r="BH504" s="18"/>
      <c r="BI504" s="19">
        <f>VLOOKUP(BF504,'DATABASE F&amp;B'!$C$3:$F$216,4,0)</f>
        <v>0</v>
      </c>
      <c r="BJ504" s="19">
        <f t="shared" si="450"/>
        <v>0</v>
      </c>
      <c r="BK504" s="16"/>
      <c r="BL504" s="17">
        <f>VLOOKUP(BK504,'DATABASE F&amp;B'!$C$3:$F$210,2,0)</f>
        <v>0</v>
      </c>
      <c r="BM504" s="18"/>
      <c r="BN504" s="19">
        <f>VLOOKUP(BK504,'DATABASE F&amp;B'!$C$3:$F$210,4,0)</f>
        <v>0</v>
      </c>
      <c r="BO504" s="19">
        <f t="shared" si="451"/>
        <v>0</v>
      </c>
      <c r="BP504" s="16"/>
      <c r="BQ504" s="17">
        <f>VLOOKUP(BP504,'DATABASE F&amp;B'!$C$3:$F$210,2,0)</f>
        <v>0</v>
      </c>
      <c r="BR504" s="18"/>
      <c r="BS504" s="19">
        <f>VLOOKUP(BP504,'DATABASE F&amp;B'!$C$3:$F$210,4,0)</f>
        <v>0</v>
      </c>
      <c r="BT504" s="19">
        <f t="shared" si="452"/>
        <v>0</v>
      </c>
      <c r="BU504" s="16"/>
      <c r="BV504" s="17">
        <f>VLOOKUP(BU504,'DATABASE F&amp;B'!$C$3:$F$210,2,0)</f>
        <v>0</v>
      </c>
      <c r="BW504" s="18"/>
      <c r="BX504" s="19">
        <f>VLOOKUP(BU504,'DATABASE F&amp;B'!$C$3:$F$210,4,0)</f>
        <v>0</v>
      </c>
      <c r="BY504" s="19">
        <f t="shared" si="453"/>
        <v>0</v>
      </c>
      <c r="BZ504" s="16"/>
      <c r="CA504" s="17">
        <f>VLOOKUP(BZ504,'DATABASE F&amp;B'!$C$3:$F$210,2,0)</f>
        <v>0</v>
      </c>
      <c r="CB504" s="18"/>
      <c r="CC504" s="19">
        <f>VLOOKUP(BZ504,'DATABASE F&amp;B'!$C$3:$F$210,4,0)</f>
        <v>0</v>
      </c>
      <c r="CD504" s="19">
        <f t="shared" si="454"/>
        <v>0</v>
      </c>
    </row>
    <row r="505" spans="1:82" ht="13.5" x14ac:dyDescent="0.25">
      <c r="A505" s="32" t="str">
        <f t="shared" si="434"/>
        <v>--20</v>
      </c>
      <c r="B505" s="22">
        <f t="shared" ref="B505:C505" si="510">B504+1</f>
        <v>501</v>
      </c>
      <c r="C505" s="22">
        <f t="shared" si="510"/>
        <v>501</v>
      </c>
      <c r="D505" s="34"/>
      <c r="E505" s="35"/>
      <c r="F505" s="35"/>
      <c r="G505" s="52"/>
      <c r="H505" s="36" t="str">
        <f t="shared" si="459"/>
        <v>RJ--501</v>
      </c>
      <c r="I505" s="36" t="str">
        <f t="shared" si="436"/>
        <v>--20</v>
      </c>
      <c r="J505" s="37" t="e">
        <f>VLOOKUP(D505,Laporan!$C$4:$D$34,2,0)</f>
        <v>#N/A</v>
      </c>
      <c r="K505" s="48"/>
      <c r="L505" s="13"/>
      <c r="M505" s="19">
        <f>SUMIF('DATABASE Room'!$B$3:$B$7,L505,'DATABASE Room'!$D$3:$D$7)</f>
        <v>0</v>
      </c>
      <c r="N505" s="13"/>
      <c r="O505" s="21">
        <f t="shared" si="437"/>
        <v>0</v>
      </c>
      <c r="P505" s="38"/>
      <c r="Q505" s="19">
        <f t="shared" si="438"/>
        <v>0</v>
      </c>
      <c r="R505" s="21">
        <f t="shared" si="439"/>
        <v>0</v>
      </c>
      <c r="S505" s="19">
        <f t="shared" si="440"/>
        <v>0</v>
      </c>
      <c r="T505" s="19">
        <f t="shared" si="441"/>
        <v>0</v>
      </c>
      <c r="U505" s="21">
        <f t="shared" si="442"/>
        <v>0</v>
      </c>
      <c r="V505" s="39"/>
      <c r="W505" s="16"/>
      <c r="X505" s="17">
        <f>VLOOKUP(W505,'DATABASE F&amp;B'!$C$3:$F$216,2,0)</f>
        <v>0</v>
      </c>
      <c r="Y505" s="18"/>
      <c r="Z505" s="19">
        <f>VLOOKUP(W505,'DATABASE F&amp;B'!$C$3:$F$216,4,0)</f>
        <v>0</v>
      </c>
      <c r="AA505" s="19">
        <f t="shared" si="443"/>
        <v>0</v>
      </c>
      <c r="AB505" s="16"/>
      <c r="AC505" s="17">
        <f>VLOOKUP(AB505,'DATABASE F&amp;B'!$C$3:$F$216,2,0)</f>
        <v>0</v>
      </c>
      <c r="AD505" s="18"/>
      <c r="AE505" s="19">
        <f>VLOOKUP(AB505,'DATABASE F&amp;B'!$C$3:$F$216,4,0)</f>
        <v>0</v>
      </c>
      <c r="AF505" s="19">
        <f t="shared" si="444"/>
        <v>0</v>
      </c>
      <c r="AG505" s="16"/>
      <c r="AH505" s="17">
        <f>VLOOKUP(AG505,'DATABASE F&amp;B'!$C$3:$F$216,2,0)</f>
        <v>0</v>
      </c>
      <c r="AI505" s="18"/>
      <c r="AJ505" s="19">
        <f>VLOOKUP(AG505,'DATABASE F&amp;B'!$C$3:$F$216,4,0)</f>
        <v>0</v>
      </c>
      <c r="AK505" s="19">
        <f t="shared" si="445"/>
        <v>0</v>
      </c>
      <c r="AL505" s="16"/>
      <c r="AM505" s="17">
        <f>VLOOKUP(AL505,'DATABASE F&amp;B'!$C$3:$F$216,2,0)</f>
        <v>0</v>
      </c>
      <c r="AN505" s="18"/>
      <c r="AO505" s="19">
        <f>VLOOKUP(AL505,'DATABASE F&amp;B'!$C$3:$F$216,4,0)</f>
        <v>0</v>
      </c>
      <c r="AP505" s="19">
        <f t="shared" si="446"/>
        <v>0</v>
      </c>
      <c r="AQ505" s="16"/>
      <c r="AR505" s="17">
        <f>VLOOKUP(AQ505,'DATABASE F&amp;B'!$C$3:$F$216,2,0)</f>
        <v>0</v>
      </c>
      <c r="AS505" s="13"/>
      <c r="AT505" s="19">
        <f>VLOOKUP(AQ505,'DATABASE F&amp;B'!$C$3:$F$216,4,0)</f>
        <v>0</v>
      </c>
      <c r="AU505" s="19">
        <f t="shared" si="447"/>
        <v>0</v>
      </c>
      <c r="AV505" s="16"/>
      <c r="AW505" s="17">
        <f>VLOOKUP(AV505,'DATABASE F&amp;B'!$C$3:$F$216,2,0)</f>
        <v>0</v>
      </c>
      <c r="AX505" s="18"/>
      <c r="AY505" s="19">
        <f>VLOOKUP(AV505,'DATABASE F&amp;B'!$C$3:$F$216,4,0)</f>
        <v>0</v>
      </c>
      <c r="AZ505" s="19">
        <f t="shared" si="448"/>
        <v>0</v>
      </c>
      <c r="BA505" s="16"/>
      <c r="BB505" s="17">
        <f>VLOOKUP(BA505,'DATABASE F&amp;B'!$C$3:$F$216,2,0)</f>
        <v>0</v>
      </c>
      <c r="BC505" s="18"/>
      <c r="BD505" s="19">
        <f>VLOOKUP(BA505,'DATABASE F&amp;B'!$C$3:$F$216,4,0)</f>
        <v>0</v>
      </c>
      <c r="BE505" s="19">
        <f t="shared" si="449"/>
        <v>0</v>
      </c>
      <c r="BF505" s="16"/>
      <c r="BG505" s="17">
        <f>VLOOKUP(BF505,'DATABASE F&amp;B'!$C$3:$F$216,2,0)</f>
        <v>0</v>
      </c>
      <c r="BH505" s="18"/>
      <c r="BI505" s="19">
        <f>VLOOKUP(BF505,'DATABASE F&amp;B'!$C$3:$F$216,4,0)</f>
        <v>0</v>
      </c>
      <c r="BJ505" s="19">
        <f t="shared" si="450"/>
        <v>0</v>
      </c>
      <c r="BK505" s="16"/>
      <c r="BL505" s="17">
        <f>VLOOKUP(BK505,'DATABASE F&amp;B'!$C$3:$F$210,2,0)</f>
        <v>0</v>
      </c>
      <c r="BM505" s="18"/>
      <c r="BN505" s="19">
        <f>VLOOKUP(BK505,'DATABASE F&amp;B'!$C$3:$F$210,4,0)</f>
        <v>0</v>
      </c>
      <c r="BO505" s="19">
        <f t="shared" si="451"/>
        <v>0</v>
      </c>
      <c r="BP505" s="16"/>
      <c r="BQ505" s="17">
        <f>VLOOKUP(BP505,'DATABASE F&amp;B'!$C$3:$F$210,2,0)</f>
        <v>0</v>
      </c>
      <c r="BR505" s="18"/>
      <c r="BS505" s="19">
        <f>VLOOKUP(BP505,'DATABASE F&amp;B'!$C$3:$F$210,4,0)</f>
        <v>0</v>
      </c>
      <c r="BT505" s="19">
        <f t="shared" si="452"/>
        <v>0</v>
      </c>
      <c r="BU505" s="16"/>
      <c r="BV505" s="17">
        <f>VLOOKUP(BU505,'DATABASE F&amp;B'!$C$3:$F$210,2,0)</f>
        <v>0</v>
      </c>
      <c r="BW505" s="18"/>
      <c r="BX505" s="19">
        <f>VLOOKUP(BU505,'DATABASE F&amp;B'!$C$3:$F$210,4,0)</f>
        <v>0</v>
      </c>
      <c r="BY505" s="19">
        <f t="shared" si="453"/>
        <v>0</v>
      </c>
      <c r="BZ505" s="16"/>
      <c r="CA505" s="17">
        <f>VLOOKUP(BZ505,'DATABASE F&amp;B'!$C$3:$F$210,2,0)</f>
        <v>0</v>
      </c>
      <c r="CB505" s="18"/>
      <c r="CC505" s="19">
        <f>VLOOKUP(BZ505,'DATABASE F&amp;B'!$C$3:$F$210,4,0)</f>
        <v>0</v>
      </c>
      <c r="CD505" s="19">
        <f t="shared" si="454"/>
        <v>0</v>
      </c>
    </row>
    <row r="506" spans="1:82" ht="13.5" x14ac:dyDescent="0.25">
      <c r="A506" s="32" t="str">
        <f t="shared" si="434"/>
        <v>--20</v>
      </c>
      <c r="B506" s="22">
        <f t="shared" ref="B506:C506" si="511">B505+1</f>
        <v>502</v>
      </c>
      <c r="C506" s="22">
        <f t="shared" si="511"/>
        <v>502</v>
      </c>
      <c r="D506" s="34"/>
      <c r="E506" s="35"/>
      <c r="F506" s="35"/>
      <c r="G506" s="52"/>
      <c r="H506" s="36" t="str">
        <f t="shared" si="459"/>
        <v>RJ--502</v>
      </c>
      <c r="I506" s="36" t="str">
        <f t="shared" si="436"/>
        <v>--20</v>
      </c>
      <c r="J506" s="37" t="e">
        <f>VLOOKUP(D506,Laporan!$C$4:$D$34,2,0)</f>
        <v>#N/A</v>
      </c>
      <c r="K506" s="48"/>
      <c r="L506" s="13"/>
      <c r="M506" s="19">
        <f>SUMIF('DATABASE Room'!$B$3:$B$7,L506,'DATABASE Room'!$D$3:$D$7)</f>
        <v>0</v>
      </c>
      <c r="N506" s="13"/>
      <c r="O506" s="21">
        <f t="shared" si="437"/>
        <v>0</v>
      </c>
      <c r="P506" s="38"/>
      <c r="Q506" s="19">
        <f t="shared" si="438"/>
        <v>0</v>
      </c>
      <c r="R506" s="21">
        <f t="shared" si="439"/>
        <v>0</v>
      </c>
      <c r="S506" s="19">
        <f t="shared" si="440"/>
        <v>0</v>
      </c>
      <c r="T506" s="19">
        <f t="shared" si="441"/>
        <v>0</v>
      </c>
      <c r="U506" s="21">
        <f t="shared" si="442"/>
        <v>0</v>
      </c>
      <c r="V506" s="39"/>
      <c r="W506" s="16"/>
      <c r="X506" s="17">
        <f>VLOOKUP(W506,'DATABASE F&amp;B'!$C$3:$F$216,2,0)</f>
        <v>0</v>
      </c>
      <c r="Y506" s="18"/>
      <c r="Z506" s="19">
        <f>VLOOKUP(W506,'DATABASE F&amp;B'!$C$3:$F$216,4,0)</f>
        <v>0</v>
      </c>
      <c r="AA506" s="19">
        <f t="shared" si="443"/>
        <v>0</v>
      </c>
      <c r="AB506" s="16"/>
      <c r="AC506" s="17">
        <f>VLOOKUP(AB506,'DATABASE F&amp;B'!$C$3:$F$216,2,0)</f>
        <v>0</v>
      </c>
      <c r="AD506" s="18"/>
      <c r="AE506" s="19">
        <f>VLOOKUP(AB506,'DATABASE F&amp;B'!$C$3:$F$216,4,0)</f>
        <v>0</v>
      </c>
      <c r="AF506" s="19">
        <f t="shared" si="444"/>
        <v>0</v>
      </c>
      <c r="AG506" s="16"/>
      <c r="AH506" s="17">
        <f>VLOOKUP(AG506,'DATABASE F&amp;B'!$C$3:$F$216,2,0)</f>
        <v>0</v>
      </c>
      <c r="AI506" s="18"/>
      <c r="AJ506" s="19">
        <f>VLOOKUP(AG506,'DATABASE F&amp;B'!$C$3:$F$216,4,0)</f>
        <v>0</v>
      </c>
      <c r="AK506" s="19">
        <f t="shared" si="445"/>
        <v>0</v>
      </c>
      <c r="AL506" s="16"/>
      <c r="AM506" s="17">
        <f>VLOOKUP(AL506,'DATABASE F&amp;B'!$C$3:$F$216,2,0)</f>
        <v>0</v>
      </c>
      <c r="AN506" s="18"/>
      <c r="AO506" s="19">
        <f>VLOOKUP(AL506,'DATABASE F&amp;B'!$C$3:$F$216,4,0)</f>
        <v>0</v>
      </c>
      <c r="AP506" s="19">
        <f t="shared" si="446"/>
        <v>0</v>
      </c>
      <c r="AQ506" s="16"/>
      <c r="AR506" s="17">
        <f>VLOOKUP(AQ506,'DATABASE F&amp;B'!$C$3:$F$216,2,0)</f>
        <v>0</v>
      </c>
      <c r="AS506" s="13"/>
      <c r="AT506" s="19">
        <f>VLOOKUP(AQ506,'DATABASE F&amp;B'!$C$3:$F$216,4,0)</f>
        <v>0</v>
      </c>
      <c r="AU506" s="19">
        <f t="shared" si="447"/>
        <v>0</v>
      </c>
      <c r="AV506" s="16"/>
      <c r="AW506" s="17">
        <f>VLOOKUP(AV506,'DATABASE F&amp;B'!$C$3:$F$216,2,0)</f>
        <v>0</v>
      </c>
      <c r="AX506" s="18"/>
      <c r="AY506" s="19">
        <f>VLOOKUP(AV506,'DATABASE F&amp;B'!$C$3:$F$216,4,0)</f>
        <v>0</v>
      </c>
      <c r="AZ506" s="19">
        <f t="shared" si="448"/>
        <v>0</v>
      </c>
      <c r="BA506" s="16"/>
      <c r="BB506" s="17">
        <f>VLOOKUP(BA506,'DATABASE F&amp;B'!$C$3:$F$216,2,0)</f>
        <v>0</v>
      </c>
      <c r="BC506" s="18"/>
      <c r="BD506" s="19">
        <f>VLOOKUP(BA506,'DATABASE F&amp;B'!$C$3:$F$216,4,0)</f>
        <v>0</v>
      </c>
      <c r="BE506" s="19">
        <f t="shared" si="449"/>
        <v>0</v>
      </c>
      <c r="BF506" s="16"/>
      <c r="BG506" s="17">
        <f>VLOOKUP(BF506,'DATABASE F&amp;B'!$C$3:$F$216,2,0)</f>
        <v>0</v>
      </c>
      <c r="BH506" s="18"/>
      <c r="BI506" s="19">
        <f>VLOOKUP(BF506,'DATABASE F&amp;B'!$C$3:$F$216,4,0)</f>
        <v>0</v>
      </c>
      <c r="BJ506" s="19">
        <f t="shared" si="450"/>
        <v>0</v>
      </c>
      <c r="BK506" s="16"/>
      <c r="BL506" s="17">
        <f>VLOOKUP(BK506,'DATABASE F&amp;B'!$C$3:$F$210,2,0)</f>
        <v>0</v>
      </c>
      <c r="BM506" s="18"/>
      <c r="BN506" s="19">
        <f>VLOOKUP(BK506,'DATABASE F&amp;B'!$C$3:$F$210,4,0)</f>
        <v>0</v>
      </c>
      <c r="BO506" s="19">
        <f t="shared" si="451"/>
        <v>0</v>
      </c>
      <c r="BP506" s="16"/>
      <c r="BQ506" s="17">
        <f>VLOOKUP(BP506,'DATABASE F&amp;B'!$C$3:$F$210,2,0)</f>
        <v>0</v>
      </c>
      <c r="BR506" s="18"/>
      <c r="BS506" s="19">
        <f>VLOOKUP(BP506,'DATABASE F&amp;B'!$C$3:$F$210,4,0)</f>
        <v>0</v>
      </c>
      <c r="BT506" s="19">
        <f t="shared" si="452"/>
        <v>0</v>
      </c>
      <c r="BU506" s="16"/>
      <c r="BV506" s="17">
        <f>VLOOKUP(BU506,'DATABASE F&amp;B'!$C$3:$F$210,2,0)</f>
        <v>0</v>
      </c>
      <c r="BW506" s="18"/>
      <c r="BX506" s="19">
        <f>VLOOKUP(BU506,'DATABASE F&amp;B'!$C$3:$F$210,4,0)</f>
        <v>0</v>
      </c>
      <c r="BY506" s="19">
        <f t="shared" si="453"/>
        <v>0</v>
      </c>
      <c r="BZ506" s="16"/>
      <c r="CA506" s="17">
        <f>VLOOKUP(BZ506,'DATABASE F&amp;B'!$C$3:$F$210,2,0)</f>
        <v>0</v>
      </c>
      <c r="CB506" s="18"/>
      <c r="CC506" s="19">
        <f>VLOOKUP(BZ506,'DATABASE F&amp;B'!$C$3:$F$210,4,0)</f>
        <v>0</v>
      </c>
      <c r="CD506" s="19">
        <f t="shared" si="454"/>
        <v>0</v>
      </c>
    </row>
    <row r="507" spans="1:82" ht="13.5" x14ac:dyDescent="0.25">
      <c r="A507" s="32" t="str">
        <f t="shared" si="434"/>
        <v>--20</v>
      </c>
      <c r="B507" s="22">
        <f t="shared" ref="B507:C507" si="512">B506+1</f>
        <v>503</v>
      </c>
      <c r="C507" s="22">
        <f t="shared" si="512"/>
        <v>503</v>
      </c>
      <c r="D507" s="34"/>
      <c r="E507" s="35"/>
      <c r="F507" s="35"/>
      <c r="G507" s="52"/>
      <c r="H507" s="36" t="str">
        <f t="shared" si="459"/>
        <v>RJ--503</v>
      </c>
      <c r="I507" s="36" t="str">
        <f t="shared" si="436"/>
        <v>--20</v>
      </c>
      <c r="J507" s="37" t="e">
        <f>VLOOKUP(D507,Laporan!$C$4:$D$34,2,0)</f>
        <v>#N/A</v>
      </c>
      <c r="K507" s="48"/>
      <c r="L507" s="13"/>
      <c r="M507" s="19">
        <f>SUMIF('DATABASE Room'!$B$3:$B$7,L507,'DATABASE Room'!$D$3:$D$7)</f>
        <v>0</v>
      </c>
      <c r="N507" s="13"/>
      <c r="O507" s="21">
        <f t="shared" si="437"/>
        <v>0</v>
      </c>
      <c r="P507" s="38"/>
      <c r="Q507" s="19">
        <f t="shared" si="438"/>
        <v>0</v>
      </c>
      <c r="R507" s="21">
        <f t="shared" si="439"/>
        <v>0</v>
      </c>
      <c r="S507" s="19">
        <f t="shared" si="440"/>
        <v>0</v>
      </c>
      <c r="T507" s="19">
        <f t="shared" si="441"/>
        <v>0</v>
      </c>
      <c r="U507" s="21">
        <f t="shared" si="442"/>
        <v>0</v>
      </c>
      <c r="V507" s="39"/>
      <c r="W507" s="16"/>
      <c r="X507" s="17">
        <f>VLOOKUP(W507,'DATABASE F&amp;B'!$C$3:$F$216,2,0)</f>
        <v>0</v>
      </c>
      <c r="Y507" s="18"/>
      <c r="Z507" s="19">
        <f>VLOOKUP(W507,'DATABASE F&amp;B'!$C$3:$F$216,4,0)</f>
        <v>0</v>
      </c>
      <c r="AA507" s="19">
        <f t="shared" si="443"/>
        <v>0</v>
      </c>
      <c r="AB507" s="16"/>
      <c r="AC507" s="17">
        <f>VLOOKUP(AB507,'DATABASE F&amp;B'!$C$3:$F$216,2,0)</f>
        <v>0</v>
      </c>
      <c r="AD507" s="18"/>
      <c r="AE507" s="19">
        <f>VLOOKUP(AB507,'DATABASE F&amp;B'!$C$3:$F$216,4,0)</f>
        <v>0</v>
      </c>
      <c r="AF507" s="19">
        <f t="shared" si="444"/>
        <v>0</v>
      </c>
      <c r="AG507" s="16"/>
      <c r="AH507" s="17">
        <f>VLOOKUP(AG507,'DATABASE F&amp;B'!$C$3:$F$216,2,0)</f>
        <v>0</v>
      </c>
      <c r="AI507" s="18"/>
      <c r="AJ507" s="19">
        <f>VLOOKUP(AG507,'DATABASE F&amp;B'!$C$3:$F$216,4,0)</f>
        <v>0</v>
      </c>
      <c r="AK507" s="19">
        <f t="shared" si="445"/>
        <v>0</v>
      </c>
      <c r="AL507" s="16"/>
      <c r="AM507" s="17">
        <f>VLOOKUP(AL507,'DATABASE F&amp;B'!$C$3:$F$216,2,0)</f>
        <v>0</v>
      </c>
      <c r="AN507" s="18"/>
      <c r="AO507" s="19">
        <f>VLOOKUP(AL507,'DATABASE F&amp;B'!$C$3:$F$216,4,0)</f>
        <v>0</v>
      </c>
      <c r="AP507" s="19">
        <f t="shared" si="446"/>
        <v>0</v>
      </c>
      <c r="AQ507" s="16"/>
      <c r="AR507" s="17">
        <f>VLOOKUP(AQ507,'DATABASE F&amp;B'!$C$3:$F$216,2,0)</f>
        <v>0</v>
      </c>
      <c r="AS507" s="13"/>
      <c r="AT507" s="19">
        <f>VLOOKUP(AQ507,'DATABASE F&amp;B'!$C$3:$F$216,4,0)</f>
        <v>0</v>
      </c>
      <c r="AU507" s="19">
        <f t="shared" si="447"/>
        <v>0</v>
      </c>
      <c r="AV507" s="16"/>
      <c r="AW507" s="17">
        <f>VLOOKUP(AV507,'DATABASE F&amp;B'!$C$3:$F$216,2,0)</f>
        <v>0</v>
      </c>
      <c r="AX507" s="18"/>
      <c r="AY507" s="19">
        <f>VLOOKUP(AV507,'DATABASE F&amp;B'!$C$3:$F$216,4,0)</f>
        <v>0</v>
      </c>
      <c r="AZ507" s="19">
        <f t="shared" si="448"/>
        <v>0</v>
      </c>
      <c r="BA507" s="16"/>
      <c r="BB507" s="17">
        <f>VLOOKUP(BA507,'DATABASE F&amp;B'!$C$3:$F$216,2,0)</f>
        <v>0</v>
      </c>
      <c r="BC507" s="18"/>
      <c r="BD507" s="19">
        <f>VLOOKUP(BA507,'DATABASE F&amp;B'!$C$3:$F$216,4,0)</f>
        <v>0</v>
      </c>
      <c r="BE507" s="19">
        <f t="shared" si="449"/>
        <v>0</v>
      </c>
      <c r="BF507" s="16"/>
      <c r="BG507" s="17">
        <f>VLOOKUP(BF507,'DATABASE F&amp;B'!$C$3:$F$216,2,0)</f>
        <v>0</v>
      </c>
      <c r="BH507" s="18"/>
      <c r="BI507" s="19">
        <f>VLOOKUP(BF507,'DATABASE F&amp;B'!$C$3:$F$216,4,0)</f>
        <v>0</v>
      </c>
      <c r="BJ507" s="19">
        <f t="shared" si="450"/>
        <v>0</v>
      </c>
      <c r="BK507" s="16"/>
      <c r="BL507" s="17">
        <f>VLOOKUP(BK507,'DATABASE F&amp;B'!$C$3:$F$210,2,0)</f>
        <v>0</v>
      </c>
      <c r="BM507" s="18"/>
      <c r="BN507" s="19">
        <f>VLOOKUP(BK507,'DATABASE F&amp;B'!$C$3:$F$210,4,0)</f>
        <v>0</v>
      </c>
      <c r="BO507" s="19">
        <f t="shared" si="451"/>
        <v>0</v>
      </c>
      <c r="BP507" s="16"/>
      <c r="BQ507" s="17">
        <f>VLOOKUP(BP507,'DATABASE F&amp;B'!$C$3:$F$210,2,0)</f>
        <v>0</v>
      </c>
      <c r="BR507" s="18"/>
      <c r="BS507" s="19">
        <f>VLOOKUP(BP507,'DATABASE F&amp;B'!$C$3:$F$210,4,0)</f>
        <v>0</v>
      </c>
      <c r="BT507" s="19">
        <f t="shared" si="452"/>
        <v>0</v>
      </c>
      <c r="BU507" s="16"/>
      <c r="BV507" s="17">
        <f>VLOOKUP(BU507,'DATABASE F&amp;B'!$C$3:$F$210,2,0)</f>
        <v>0</v>
      </c>
      <c r="BW507" s="18"/>
      <c r="BX507" s="19">
        <f>VLOOKUP(BU507,'DATABASE F&amp;B'!$C$3:$F$210,4,0)</f>
        <v>0</v>
      </c>
      <c r="BY507" s="19">
        <f t="shared" si="453"/>
        <v>0</v>
      </c>
      <c r="BZ507" s="16"/>
      <c r="CA507" s="17">
        <f>VLOOKUP(BZ507,'DATABASE F&amp;B'!$C$3:$F$210,2,0)</f>
        <v>0</v>
      </c>
      <c r="CB507" s="18"/>
      <c r="CC507" s="19">
        <f>VLOOKUP(BZ507,'DATABASE F&amp;B'!$C$3:$F$210,4,0)</f>
        <v>0</v>
      </c>
      <c r="CD507" s="19">
        <f t="shared" si="454"/>
        <v>0</v>
      </c>
    </row>
    <row r="508" spans="1:82" ht="13.5" x14ac:dyDescent="0.25">
      <c r="A508" s="32" t="str">
        <f t="shared" si="434"/>
        <v>--20</v>
      </c>
      <c r="B508" s="22">
        <f t="shared" ref="B508:C508" si="513">B507+1</f>
        <v>504</v>
      </c>
      <c r="C508" s="22">
        <f t="shared" si="513"/>
        <v>504</v>
      </c>
      <c r="D508" s="34"/>
      <c r="E508" s="35"/>
      <c r="F508" s="35"/>
      <c r="G508" s="52"/>
      <c r="H508" s="36" t="str">
        <f t="shared" si="459"/>
        <v>RJ--504</v>
      </c>
      <c r="I508" s="36" t="str">
        <f t="shared" si="436"/>
        <v>--20</v>
      </c>
      <c r="J508" s="37" t="e">
        <f>VLOOKUP(D508,Laporan!$C$4:$D$34,2,0)</f>
        <v>#N/A</v>
      </c>
      <c r="K508" s="48"/>
      <c r="L508" s="13"/>
      <c r="M508" s="19">
        <f>SUMIF('DATABASE Room'!$B$3:$B$7,L508,'DATABASE Room'!$D$3:$D$7)</f>
        <v>0</v>
      </c>
      <c r="N508" s="13"/>
      <c r="O508" s="21">
        <f t="shared" si="437"/>
        <v>0</v>
      </c>
      <c r="P508" s="38"/>
      <c r="Q508" s="19">
        <f t="shared" si="438"/>
        <v>0</v>
      </c>
      <c r="R508" s="21">
        <f t="shared" si="439"/>
        <v>0</v>
      </c>
      <c r="S508" s="19">
        <f t="shared" si="440"/>
        <v>0</v>
      </c>
      <c r="T508" s="19">
        <f t="shared" si="441"/>
        <v>0</v>
      </c>
      <c r="U508" s="21">
        <f t="shared" si="442"/>
        <v>0</v>
      </c>
      <c r="V508" s="39"/>
      <c r="W508" s="16"/>
      <c r="X508" s="17">
        <f>VLOOKUP(W508,'DATABASE F&amp;B'!$C$3:$F$216,2,0)</f>
        <v>0</v>
      </c>
      <c r="Y508" s="18"/>
      <c r="Z508" s="19">
        <f>VLOOKUP(W508,'DATABASE F&amp;B'!$C$3:$F$216,4,0)</f>
        <v>0</v>
      </c>
      <c r="AA508" s="19">
        <f t="shared" si="443"/>
        <v>0</v>
      </c>
      <c r="AB508" s="16"/>
      <c r="AC508" s="17">
        <f>VLOOKUP(AB508,'DATABASE F&amp;B'!$C$3:$F$216,2,0)</f>
        <v>0</v>
      </c>
      <c r="AD508" s="18"/>
      <c r="AE508" s="19">
        <f>VLOOKUP(AB508,'DATABASE F&amp;B'!$C$3:$F$216,4,0)</f>
        <v>0</v>
      </c>
      <c r="AF508" s="19">
        <f t="shared" si="444"/>
        <v>0</v>
      </c>
      <c r="AG508" s="16"/>
      <c r="AH508" s="17">
        <f>VLOOKUP(AG508,'DATABASE F&amp;B'!$C$3:$F$216,2,0)</f>
        <v>0</v>
      </c>
      <c r="AI508" s="18"/>
      <c r="AJ508" s="19">
        <f>VLOOKUP(AG508,'DATABASE F&amp;B'!$C$3:$F$216,4,0)</f>
        <v>0</v>
      </c>
      <c r="AK508" s="19">
        <f t="shared" si="445"/>
        <v>0</v>
      </c>
      <c r="AL508" s="16"/>
      <c r="AM508" s="17">
        <f>VLOOKUP(AL508,'DATABASE F&amp;B'!$C$3:$F$216,2,0)</f>
        <v>0</v>
      </c>
      <c r="AN508" s="18"/>
      <c r="AO508" s="19">
        <f>VLOOKUP(AL508,'DATABASE F&amp;B'!$C$3:$F$216,4,0)</f>
        <v>0</v>
      </c>
      <c r="AP508" s="19">
        <f t="shared" si="446"/>
        <v>0</v>
      </c>
      <c r="AQ508" s="16"/>
      <c r="AR508" s="17">
        <f>VLOOKUP(AQ508,'DATABASE F&amp;B'!$C$3:$F$216,2,0)</f>
        <v>0</v>
      </c>
      <c r="AS508" s="13"/>
      <c r="AT508" s="19">
        <f>VLOOKUP(AQ508,'DATABASE F&amp;B'!$C$3:$F$216,4,0)</f>
        <v>0</v>
      </c>
      <c r="AU508" s="19">
        <f t="shared" si="447"/>
        <v>0</v>
      </c>
      <c r="AV508" s="16"/>
      <c r="AW508" s="17">
        <f>VLOOKUP(AV508,'DATABASE F&amp;B'!$C$3:$F$216,2,0)</f>
        <v>0</v>
      </c>
      <c r="AX508" s="18"/>
      <c r="AY508" s="19">
        <f>VLOOKUP(AV508,'DATABASE F&amp;B'!$C$3:$F$216,4,0)</f>
        <v>0</v>
      </c>
      <c r="AZ508" s="19">
        <f t="shared" si="448"/>
        <v>0</v>
      </c>
      <c r="BA508" s="16"/>
      <c r="BB508" s="17">
        <f>VLOOKUP(BA508,'DATABASE F&amp;B'!$C$3:$F$216,2,0)</f>
        <v>0</v>
      </c>
      <c r="BC508" s="18"/>
      <c r="BD508" s="19">
        <f>VLOOKUP(BA508,'DATABASE F&amp;B'!$C$3:$F$216,4,0)</f>
        <v>0</v>
      </c>
      <c r="BE508" s="19">
        <f t="shared" si="449"/>
        <v>0</v>
      </c>
      <c r="BF508" s="16"/>
      <c r="BG508" s="17">
        <f>VLOOKUP(BF508,'DATABASE F&amp;B'!$C$3:$F$216,2,0)</f>
        <v>0</v>
      </c>
      <c r="BH508" s="18"/>
      <c r="BI508" s="19">
        <f>VLOOKUP(BF508,'DATABASE F&amp;B'!$C$3:$F$216,4,0)</f>
        <v>0</v>
      </c>
      <c r="BJ508" s="19">
        <f t="shared" si="450"/>
        <v>0</v>
      </c>
      <c r="BK508" s="16"/>
      <c r="BL508" s="17">
        <f>VLOOKUP(BK508,'DATABASE F&amp;B'!$C$3:$F$210,2,0)</f>
        <v>0</v>
      </c>
      <c r="BM508" s="18"/>
      <c r="BN508" s="19">
        <f>VLOOKUP(BK508,'DATABASE F&amp;B'!$C$3:$F$210,4,0)</f>
        <v>0</v>
      </c>
      <c r="BO508" s="19">
        <f t="shared" si="451"/>
        <v>0</v>
      </c>
      <c r="BP508" s="16"/>
      <c r="BQ508" s="17">
        <f>VLOOKUP(BP508,'DATABASE F&amp;B'!$C$3:$F$210,2,0)</f>
        <v>0</v>
      </c>
      <c r="BR508" s="18"/>
      <c r="BS508" s="19">
        <f>VLOOKUP(BP508,'DATABASE F&amp;B'!$C$3:$F$210,4,0)</f>
        <v>0</v>
      </c>
      <c r="BT508" s="19">
        <f t="shared" si="452"/>
        <v>0</v>
      </c>
      <c r="BU508" s="16"/>
      <c r="BV508" s="17">
        <f>VLOOKUP(BU508,'DATABASE F&amp;B'!$C$3:$F$210,2,0)</f>
        <v>0</v>
      </c>
      <c r="BW508" s="18"/>
      <c r="BX508" s="19">
        <f>VLOOKUP(BU508,'DATABASE F&amp;B'!$C$3:$F$210,4,0)</f>
        <v>0</v>
      </c>
      <c r="BY508" s="19">
        <f t="shared" si="453"/>
        <v>0</v>
      </c>
      <c r="BZ508" s="16"/>
      <c r="CA508" s="17">
        <f>VLOOKUP(BZ508,'DATABASE F&amp;B'!$C$3:$F$210,2,0)</f>
        <v>0</v>
      </c>
      <c r="CB508" s="18"/>
      <c r="CC508" s="19">
        <f>VLOOKUP(BZ508,'DATABASE F&amp;B'!$C$3:$F$210,4,0)</f>
        <v>0</v>
      </c>
      <c r="CD508" s="19">
        <f t="shared" si="454"/>
        <v>0</v>
      </c>
    </row>
    <row r="509" spans="1:82" ht="13.5" x14ac:dyDescent="0.25">
      <c r="A509" s="32" t="str">
        <f t="shared" si="434"/>
        <v>--20</v>
      </c>
      <c r="B509" s="22">
        <f t="shared" ref="B509:C509" si="514">B508+1</f>
        <v>505</v>
      </c>
      <c r="C509" s="22">
        <f t="shared" si="514"/>
        <v>505</v>
      </c>
      <c r="D509" s="34"/>
      <c r="E509" s="35"/>
      <c r="F509" s="35"/>
      <c r="G509" s="52"/>
      <c r="H509" s="36" t="str">
        <f t="shared" si="459"/>
        <v>RJ--505</v>
      </c>
      <c r="I509" s="36" t="str">
        <f t="shared" si="436"/>
        <v>--20</v>
      </c>
      <c r="J509" s="37" t="e">
        <f>VLOOKUP(D509,Laporan!$C$4:$D$34,2,0)</f>
        <v>#N/A</v>
      </c>
      <c r="K509" s="48"/>
      <c r="L509" s="13"/>
      <c r="M509" s="19">
        <f>SUMIF('DATABASE Room'!$B$3:$B$7,L509,'DATABASE Room'!$D$3:$D$7)</f>
        <v>0</v>
      </c>
      <c r="N509" s="13"/>
      <c r="O509" s="21">
        <f t="shared" si="437"/>
        <v>0</v>
      </c>
      <c r="P509" s="38"/>
      <c r="Q509" s="19">
        <f t="shared" si="438"/>
        <v>0</v>
      </c>
      <c r="R509" s="21">
        <f t="shared" si="439"/>
        <v>0</v>
      </c>
      <c r="S509" s="19">
        <f t="shared" si="440"/>
        <v>0</v>
      </c>
      <c r="T509" s="19">
        <f t="shared" si="441"/>
        <v>0</v>
      </c>
      <c r="U509" s="21">
        <f t="shared" si="442"/>
        <v>0</v>
      </c>
      <c r="V509" s="39"/>
      <c r="W509" s="16"/>
      <c r="X509" s="17">
        <f>VLOOKUP(W509,'DATABASE F&amp;B'!$C$3:$F$216,2,0)</f>
        <v>0</v>
      </c>
      <c r="Y509" s="18"/>
      <c r="Z509" s="19">
        <f>VLOOKUP(W509,'DATABASE F&amp;B'!$C$3:$F$216,4,0)</f>
        <v>0</v>
      </c>
      <c r="AA509" s="19">
        <f t="shared" si="443"/>
        <v>0</v>
      </c>
      <c r="AB509" s="16"/>
      <c r="AC509" s="17">
        <f>VLOOKUP(AB509,'DATABASE F&amp;B'!$C$3:$F$216,2,0)</f>
        <v>0</v>
      </c>
      <c r="AD509" s="18"/>
      <c r="AE509" s="19">
        <f>VLOOKUP(AB509,'DATABASE F&amp;B'!$C$3:$F$216,4,0)</f>
        <v>0</v>
      </c>
      <c r="AF509" s="19">
        <f t="shared" si="444"/>
        <v>0</v>
      </c>
      <c r="AG509" s="16"/>
      <c r="AH509" s="17">
        <f>VLOOKUP(AG509,'DATABASE F&amp;B'!$C$3:$F$216,2,0)</f>
        <v>0</v>
      </c>
      <c r="AI509" s="18"/>
      <c r="AJ509" s="19">
        <f>VLOOKUP(AG509,'DATABASE F&amp;B'!$C$3:$F$216,4,0)</f>
        <v>0</v>
      </c>
      <c r="AK509" s="19">
        <f t="shared" si="445"/>
        <v>0</v>
      </c>
      <c r="AL509" s="16"/>
      <c r="AM509" s="17">
        <f>VLOOKUP(AL509,'DATABASE F&amp;B'!$C$3:$F$216,2,0)</f>
        <v>0</v>
      </c>
      <c r="AN509" s="18"/>
      <c r="AO509" s="19">
        <f>VLOOKUP(AL509,'DATABASE F&amp;B'!$C$3:$F$216,4,0)</f>
        <v>0</v>
      </c>
      <c r="AP509" s="19">
        <f t="shared" si="446"/>
        <v>0</v>
      </c>
      <c r="AQ509" s="16"/>
      <c r="AR509" s="17">
        <f>VLOOKUP(AQ509,'DATABASE F&amp;B'!$C$3:$F$216,2,0)</f>
        <v>0</v>
      </c>
      <c r="AS509" s="13"/>
      <c r="AT509" s="19">
        <f>VLOOKUP(AQ509,'DATABASE F&amp;B'!$C$3:$F$216,4,0)</f>
        <v>0</v>
      </c>
      <c r="AU509" s="19">
        <f t="shared" si="447"/>
        <v>0</v>
      </c>
      <c r="AV509" s="16"/>
      <c r="AW509" s="17">
        <f>VLOOKUP(AV509,'DATABASE F&amp;B'!$C$3:$F$216,2,0)</f>
        <v>0</v>
      </c>
      <c r="AX509" s="18"/>
      <c r="AY509" s="19">
        <f>VLOOKUP(AV509,'DATABASE F&amp;B'!$C$3:$F$216,4,0)</f>
        <v>0</v>
      </c>
      <c r="AZ509" s="19">
        <f t="shared" si="448"/>
        <v>0</v>
      </c>
      <c r="BA509" s="16"/>
      <c r="BB509" s="17">
        <f>VLOOKUP(BA509,'DATABASE F&amp;B'!$C$3:$F$216,2,0)</f>
        <v>0</v>
      </c>
      <c r="BC509" s="18"/>
      <c r="BD509" s="19">
        <f>VLOOKUP(BA509,'DATABASE F&amp;B'!$C$3:$F$216,4,0)</f>
        <v>0</v>
      </c>
      <c r="BE509" s="19">
        <f t="shared" si="449"/>
        <v>0</v>
      </c>
      <c r="BF509" s="16"/>
      <c r="BG509" s="17">
        <f>VLOOKUP(BF509,'DATABASE F&amp;B'!$C$3:$F$216,2,0)</f>
        <v>0</v>
      </c>
      <c r="BH509" s="18"/>
      <c r="BI509" s="19">
        <f>VLOOKUP(BF509,'DATABASE F&amp;B'!$C$3:$F$216,4,0)</f>
        <v>0</v>
      </c>
      <c r="BJ509" s="19">
        <f t="shared" si="450"/>
        <v>0</v>
      </c>
      <c r="BK509" s="16"/>
      <c r="BL509" s="17">
        <f>VLOOKUP(BK509,'DATABASE F&amp;B'!$C$3:$F$210,2,0)</f>
        <v>0</v>
      </c>
      <c r="BM509" s="18"/>
      <c r="BN509" s="19">
        <f>VLOOKUP(BK509,'DATABASE F&amp;B'!$C$3:$F$210,4,0)</f>
        <v>0</v>
      </c>
      <c r="BO509" s="19">
        <f t="shared" si="451"/>
        <v>0</v>
      </c>
      <c r="BP509" s="16"/>
      <c r="BQ509" s="17">
        <f>VLOOKUP(BP509,'DATABASE F&amp;B'!$C$3:$F$210,2,0)</f>
        <v>0</v>
      </c>
      <c r="BR509" s="18"/>
      <c r="BS509" s="19">
        <f>VLOOKUP(BP509,'DATABASE F&amp;B'!$C$3:$F$210,4,0)</f>
        <v>0</v>
      </c>
      <c r="BT509" s="19">
        <f t="shared" si="452"/>
        <v>0</v>
      </c>
      <c r="BU509" s="16"/>
      <c r="BV509" s="17">
        <f>VLOOKUP(BU509,'DATABASE F&amp;B'!$C$3:$F$210,2,0)</f>
        <v>0</v>
      </c>
      <c r="BW509" s="18"/>
      <c r="BX509" s="19">
        <f>VLOOKUP(BU509,'DATABASE F&amp;B'!$C$3:$F$210,4,0)</f>
        <v>0</v>
      </c>
      <c r="BY509" s="19">
        <f t="shared" si="453"/>
        <v>0</v>
      </c>
      <c r="BZ509" s="16"/>
      <c r="CA509" s="17">
        <f>VLOOKUP(BZ509,'DATABASE F&amp;B'!$C$3:$F$210,2,0)</f>
        <v>0</v>
      </c>
      <c r="CB509" s="18"/>
      <c r="CC509" s="19">
        <f>VLOOKUP(BZ509,'DATABASE F&amp;B'!$C$3:$F$210,4,0)</f>
        <v>0</v>
      </c>
      <c r="CD509" s="19">
        <f t="shared" si="454"/>
        <v>0</v>
      </c>
    </row>
    <row r="510" spans="1:82" ht="13.5" x14ac:dyDescent="0.25">
      <c r="A510" s="32" t="str">
        <f t="shared" si="434"/>
        <v>--20</v>
      </c>
      <c r="B510" s="22">
        <f t="shared" ref="B510:C510" si="515">B509+1</f>
        <v>506</v>
      </c>
      <c r="C510" s="22">
        <f t="shared" si="515"/>
        <v>506</v>
      </c>
      <c r="D510" s="34"/>
      <c r="E510" s="35"/>
      <c r="F510" s="35"/>
      <c r="G510" s="52"/>
      <c r="H510" s="36" t="str">
        <f t="shared" si="459"/>
        <v>RJ--506</v>
      </c>
      <c r="I510" s="36" t="str">
        <f t="shared" si="436"/>
        <v>--20</v>
      </c>
      <c r="J510" s="37" t="e">
        <f>VLOOKUP(D510,Laporan!$C$4:$D$34,2,0)</f>
        <v>#N/A</v>
      </c>
      <c r="K510" s="48"/>
      <c r="L510" s="13"/>
      <c r="M510" s="19">
        <f>SUMIF('DATABASE Room'!$B$3:$B$7,L510,'DATABASE Room'!$D$3:$D$7)</f>
        <v>0</v>
      </c>
      <c r="N510" s="13"/>
      <c r="O510" s="21">
        <f t="shared" si="437"/>
        <v>0</v>
      </c>
      <c r="P510" s="38"/>
      <c r="Q510" s="19">
        <f t="shared" si="438"/>
        <v>0</v>
      </c>
      <c r="R510" s="21">
        <f t="shared" si="439"/>
        <v>0</v>
      </c>
      <c r="S510" s="19">
        <f t="shared" si="440"/>
        <v>0</v>
      </c>
      <c r="T510" s="19">
        <f t="shared" si="441"/>
        <v>0</v>
      </c>
      <c r="U510" s="21">
        <f t="shared" si="442"/>
        <v>0</v>
      </c>
      <c r="V510" s="39"/>
      <c r="W510" s="16"/>
      <c r="X510" s="17">
        <f>VLOOKUP(W510,'DATABASE F&amp;B'!$C$3:$F$216,2,0)</f>
        <v>0</v>
      </c>
      <c r="Y510" s="18"/>
      <c r="Z510" s="19">
        <f>VLOOKUP(W510,'DATABASE F&amp;B'!$C$3:$F$216,4,0)</f>
        <v>0</v>
      </c>
      <c r="AA510" s="19">
        <f t="shared" si="443"/>
        <v>0</v>
      </c>
      <c r="AB510" s="16"/>
      <c r="AC510" s="17">
        <f>VLOOKUP(AB510,'DATABASE F&amp;B'!$C$3:$F$216,2,0)</f>
        <v>0</v>
      </c>
      <c r="AD510" s="18"/>
      <c r="AE510" s="19">
        <f>VLOOKUP(AB510,'DATABASE F&amp;B'!$C$3:$F$216,4,0)</f>
        <v>0</v>
      </c>
      <c r="AF510" s="19">
        <f t="shared" si="444"/>
        <v>0</v>
      </c>
      <c r="AG510" s="16"/>
      <c r="AH510" s="17">
        <f>VLOOKUP(AG510,'DATABASE F&amp;B'!$C$3:$F$216,2,0)</f>
        <v>0</v>
      </c>
      <c r="AI510" s="18"/>
      <c r="AJ510" s="19">
        <f>VLOOKUP(AG510,'DATABASE F&amp;B'!$C$3:$F$216,4,0)</f>
        <v>0</v>
      </c>
      <c r="AK510" s="19">
        <f t="shared" si="445"/>
        <v>0</v>
      </c>
      <c r="AL510" s="16"/>
      <c r="AM510" s="17">
        <f>VLOOKUP(AL510,'DATABASE F&amp;B'!$C$3:$F$216,2,0)</f>
        <v>0</v>
      </c>
      <c r="AN510" s="18"/>
      <c r="AO510" s="19">
        <f>VLOOKUP(AL510,'DATABASE F&amp;B'!$C$3:$F$216,4,0)</f>
        <v>0</v>
      </c>
      <c r="AP510" s="19">
        <f t="shared" si="446"/>
        <v>0</v>
      </c>
      <c r="AQ510" s="16"/>
      <c r="AR510" s="17">
        <f>VLOOKUP(AQ510,'DATABASE F&amp;B'!$C$3:$F$216,2,0)</f>
        <v>0</v>
      </c>
      <c r="AS510" s="13"/>
      <c r="AT510" s="19">
        <f>VLOOKUP(AQ510,'DATABASE F&amp;B'!$C$3:$F$216,4,0)</f>
        <v>0</v>
      </c>
      <c r="AU510" s="19">
        <f t="shared" si="447"/>
        <v>0</v>
      </c>
      <c r="AV510" s="16"/>
      <c r="AW510" s="17">
        <f>VLOOKUP(AV510,'DATABASE F&amp;B'!$C$3:$F$216,2,0)</f>
        <v>0</v>
      </c>
      <c r="AX510" s="18"/>
      <c r="AY510" s="19">
        <f>VLOOKUP(AV510,'DATABASE F&amp;B'!$C$3:$F$216,4,0)</f>
        <v>0</v>
      </c>
      <c r="AZ510" s="19">
        <f t="shared" si="448"/>
        <v>0</v>
      </c>
      <c r="BA510" s="16"/>
      <c r="BB510" s="17">
        <f>VLOOKUP(BA510,'DATABASE F&amp;B'!$C$3:$F$216,2,0)</f>
        <v>0</v>
      </c>
      <c r="BC510" s="18"/>
      <c r="BD510" s="19">
        <f>VLOOKUP(BA510,'DATABASE F&amp;B'!$C$3:$F$216,4,0)</f>
        <v>0</v>
      </c>
      <c r="BE510" s="19">
        <f t="shared" si="449"/>
        <v>0</v>
      </c>
      <c r="BF510" s="16"/>
      <c r="BG510" s="17">
        <f>VLOOKUP(BF510,'DATABASE F&amp;B'!$C$3:$F$216,2,0)</f>
        <v>0</v>
      </c>
      <c r="BH510" s="18"/>
      <c r="BI510" s="19">
        <f>VLOOKUP(BF510,'DATABASE F&amp;B'!$C$3:$F$216,4,0)</f>
        <v>0</v>
      </c>
      <c r="BJ510" s="19">
        <f t="shared" si="450"/>
        <v>0</v>
      </c>
      <c r="BK510" s="16"/>
      <c r="BL510" s="17">
        <f>VLOOKUP(BK510,'DATABASE F&amp;B'!$C$3:$F$210,2,0)</f>
        <v>0</v>
      </c>
      <c r="BM510" s="18"/>
      <c r="BN510" s="19">
        <f>VLOOKUP(BK510,'DATABASE F&amp;B'!$C$3:$F$210,4,0)</f>
        <v>0</v>
      </c>
      <c r="BO510" s="19">
        <f t="shared" si="451"/>
        <v>0</v>
      </c>
      <c r="BP510" s="16"/>
      <c r="BQ510" s="17">
        <f>VLOOKUP(BP510,'DATABASE F&amp;B'!$C$3:$F$210,2,0)</f>
        <v>0</v>
      </c>
      <c r="BR510" s="18"/>
      <c r="BS510" s="19">
        <f>VLOOKUP(BP510,'DATABASE F&amp;B'!$C$3:$F$210,4,0)</f>
        <v>0</v>
      </c>
      <c r="BT510" s="19">
        <f t="shared" si="452"/>
        <v>0</v>
      </c>
      <c r="BU510" s="16"/>
      <c r="BV510" s="17">
        <f>VLOOKUP(BU510,'DATABASE F&amp;B'!$C$3:$F$210,2,0)</f>
        <v>0</v>
      </c>
      <c r="BW510" s="18"/>
      <c r="BX510" s="19">
        <f>VLOOKUP(BU510,'DATABASE F&amp;B'!$C$3:$F$210,4,0)</f>
        <v>0</v>
      </c>
      <c r="BY510" s="19">
        <f t="shared" si="453"/>
        <v>0</v>
      </c>
      <c r="BZ510" s="16"/>
      <c r="CA510" s="17">
        <f>VLOOKUP(BZ510,'DATABASE F&amp;B'!$C$3:$F$210,2,0)</f>
        <v>0</v>
      </c>
      <c r="CB510" s="18"/>
      <c r="CC510" s="19">
        <f>VLOOKUP(BZ510,'DATABASE F&amp;B'!$C$3:$F$210,4,0)</f>
        <v>0</v>
      </c>
      <c r="CD510" s="19">
        <f t="shared" si="454"/>
        <v>0</v>
      </c>
    </row>
    <row r="511" spans="1:82" ht="13.5" x14ac:dyDescent="0.25">
      <c r="A511" s="32" t="str">
        <f t="shared" si="434"/>
        <v>--20</v>
      </c>
      <c r="B511" s="22">
        <f t="shared" ref="B511:C511" si="516">B510+1</f>
        <v>507</v>
      </c>
      <c r="C511" s="22">
        <f t="shared" si="516"/>
        <v>507</v>
      </c>
      <c r="D511" s="34"/>
      <c r="E511" s="35"/>
      <c r="F511" s="35"/>
      <c r="G511" s="52"/>
      <c r="H511" s="36" t="str">
        <f t="shared" si="459"/>
        <v>RJ--507</v>
      </c>
      <c r="I511" s="36" t="str">
        <f t="shared" si="436"/>
        <v>--20</v>
      </c>
      <c r="J511" s="37" t="e">
        <f>VLOOKUP(D511,Laporan!$C$4:$D$34,2,0)</f>
        <v>#N/A</v>
      </c>
      <c r="K511" s="48"/>
      <c r="L511" s="13"/>
      <c r="M511" s="19">
        <f>SUMIF('DATABASE Room'!$B$3:$B$7,L511,'DATABASE Room'!$D$3:$D$7)</f>
        <v>0</v>
      </c>
      <c r="N511" s="13"/>
      <c r="O511" s="21">
        <f t="shared" si="437"/>
        <v>0</v>
      </c>
      <c r="P511" s="38"/>
      <c r="Q511" s="19">
        <f t="shared" si="438"/>
        <v>0</v>
      </c>
      <c r="R511" s="21">
        <f t="shared" si="439"/>
        <v>0</v>
      </c>
      <c r="S511" s="19">
        <f t="shared" si="440"/>
        <v>0</v>
      </c>
      <c r="T511" s="19">
        <f t="shared" si="441"/>
        <v>0</v>
      </c>
      <c r="U511" s="21">
        <f t="shared" si="442"/>
        <v>0</v>
      </c>
      <c r="V511" s="39"/>
      <c r="W511" s="16"/>
      <c r="X511" s="17">
        <f>VLOOKUP(W511,'DATABASE F&amp;B'!$C$3:$F$216,2,0)</f>
        <v>0</v>
      </c>
      <c r="Y511" s="18"/>
      <c r="Z511" s="19">
        <f>VLOOKUP(W511,'DATABASE F&amp;B'!$C$3:$F$216,4,0)</f>
        <v>0</v>
      </c>
      <c r="AA511" s="19">
        <f t="shared" si="443"/>
        <v>0</v>
      </c>
      <c r="AB511" s="16"/>
      <c r="AC511" s="17">
        <f>VLOOKUP(AB511,'DATABASE F&amp;B'!$C$3:$F$216,2,0)</f>
        <v>0</v>
      </c>
      <c r="AD511" s="18"/>
      <c r="AE511" s="19">
        <f>VLOOKUP(AB511,'DATABASE F&amp;B'!$C$3:$F$216,4,0)</f>
        <v>0</v>
      </c>
      <c r="AF511" s="19">
        <f t="shared" si="444"/>
        <v>0</v>
      </c>
      <c r="AG511" s="16"/>
      <c r="AH511" s="17">
        <f>VLOOKUP(AG511,'DATABASE F&amp;B'!$C$3:$F$216,2,0)</f>
        <v>0</v>
      </c>
      <c r="AI511" s="18"/>
      <c r="AJ511" s="19">
        <f>VLOOKUP(AG511,'DATABASE F&amp;B'!$C$3:$F$216,4,0)</f>
        <v>0</v>
      </c>
      <c r="AK511" s="19">
        <f t="shared" si="445"/>
        <v>0</v>
      </c>
      <c r="AL511" s="16"/>
      <c r="AM511" s="17">
        <f>VLOOKUP(AL511,'DATABASE F&amp;B'!$C$3:$F$216,2,0)</f>
        <v>0</v>
      </c>
      <c r="AN511" s="18"/>
      <c r="AO511" s="19">
        <f>VLOOKUP(AL511,'DATABASE F&amp;B'!$C$3:$F$216,4,0)</f>
        <v>0</v>
      </c>
      <c r="AP511" s="19">
        <f t="shared" si="446"/>
        <v>0</v>
      </c>
      <c r="AQ511" s="16"/>
      <c r="AR511" s="17">
        <f>VLOOKUP(AQ511,'DATABASE F&amp;B'!$C$3:$F$216,2,0)</f>
        <v>0</v>
      </c>
      <c r="AS511" s="13"/>
      <c r="AT511" s="19">
        <f>VLOOKUP(AQ511,'DATABASE F&amp;B'!$C$3:$F$216,4,0)</f>
        <v>0</v>
      </c>
      <c r="AU511" s="19">
        <f t="shared" si="447"/>
        <v>0</v>
      </c>
      <c r="AV511" s="16"/>
      <c r="AW511" s="17">
        <f>VLOOKUP(AV511,'DATABASE F&amp;B'!$C$3:$F$216,2,0)</f>
        <v>0</v>
      </c>
      <c r="AX511" s="18"/>
      <c r="AY511" s="19">
        <f>VLOOKUP(AV511,'DATABASE F&amp;B'!$C$3:$F$216,4,0)</f>
        <v>0</v>
      </c>
      <c r="AZ511" s="19">
        <f t="shared" si="448"/>
        <v>0</v>
      </c>
      <c r="BA511" s="16"/>
      <c r="BB511" s="17">
        <f>VLOOKUP(BA511,'DATABASE F&amp;B'!$C$3:$F$216,2,0)</f>
        <v>0</v>
      </c>
      <c r="BC511" s="18"/>
      <c r="BD511" s="19">
        <f>VLOOKUP(BA511,'DATABASE F&amp;B'!$C$3:$F$216,4,0)</f>
        <v>0</v>
      </c>
      <c r="BE511" s="19">
        <f t="shared" si="449"/>
        <v>0</v>
      </c>
      <c r="BF511" s="16"/>
      <c r="BG511" s="17">
        <f>VLOOKUP(BF511,'DATABASE F&amp;B'!$C$3:$F$216,2,0)</f>
        <v>0</v>
      </c>
      <c r="BH511" s="18"/>
      <c r="BI511" s="19">
        <f>VLOOKUP(BF511,'DATABASE F&amp;B'!$C$3:$F$216,4,0)</f>
        <v>0</v>
      </c>
      <c r="BJ511" s="19">
        <f t="shared" si="450"/>
        <v>0</v>
      </c>
      <c r="BK511" s="16"/>
      <c r="BL511" s="17">
        <f>VLOOKUP(BK511,'DATABASE F&amp;B'!$C$3:$F$210,2,0)</f>
        <v>0</v>
      </c>
      <c r="BM511" s="18"/>
      <c r="BN511" s="19">
        <f>VLOOKUP(BK511,'DATABASE F&amp;B'!$C$3:$F$210,4,0)</f>
        <v>0</v>
      </c>
      <c r="BO511" s="19">
        <f t="shared" si="451"/>
        <v>0</v>
      </c>
      <c r="BP511" s="16"/>
      <c r="BQ511" s="17">
        <f>VLOOKUP(BP511,'DATABASE F&amp;B'!$C$3:$F$210,2,0)</f>
        <v>0</v>
      </c>
      <c r="BR511" s="18"/>
      <c r="BS511" s="19">
        <f>VLOOKUP(BP511,'DATABASE F&amp;B'!$C$3:$F$210,4,0)</f>
        <v>0</v>
      </c>
      <c r="BT511" s="19">
        <f t="shared" si="452"/>
        <v>0</v>
      </c>
      <c r="BU511" s="16"/>
      <c r="BV511" s="17">
        <f>VLOOKUP(BU511,'DATABASE F&amp;B'!$C$3:$F$210,2,0)</f>
        <v>0</v>
      </c>
      <c r="BW511" s="18"/>
      <c r="BX511" s="19">
        <f>VLOOKUP(BU511,'DATABASE F&amp;B'!$C$3:$F$210,4,0)</f>
        <v>0</v>
      </c>
      <c r="BY511" s="19">
        <f t="shared" si="453"/>
        <v>0</v>
      </c>
      <c r="BZ511" s="16"/>
      <c r="CA511" s="17">
        <f>VLOOKUP(BZ511,'DATABASE F&amp;B'!$C$3:$F$210,2,0)</f>
        <v>0</v>
      </c>
      <c r="CB511" s="18"/>
      <c r="CC511" s="19">
        <f>VLOOKUP(BZ511,'DATABASE F&amp;B'!$C$3:$F$210,4,0)</f>
        <v>0</v>
      </c>
      <c r="CD511" s="19">
        <f t="shared" si="454"/>
        <v>0</v>
      </c>
    </row>
    <row r="512" spans="1:82" ht="13.5" x14ac:dyDescent="0.25">
      <c r="A512" s="32" t="str">
        <f t="shared" si="434"/>
        <v>--20</v>
      </c>
      <c r="B512" s="22">
        <f t="shared" ref="B512:C512" si="517">B511+1</f>
        <v>508</v>
      </c>
      <c r="C512" s="22">
        <f t="shared" si="517"/>
        <v>508</v>
      </c>
      <c r="D512" s="34"/>
      <c r="E512" s="35"/>
      <c r="F512" s="35"/>
      <c r="G512" s="52"/>
      <c r="H512" s="36" t="str">
        <f t="shared" si="459"/>
        <v>RJ--508</v>
      </c>
      <c r="I512" s="36" t="str">
        <f t="shared" si="436"/>
        <v>--20</v>
      </c>
      <c r="J512" s="37" t="e">
        <f>VLOOKUP(D512,Laporan!$C$4:$D$34,2,0)</f>
        <v>#N/A</v>
      </c>
      <c r="K512" s="48"/>
      <c r="L512" s="13"/>
      <c r="M512" s="19">
        <f>SUMIF('DATABASE Room'!$B$3:$B$7,L512,'DATABASE Room'!$D$3:$D$7)</f>
        <v>0</v>
      </c>
      <c r="N512" s="13"/>
      <c r="O512" s="21">
        <f t="shared" si="437"/>
        <v>0</v>
      </c>
      <c r="P512" s="38"/>
      <c r="Q512" s="19">
        <f t="shared" si="438"/>
        <v>0</v>
      </c>
      <c r="R512" s="21">
        <f t="shared" si="439"/>
        <v>0</v>
      </c>
      <c r="S512" s="19">
        <f t="shared" si="440"/>
        <v>0</v>
      </c>
      <c r="T512" s="19">
        <f t="shared" si="441"/>
        <v>0</v>
      </c>
      <c r="U512" s="21">
        <f t="shared" si="442"/>
        <v>0</v>
      </c>
      <c r="V512" s="39"/>
      <c r="W512" s="16"/>
      <c r="X512" s="17">
        <f>VLOOKUP(W512,'DATABASE F&amp;B'!$C$3:$F$216,2,0)</f>
        <v>0</v>
      </c>
      <c r="Y512" s="18"/>
      <c r="Z512" s="19">
        <f>VLOOKUP(W512,'DATABASE F&amp;B'!$C$3:$F$216,4,0)</f>
        <v>0</v>
      </c>
      <c r="AA512" s="19">
        <f t="shared" si="443"/>
        <v>0</v>
      </c>
      <c r="AB512" s="16"/>
      <c r="AC512" s="17">
        <f>VLOOKUP(AB512,'DATABASE F&amp;B'!$C$3:$F$216,2,0)</f>
        <v>0</v>
      </c>
      <c r="AD512" s="18"/>
      <c r="AE512" s="19">
        <f>VLOOKUP(AB512,'DATABASE F&amp;B'!$C$3:$F$216,4,0)</f>
        <v>0</v>
      </c>
      <c r="AF512" s="19">
        <f t="shared" si="444"/>
        <v>0</v>
      </c>
      <c r="AG512" s="16"/>
      <c r="AH512" s="17">
        <f>VLOOKUP(AG512,'DATABASE F&amp;B'!$C$3:$F$216,2,0)</f>
        <v>0</v>
      </c>
      <c r="AI512" s="18"/>
      <c r="AJ512" s="19">
        <f>VLOOKUP(AG512,'DATABASE F&amp;B'!$C$3:$F$216,4,0)</f>
        <v>0</v>
      </c>
      <c r="AK512" s="19">
        <f t="shared" si="445"/>
        <v>0</v>
      </c>
      <c r="AL512" s="16"/>
      <c r="AM512" s="17">
        <f>VLOOKUP(AL512,'DATABASE F&amp;B'!$C$3:$F$216,2,0)</f>
        <v>0</v>
      </c>
      <c r="AN512" s="18"/>
      <c r="AO512" s="19">
        <f>VLOOKUP(AL512,'DATABASE F&amp;B'!$C$3:$F$216,4,0)</f>
        <v>0</v>
      </c>
      <c r="AP512" s="19">
        <f t="shared" si="446"/>
        <v>0</v>
      </c>
      <c r="AQ512" s="16"/>
      <c r="AR512" s="17">
        <f>VLOOKUP(AQ512,'DATABASE F&amp;B'!$C$3:$F$216,2,0)</f>
        <v>0</v>
      </c>
      <c r="AS512" s="13"/>
      <c r="AT512" s="19">
        <f>VLOOKUP(AQ512,'DATABASE F&amp;B'!$C$3:$F$216,4,0)</f>
        <v>0</v>
      </c>
      <c r="AU512" s="19">
        <f t="shared" si="447"/>
        <v>0</v>
      </c>
      <c r="AV512" s="16"/>
      <c r="AW512" s="17">
        <f>VLOOKUP(AV512,'DATABASE F&amp;B'!$C$3:$F$216,2,0)</f>
        <v>0</v>
      </c>
      <c r="AX512" s="18"/>
      <c r="AY512" s="19">
        <f>VLOOKUP(AV512,'DATABASE F&amp;B'!$C$3:$F$216,4,0)</f>
        <v>0</v>
      </c>
      <c r="AZ512" s="19">
        <f t="shared" si="448"/>
        <v>0</v>
      </c>
      <c r="BA512" s="16"/>
      <c r="BB512" s="17">
        <f>VLOOKUP(BA512,'DATABASE F&amp;B'!$C$3:$F$216,2,0)</f>
        <v>0</v>
      </c>
      <c r="BC512" s="18"/>
      <c r="BD512" s="19">
        <f>VLOOKUP(BA512,'DATABASE F&amp;B'!$C$3:$F$216,4,0)</f>
        <v>0</v>
      </c>
      <c r="BE512" s="19">
        <f t="shared" si="449"/>
        <v>0</v>
      </c>
      <c r="BF512" s="16"/>
      <c r="BG512" s="17">
        <f>VLOOKUP(BF512,'DATABASE F&amp;B'!$C$3:$F$216,2,0)</f>
        <v>0</v>
      </c>
      <c r="BH512" s="18"/>
      <c r="BI512" s="19">
        <f>VLOOKUP(BF512,'DATABASE F&amp;B'!$C$3:$F$216,4,0)</f>
        <v>0</v>
      </c>
      <c r="BJ512" s="19">
        <f t="shared" si="450"/>
        <v>0</v>
      </c>
      <c r="BK512" s="16"/>
      <c r="BL512" s="17">
        <f>VLOOKUP(BK512,'DATABASE F&amp;B'!$C$3:$F$210,2,0)</f>
        <v>0</v>
      </c>
      <c r="BM512" s="18"/>
      <c r="BN512" s="19">
        <f>VLOOKUP(BK512,'DATABASE F&amp;B'!$C$3:$F$210,4,0)</f>
        <v>0</v>
      </c>
      <c r="BO512" s="19">
        <f t="shared" si="451"/>
        <v>0</v>
      </c>
      <c r="BP512" s="16"/>
      <c r="BQ512" s="17">
        <f>VLOOKUP(BP512,'DATABASE F&amp;B'!$C$3:$F$210,2,0)</f>
        <v>0</v>
      </c>
      <c r="BR512" s="18"/>
      <c r="BS512" s="19">
        <f>VLOOKUP(BP512,'DATABASE F&amp;B'!$C$3:$F$210,4,0)</f>
        <v>0</v>
      </c>
      <c r="BT512" s="19">
        <f t="shared" si="452"/>
        <v>0</v>
      </c>
      <c r="BU512" s="16"/>
      <c r="BV512" s="17">
        <f>VLOOKUP(BU512,'DATABASE F&amp;B'!$C$3:$F$210,2,0)</f>
        <v>0</v>
      </c>
      <c r="BW512" s="18"/>
      <c r="BX512" s="19">
        <f>VLOOKUP(BU512,'DATABASE F&amp;B'!$C$3:$F$210,4,0)</f>
        <v>0</v>
      </c>
      <c r="BY512" s="19">
        <f t="shared" si="453"/>
        <v>0</v>
      </c>
      <c r="BZ512" s="16"/>
      <c r="CA512" s="17">
        <f>VLOOKUP(BZ512,'DATABASE F&amp;B'!$C$3:$F$210,2,0)</f>
        <v>0</v>
      </c>
      <c r="CB512" s="18"/>
      <c r="CC512" s="19">
        <f>VLOOKUP(BZ512,'DATABASE F&amp;B'!$C$3:$F$210,4,0)</f>
        <v>0</v>
      </c>
      <c r="CD512" s="19">
        <f t="shared" si="454"/>
        <v>0</v>
      </c>
    </row>
    <row r="513" spans="1:82" ht="13.5" x14ac:dyDescent="0.25">
      <c r="A513" s="32" t="str">
        <f t="shared" si="434"/>
        <v>--20</v>
      </c>
      <c r="B513" s="22">
        <f t="shared" ref="B513:C513" si="518">B512+1</f>
        <v>509</v>
      </c>
      <c r="C513" s="22">
        <f t="shared" si="518"/>
        <v>509</v>
      </c>
      <c r="D513" s="34"/>
      <c r="E513" s="35"/>
      <c r="F513" s="35"/>
      <c r="G513" s="52"/>
      <c r="H513" s="36" t="str">
        <f t="shared" si="459"/>
        <v>RJ--509</v>
      </c>
      <c r="I513" s="36" t="str">
        <f t="shared" si="436"/>
        <v>--20</v>
      </c>
      <c r="J513" s="37" t="e">
        <f>VLOOKUP(D513,Laporan!$C$4:$D$34,2,0)</f>
        <v>#N/A</v>
      </c>
      <c r="K513" s="48"/>
      <c r="L513" s="13"/>
      <c r="M513" s="19">
        <f>SUMIF('DATABASE Room'!$B$3:$B$7,L513,'DATABASE Room'!$D$3:$D$7)</f>
        <v>0</v>
      </c>
      <c r="N513" s="13"/>
      <c r="O513" s="21">
        <f t="shared" si="437"/>
        <v>0</v>
      </c>
      <c r="P513" s="38"/>
      <c r="Q513" s="19">
        <f t="shared" si="438"/>
        <v>0</v>
      </c>
      <c r="R513" s="21">
        <f t="shared" si="439"/>
        <v>0</v>
      </c>
      <c r="S513" s="19">
        <f t="shared" si="440"/>
        <v>0</v>
      </c>
      <c r="T513" s="19">
        <f t="shared" si="441"/>
        <v>0</v>
      </c>
      <c r="U513" s="21">
        <f t="shared" si="442"/>
        <v>0</v>
      </c>
      <c r="V513" s="39"/>
      <c r="W513" s="16"/>
      <c r="X513" s="17">
        <f>VLOOKUP(W513,'DATABASE F&amp;B'!$C$3:$F$216,2,0)</f>
        <v>0</v>
      </c>
      <c r="Y513" s="18"/>
      <c r="Z513" s="19">
        <f>VLOOKUP(W513,'DATABASE F&amp;B'!$C$3:$F$216,4,0)</f>
        <v>0</v>
      </c>
      <c r="AA513" s="19">
        <f t="shared" si="443"/>
        <v>0</v>
      </c>
      <c r="AB513" s="16"/>
      <c r="AC513" s="17">
        <f>VLOOKUP(AB513,'DATABASE F&amp;B'!$C$3:$F$216,2,0)</f>
        <v>0</v>
      </c>
      <c r="AD513" s="18"/>
      <c r="AE513" s="19">
        <f>VLOOKUP(AB513,'DATABASE F&amp;B'!$C$3:$F$216,4,0)</f>
        <v>0</v>
      </c>
      <c r="AF513" s="19">
        <f t="shared" si="444"/>
        <v>0</v>
      </c>
      <c r="AG513" s="16"/>
      <c r="AH513" s="17">
        <f>VLOOKUP(AG513,'DATABASE F&amp;B'!$C$3:$F$216,2,0)</f>
        <v>0</v>
      </c>
      <c r="AI513" s="18"/>
      <c r="AJ513" s="19">
        <f>VLOOKUP(AG513,'DATABASE F&amp;B'!$C$3:$F$216,4,0)</f>
        <v>0</v>
      </c>
      <c r="AK513" s="19">
        <f t="shared" si="445"/>
        <v>0</v>
      </c>
      <c r="AL513" s="16"/>
      <c r="AM513" s="17">
        <f>VLOOKUP(AL513,'DATABASE F&amp;B'!$C$3:$F$216,2,0)</f>
        <v>0</v>
      </c>
      <c r="AN513" s="18"/>
      <c r="AO513" s="19">
        <f>VLOOKUP(AL513,'DATABASE F&amp;B'!$C$3:$F$216,4,0)</f>
        <v>0</v>
      </c>
      <c r="AP513" s="19">
        <f t="shared" si="446"/>
        <v>0</v>
      </c>
      <c r="AQ513" s="16"/>
      <c r="AR513" s="17">
        <f>VLOOKUP(AQ513,'DATABASE F&amp;B'!$C$3:$F$216,2,0)</f>
        <v>0</v>
      </c>
      <c r="AS513" s="13"/>
      <c r="AT513" s="19">
        <f>VLOOKUP(AQ513,'DATABASE F&amp;B'!$C$3:$F$216,4,0)</f>
        <v>0</v>
      </c>
      <c r="AU513" s="19">
        <f t="shared" si="447"/>
        <v>0</v>
      </c>
      <c r="AV513" s="16"/>
      <c r="AW513" s="17">
        <f>VLOOKUP(AV513,'DATABASE F&amp;B'!$C$3:$F$216,2,0)</f>
        <v>0</v>
      </c>
      <c r="AX513" s="18"/>
      <c r="AY513" s="19">
        <f>VLOOKUP(AV513,'DATABASE F&amp;B'!$C$3:$F$216,4,0)</f>
        <v>0</v>
      </c>
      <c r="AZ513" s="19">
        <f t="shared" si="448"/>
        <v>0</v>
      </c>
      <c r="BA513" s="16"/>
      <c r="BB513" s="17">
        <f>VLOOKUP(BA513,'DATABASE F&amp;B'!$C$3:$F$216,2,0)</f>
        <v>0</v>
      </c>
      <c r="BC513" s="18"/>
      <c r="BD513" s="19">
        <f>VLOOKUP(BA513,'DATABASE F&amp;B'!$C$3:$F$216,4,0)</f>
        <v>0</v>
      </c>
      <c r="BE513" s="19">
        <f t="shared" si="449"/>
        <v>0</v>
      </c>
      <c r="BF513" s="16"/>
      <c r="BG513" s="17">
        <f>VLOOKUP(BF513,'DATABASE F&amp;B'!$C$3:$F$216,2,0)</f>
        <v>0</v>
      </c>
      <c r="BH513" s="18"/>
      <c r="BI513" s="19">
        <f>VLOOKUP(BF513,'DATABASE F&amp;B'!$C$3:$F$216,4,0)</f>
        <v>0</v>
      </c>
      <c r="BJ513" s="19">
        <f t="shared" si="450"/>
        <v>0</v>
      </c>
      <c r="BK513" s="16"/>
      <c r="BL513" s="17">
        <f>VLOOKUP(BK513,'DATABASE F&amp;B'!$C$3:$F$210,2,0)</f>
        <v>0</v>
      </c>
      <c r="BM513" s="18"/>
      <c r="BN513" s="19">
        <f>VLOOKUP(BK513,'DATABASE F&amp;B'!$C$3:$F$210,4,0)</f>
        <v>0</v>
      </c>
      <c r="BO513" s="19">
        <f t="shared" si="451"/>
        <v>0</v>
      </c>
      <c r="BP513" s="16"/>
      <c r="BQ513" s="17">
        <f>VLOOKUP(BP513,'DATABASE F&amp;B'!$C$3:$F$210,2,0)</f>
        <v>0</v>
      </c>
      <c r="BR513" s="18"/>
      <c r="BS513" s="19">
        <f>VLOOKUP(BP513,'DATABASE F&amp;B'!$C$3:$F$210,4,0)</f>
        <v>0</v>
      </c>
      <c r="BT513" s="19">
        <f t="shared" si="452"/>
        <v>0</v>
      </c>
      <c r="BU513" s="16"/>
      <c r="BV513" s="17">
        <f>VLOOKUP(BU513,'DATABASE F&amp;B'!$C$3:$F$210,2,0)</f>
        <v>0</v>
      </c>
      <c r="BW513" s="18"/>
      <c r="BX513" s="19">
        <f>VLOOKUP(BU513,'DATABASE F&amp;B'!$C$3:$F$210,4,0)</f>
        <v>0</v>
      </c>
      <c r="BY513" s="19">
        <f t="shared" si="453"/>
        <v>0</v>
      </c>
      <c r="BZ513" s="16"/>
      <c r="CA513" s="17">
        <f>VLOOKUP(BZ513,'DATABASE F&amp;B'!$C$3:$F$210,2,0)</f>
        <v>0</v>
      </c>
      <c r="CB513" s="18"/>
      <c r="CC513" s="19">
        <f>VLOOKUP(BZ513,'DATABASE F&amp;B'!$C$3:$F$210,4,0)</f>
        <v>0</v>
      </c>
      <c r="CD513" s="19">
        <f t="shared" si="454"/>
        <v>0</v>
      </c>
    </row>
    <row r="514" spans="1:82" ht="13.5" x14ac:dyDescent="0.25">
      <c r="A514" s="32" t="str">
        <f t="shared" ref="A514:A531" si="519">CONCATENATE(F514,"-",E514,"-20",G514)</f>
        <v>--20</v>
      </c>
      <c r="B514" s="22">
        <f t="shared" ref="B514:C514" si="520">B513+1</f>
        <v>510</v>
      </c>
      <c r="C514" s="22">
        <f t="shared" si="520"/>
        <v>510</v>
      </c>
      <c r="D514" s="34"/>
      <c r="E514" s="35"/>
      <c r="F514" s="35"/>
      <c r="G514" s="52"/>
      <c r="H514" s="36" t="str">
        <f t="shared" si="459"/>
        <v>RJ--510</v>
      </c>
      <c r="I514" s="36" t="str">
        <f t="shared" ref="I514:I531" si="521">CONCATENATE(E514,"-",F514,"-20",G514)</f>
        <v>--20</v>
      </c>
      <c r="J514" s="37" t="e">
        <f>VLOOKUP(D514,Laporan!$C$4:$D$34,2,0)</f>
        <v>#N/A</v>
      </c>
      <c r="K514" s="48"/>
      <c r="L514" s="13"/>
      <c r="M514" s="19">
        <f>SUMIF('DATABASE Room'!$B$3:$B$7,L514,'DATABASE Room'!$D$3:$D$7)</f>
        <v>0</v>
      </c>
      <c r="N514" s="13"/>
      <c r="O514" s="21">
        <f t="shared" ref="O514:O531" si="522">N514*M514</f>
        <v>0</v>
      </c>
      <c r="P514" s="38"/>
      <c r="Q514" s="19">
        <f t="shared" ref="Q514:Q531" si="523">P514*M514</f>
        <v>0</v>
      </c>
      <c r="R514" s="21">
        <f t="shared" ref="R514:R531" si="524">O514+Q514</f>
        <v>0</v>
      </c>
      <c r="S514" s="19">
        <f t="shared" ref="S514:S531" si="525">SUMIF($W$4:$CD$4,$S$4,W514:CD514)</f>
        <v>0</v>
      </c>
      <c r="T514" s="19">
        <f t="shared" ref="T514:T531" si="526">SUMIF($W$4:$CD$4,$T$4,W514:CD514)</f>
        <v>0</v>
      </c>
      <c r="U514" s="21">
        <f t="shared" ref="U514:U531" si="527">R514+T514</f>
        <v>0</v>
      </c>
      <c r="V514" s="39"/>
      <c r="W514" s="16"/>
      <c r="X514" s="17">
        <f>VLOOKUP(W514,'DATABASE F&amp;B'!$C$3:$F$216,2,0)</f>
        <v>0</v>
      </c>
      <c r="Y514" s="18"/>
      <c r="Z514" s="19">
        <f>VLOOKUP(W514,'DATABASE F&amp;B'!$C$3:$F$216,4,0)</f>
        <v>0</v>
      </c>
      <c r="AA514" s="19">
        <f t="shared" ref="AA514:AA531" si="528">Y514*Z514</f>
        <v>0</v>
      </c>
      <c r="AB514" s="16"/>
      <c r="AC514" s="17">
        <f>VLOOKUP(AB514,'DATABASE F&amp;B'!$C$3:$F$216,2,0)</f>
        <v>0</v>
      </c>
      <c r="AD514" s="18"/>
      <c r="AE514" s="19">
        <f>VLOOKUP(AB514,'DATABASE F&amp;B'!$C$3:$F$216,4,0)</f>
        <v>0</v>
      </c>
      <c r="AF514" s="19">
        <f t="shared" ref="AF514:AF531" si="529">AD514*AE514</f>
        <v>0</v>
      </c>
      <c r="AG514" s="16"/>
      <c r="AH514" s="17">
        <f>VLOOKUP(AG514,'DATABASE F&amp;B'!$C$3:$F$216,2,0)</f>
        <v>0</v>
      </c>
      <c r="AI514" s="18"/>
      <c r="AJ514" s="19">
        <f>VLOOKUP(AG514,'DATABASE F&amp;B'!$C$3:$F$216,4,0)</f>
        <v>0</v>
      </c>
      <c r="AK514" s="19">
        <f t="shared" ref="AK514:AK531" si="530">AI514*AJ514</f>
        <v>0</v>
      </c>
      <c r="AL514" s="16"/>
      <c r="AM514" s="17">
        <f>VLOOKUP(AL514,'DATABASE F&amp;B'!$C$3:$F$216,2,0)</f>
        <v>0</v>
      </c>
      <c r="AN514" s="18"/>
      <c r="AO514" s="19">
        <f>VLOOKUP(AL514,'DATABASE F&amp;B'!$C$3:$F$216,4,0)</f>
        <v>0</v>
      </c>
      <c r="AP514" s="19">
        <f t="shared" ref="AP514:AP531" si="531">AN514*AO514</f>
        <v>0</v>
      </c>
      <c r="AQ514" s="16"/>
      <c r="AR514" s="17">
        <f>VLOOKUP(AQ514,'DATABASE F&amp;B'!$C$3:$F$216,2,0)</f>
        <v>0</v>
      </c>
      <c r="AS514" s="13"/>
      <c r="AT514" s="19">
        <f>VLOOKUP(AQ514,'DATABASE F&amp;B'!$C$3:$F$216,4,0)</f>
        <v>0</v>
      </c>
      <c r="AU514" s="19">
        <f t="shared" ref="AU514:AU531" si="532">AS514*AT514</f>
        <v>0</v>
      </c>
      <c r="AV514" s="16"/>
      <c r="AW514" s="17">
        <f>VLOOKUP(AV514,'DATABASE F&amp;B'!$C$3:$F$216,2,0)</f>
        <v>0</v>
      </c>
      <c r="AX514" s="18"/>
      <c r="AY514" s="19">
        <f>VLOOKUP(AV514,'DATABASE F&amp;B'!$C$3:$F$216,4,0)</f>
        <v>0</v>
      </c>
      <c r="AZ514" s="19">
        <f t="shared" ref="AZ514:AZ531" si="533">AX514*AY514</f>
        <v>0</v>
      </c>
      <c r="BA514" s="16"/>
      <c r="BB514" s="17">
        <f>VLOOKUP(BA514,'DATABASE F&amp;B'!$C$3:$F$216,2,0)</f>
        <v>0</v>
      </c>
      <c r="BC514" s="18"/>
      <c r="BD514" s="19">
        <f>VLOOKUP(BA514,'DATABASE F&amp;B'!$C$3:$F$216,4,0)</f>
        <v>0</v>
      </c>
      <c r="BE514" s="19">
        <f t="shared" ref="BE514:BE531" si="534">BC514*BD514</f>
        <v>0</v>
      </c>
      <c r="BF514" s="16"/>
      <c r="BG514" s="17">
        <f>VLOOKUP(BF514,'DATABASE F&amp;B'!$C$3:$F$216,2,0)</f>
        <v>0</v>
      </c>
      <c r="BH514" s="18"/>
      <c r="BI514" s="19">
        <f>VLOOKUP(BF514,'DATABASE F&amp;B'!$C$3:$F$216,4,0)</f>
        <v>0</v>
      </c>
      <c r="BJ514" s="19">
        <f t="shared" ref="BJ514:BJ531" si="535">BH514*BI514</f>
        <v>0</v>
      </c>
      <c r="BK514" s="16"/>
      <c r="BL514" s="17">
        <f>VLOOKUP(BK514,'DATABASE F&amp;B'!$C$3:$F$210,2,0)</f>
        <v>0</v>
      </c>
      <c r="BM514" s="18"/>
      <c r="BN514" s="19">
        <f>VLOOKUP(BK514,'DATABASE F&amp;B'!$C$3:$F$210,4,0)</f>
        <v>0</v>
      </c>
      <c r="BO514" s="19">
        <f t="shared" ref="BO514:BO531" si="536">BM514*BN514</f>
        <v>0</v>
      </c>
      <c r="BP514" s="16"/>
      <c r="BQ514" s="17">
        <f>VLOOKUP(BP514,'DATABASE F&amp;B'!$C$3:$F$210,2,0)</f>
        <v>0</v>
      </c>
      <c r="BR514" s="18"/>
      <c r="BS514" s="19">
        <f>VLOOKUP(BP514,'DATABASE F&amp;B'!$C$3:$F$210,4,0)</f>
        <v>0</v>
      </c>
      <c r="BT514" s="19">
        <f t="shared" ref="BT514:BT531" si="537">BR514*BS514</f>
        <v>0</v>
      </c>
      <c r="BU514" s="16"/>
      <c r="BV514" s="17">
        <f>VLOOKUP(BU514,'DATABASE F&amp;B'!$C$3:$F$210,2,0)</f>
        <v>0</v>
      </c>
      <c r="BW514" s="18"/>
      <c r="BX514" s="19">
        <f>VLOOKUP(BU514,'DATABASE F&amp;B'!$C$3:$F$210,4,0)</f>
        <v>0</v>
      </c>
      <c r="BY514" s="19">
        <f t="shared" ref="BY514:BY531" si="538">BW514*BX514</f>
        <v>0</v>
      </c>
      <c r="BZ514" s="16"/>
      <c r="CA514" s="17">
        <f>VLOOKUP(BZ514,'DATABASE F&amp;B'!$C$3:$F$210,2,0)</f>
        <v>0</v>
      </c>
      <c r="CB514" s="18"/>
      <c r="CC514" s="19">
        <f>VLOOKUP(BZ514,'DATABASE F&amp;B'!$C$3:$F$210,4,0)</f>
        <v>0</v>
      </c>
      <c r="CD514" s="19">
        <f t="shared" ref="CD514:CD531" si="539">CB514*CC514</f>
        <v>0</v>
      </c>
    </row>
    <row r="515" spans="1:82" ht="13.5" x14ac:dyDescent="0.25">
      <c r="A515" s="32" t="str">
        <f t="shared" si="519"/>
        <v>--20</v>
      </c>
      <c r="B515" s="22">
        <f t="shared" ref="B515:C515" si="540">B514+1</f>
        <v>511</v>
      </c>
      <c r="C515" s="22">
        <f t="shared" si="540"/>
        <v>511</v>
      </c>
      <c r="D515" s="34"/>
      <c r="E515" s="35"/>
      <c r="F515" s="35"/>
      <c r="G515" s="52"/>
      <c r="H515" s="36" t="str">
        <f t="shared" si="459"/>
        <v>RJ--511</v>
      </c>
      <c r="I515" s="36" t="str">
        <f t="shared" si="521"/>
        <v>--20</v>
      </c>
      <c r="J515" s="37" t="e">
        <f>VLOOKUP(D515,Laporan!$C$4:$D$34,2,0)</f>
        <v>#N/A</v>
      </c>
      <c r="K515" s="48"/>
      <c r="L515" s="13"/>
      <c r="M515" s="19">
        <f>SUMIF('DATABASE Room'!$B$3:$B$7,L515,'DATABASE Room'!$D$3:$D$7)</f>
        <v>0</v>
      </c>
      <c r="N515" s="13"/>
      <c r="O515" s="21">
        <f t="shared" si="522"/>
        <v>0</v>
      </c>
      <c r="P515" s="38"/>
      <c r="Q515" s="19">
        <f t="shared" si="523"/>
        <v>0</v>
      </c>
      <c r="R515" s="21">
        <f t="shared" si="524"/>
        <v>0</v>
      </c>
      <c r="S515" s="19">
        <f t="shared" si="525"/>
        <v>0</v>
      </c>
      <c r="T515" s="19">
        <f t="shared" si="526"/>
        <v>0</v>
      </c>
      <c r="U515" s="21">
        <f t="shared" si="527"/>
        <v>0</v>
      </c>
      <c r="V515" s="39"/>
      <c r="W515" s="16"/>
      <c r="X515" s="17">
        <f>VLOOKUP(W515,'DATABASE F&amp;B'!$C$3:$F$216,2,0)</f>
        <v>0</v>
      </c>
      <c r="Y515" s="18"/>
      <c r="Z515" s="19">
        <f>VLOOKUP(W515,'DATABASE F&amp;B'!$C$3:$F$216,4,0)</f>
        <v>0</v>
      </c>
      <c r="AA515" s="19">
        <f t="shared" si="528"/>
        <v>0</v>
      </c>
      <c r="AB515" s="16"/>
      <c r="AC515" s="17">
        <f>VLOOKUP(AB515,'DATABASE F&amp;B'!$C$3:$F$216,2,0)</f>
        <v>0</v>
      </c>
      <c r="AD515" s="18"/>
      <c r="AE515" s="19">
        <f>VLOOKUP(AB515,'DATABASE F&amp;B'!$C$3:$F$216,4,0)</f>
        <v>0</v>
      </c>
      <c r="AF515" s="19">
        <f t="shared" si="529"/>
        <v>0</v>
      </c>
      <c r="AG515" s="16"/>
      <c r="AH515" s="17">
        <f>VLOOKUP(AG515,'DATABASE F&amp;B'!$C$3:$F$216,2,0)</f>
        <v>0</v>
      </c>
      <c r="AI515" s="18"/>
      <c r="AJ515" s="19">
        <f>VLOOKUP(AG515,'DATABASE F&amp;B'!$C$3:$F$216,4,0)</f>
        <v>0</v>
      </c>
      <c r="AK515" s="19">
        <f t="shared" si="530"/>
        <v>0</v>
      </c>
      <c r="AL515" s="16"/>
      <c r="AM515" s="17">
        <f>VLOOKUP(AL515,'DATABASE F&amp;B'!$C$3:$F$216,2,0)</f>
        <v>0</v>
      </c>
      <c r="AN515" s="18"/>
      <c r="AO515" s="19">
        <f>VLOOKUP(AL515,'DATABASE F&amp;B'!$C$3:$F$216,4,0)</f>
        <v>0</v>
      </c>
      <c r="AP515" s="19">
        <f t="shared" si="531"/>
        <v>0</v>
      </c>
      <c r="AQ515" s="16"/>
      <c r="AR515" s="17">
        <f>VLOOKUP(AQ515,'DATABASE F&amp;B'!$C$3:$F$216,2,0)</f>
        <v>0</v>
      </c>
      <c r="AS515" s="13"/>
      <c r="AT515" s="19">
        <f>VLOOKUP(AQ515,'DATABASE F&amp;B'!$C$3:$F$216,4,0)</f>
        <v>0</v>
      </c>
      <c r="AU515" s="19">
        <f t="shared" si="532"/>
        <v>0</v>
      </c>
      <c r="AV515" s="16"/>
      <c r="AW515" s="17">
        <f>VLOOKUP(AV515,'DATABASE F&amp;B'!$C$3:$F$216,2,0)</f>
        <v>0</v>
      </c>
      <c r="AX515" s="18"/>
      <c r="AY515" s="19">
        <f>VLOOKUP(AV515,'DATABASE F&amp;B'!$C$3:$F$216,4,0)</f>
        <v>0</v>
      </c>
      <c r="AZ515" s="19">
        <f t="shared" si="533"/>
        <v>0</v>
      </c>
      <c r="BA515" s="16"/>
      <c r="BB515" s="17">
        <f>VLOOKUP(BA515,'DATABASE F&amp;B'!$C$3:$F$216,2,0)</f>
        <v>0</v>
      </c>
      <c r="BC515" s="18"/>
      <c r="BD515" s="19">
        <f>VLOOKUP(BA515,'DATABASE F&amp;B'!$C$3:$F$216,4,0)</f>
        <v>0</v>
      </c>
      <c r="BE515" s="19">
        <f t="shared" si="534"/>
        <v>0</v>
      </c>
      <c r="BF515" s="16"/>
      <c r="BG515" s="17">
        <f>VLOOKUP(BF515,'DATABASE F&amp;B'!$C$3:$F$216,2,0)</f>
        <v>0</v>
      </c>
      <c r="BH515" s="18"/>
      <c r="BI515" s="19">
        <f>VLOOKUP(BF515,'DATABASE F&amp;B'!$C$3:$F$216,4,0)</f>
        <v>0</v>
      </c>
      <c r="BJ515" s="19">
        <f t="shared" si="535"/>
        <v>0</v>
      </c>
      <c r="BK515" s="16"/>
      <c r="BL515" s="17">
        <f>VLOOKUP(BK515,'DATABASE F&amp;B'!$C$3:$F$210,2,0)</f>
        <v>0</v>
      </c>
      <c r="BM515" s="18"/>
      <c r="BN515" s="19">
        <f>VLOOKUP(BK515,'DATABASE F&amp;B'!$C$3:$F$210,4,0)</f>
        <v>0</v>
      </c>
      <c r="BO515" s="19">
        <f t="shared" si="536"/>
        <v>0</v>
      </c>
      <c r="BP515" s="16"/>
      <c r="BQ515" s="17">
        <f>VLOOKUP(BP515,'DATABASE F&amp;B'!$C$3:$F$210,2,0)</f>
        <v>0</v>
      </c>
      <c r="BR515" s="18"/>
      <c r="BS515" s="19">
        <f>VLOOKUP(BP515,'DATABASE F&amp;B'!$C$3:$F$210,4,0)</f>
        <v>0</v>
      </c>
      <c r="BT515" s="19">
        <f t="shared" si="537"/>
        <v>0</v>
      </c>
      <c r="BU515" s="16"/>
      <c r="BV515" s="17">
        <f>VLOOKUP(BU515,'DATABASE F&amp;B'!$C$3:$F$210,2,0)</f>
        <v>0</v>
      </c>
      <c r="BW515" s="18"/>
      <c r="BX515" s="19">
        <f>VLOOKUP(BU515,'DATABASE F&amp;B'!$C$3:$F$210,4,0)</f>
        <v>0</v>
      </c>
      <c r="BY515" s="19">
        <f t="shared" si="538"/>
        <v>0</v>
      </c>
      <c r="BZ515" s="16"/>
      <c r="CA515" s="17">
        <f>VLOOKUP(BZ515,'DATABASE F&amp;B'!$C$3:$F$210,2,0)</f>
        <v>0</v>
      </c>
      <c r="CB515" s="18"/>
      <c r="CC515" s="19">
        <f>VLOOKUP(BZ515,'DATABASE F&amp;B'!$C$3:$F$210,4,0)</f>
        <v>0</v>
      </c>
      <c r="CD515" s="19">
        <f t="shared" si="539"/>
        <v>0</v>
      </c>
    </row>
    <row r="516" spans="1:82" ht="13.5" x14ac:dyDescent="0.25">
      <c r="A516" s="32" t="str">
        <f t="shared" si="519"/>
        <v>--20</v>
      </c>
      <c r="B516" s="22">
        <f t="shared" ref="B516:C516" si="541">B515+1</f>
        <v>512</v>
      </c>
      <c r="C516" s="22">
        <f t="shared" si="541"/>
        <v>512</v>
      </c>
      <c r="D516" s="34"/>
      <c r="E516" s="35"/>
      <c r="F516" s="35"/>
      <c r="G516" s="52"/>
      <c r="H516" s="36" t="str">
        <f t="shared" si="459"/>
        <v>RJ--512</v>
      </c>
      <c r="I516" s="36" t="str">
        <f t="shared" si="521"/>
        <v>--20</v>
      </c>
      <c r="J516" s="37" t="e">
        <f>VLOOKUP(D516,Laporan!$C$4:$D$34,2,0)</f>
        <v>#N/A</v>
      </c>
      <c r="K516" s="48"/>
      <c r="L516" s="13"/>
      <c r="M516" s="19">
        <f>SUMIF('DATABASE Room'!$B$3:$B$7,L516,'DATABASE Room'!$D$3:$D$7)</f>
        <v>0</v>
      </c>
      <c r="N516" s="13"/>
      <c r="O516" s="21">
        <f t="shared" si="522"/>
        <v>0</v>
      </c>
      <c r="P516" s="38"/>
      <c r="Q516" s="19">
        <f t="shared" si="523"/>
        <v>0</v>
      </c>
      <c r="R516" s="21">
        <f t="shared" si="524"/>
        <v>0</v>
      </c>
      <c r="S516" s="19">
        <f t="shared" si="525"/>
        <v>0</v>
      </c>
      <c r="T516" s="19">
        <f t="shared" si="526"/>
        <v>0</v>
      </c>
      <c r="U516" s="21">
        <f t="shared" si="527"/>
        <v>0</v>
      </c>
      <c r="V516" s="39"/>
      <c r="W516" s="16"/>
      <c r="X516" s="17">
        <f>VLOOKUP(W516,'DATABASE F&amp;B'!$C$3:$F$216,2,0)</f>
        <v>0</v>
      </c>
      <c r="Y516" s="18"/>
      <c r="Z516" s="19">
        <f>VLOOKUP(W516,'DATABASE F&amp;B'!$C$3:$F$216,4,0)</f>
        <v>0</v>
      </c>
      <c r="AA516" s="19">
        <f t="shared" si="528"/>
        <v>0</v>
      </c>
      <c r="AB516" s="16"/>
      <c r="AC516" s="17">
        <f>VLOOKUP(AB516,'DATABASE F&amp;B'!$C$3:$F$216,2,0)</f>
        <v>0</v>
      </c>
      <c r="AD516" s="18"/>
      <c r="AE516" s="19">
        <f>VLOOKUP(AB516,'DATABASE F&amp;B'!$C$3:$F$216,4,0)</f>
        <v>0</v>
      </c>
      <c r="AF516" s="19">
        <f t="shared" si="529"/>
        <v>0</v>
      </c>
      <c r="AG516" s="16"/>
      <c r="AH516" s="17">
        <f>VLOOKUP(AG516,'DATABASE F&amp;B'!$C$3:$F$216,2,0)</f>
        <v>0</v>
      </c>
      <c r="AI516" s="18"/>
      <c r="AJ516" s="19">
        <f>VLOOKUP(AG516,'DATABASE F&amp;B'!$C$3:$F$216,4,0)</f>
        <v>0</v>
      </c>
      <c r="AK516" s="19">
        <f t="shared" si="530"/>
        <v>0</v>
      </c>
      <c r="AL516" s="16"/>
      <c r="AM516" s="17">
        <f>VLOOKUP(AL516,'DATABASE F&amp;B'!$C$3:$F$216,2,0)</f>
        <v>0</v>
      </c>
      <c r="AN516" s="18"/>
      <c r="AO516" s="19">
        <f>VLOOKUP(AL516,'DATABASE F&amp;B'!$C$3:$F$216,4,0)</f>
        <v>0</v>
      </c>
      <c r="AP516" s="19">
        <f t="shared" si="531"/>
        <v>0</v>
      </c>
      <c r="AQ516" s="16"/>
      <c r="AR516" s="17">
        <f>VLOOKUP(AQ516,'DATABASE F&amp;B'!$C$3:$F$216,2,0)</f>
        <v>0</v>
      </c>
      <c r="AS516" s="13"/>
      <c r="AT516" s="19">
        <f>VLOOKUP(AQ516,'DATABASE F&amp;B'!$C$3:$F$216,4,0)</f>
        <v>0</v>
      </c>
      <c r="AU516" s="19">
        <f t="shared" si="532"/>
        <v>0</v>
      </c>
      <c r="AV516" s="16"/>
      <c r="AW516" s="17">
        <f>VLOOKUP(AV516,'DATABASE F&amp;B'!$C$3:$F$216,2,0)</f>
        <v>0</v>
      </c>
      <c r="AX516" s="18"/>
      <c r="AY516" s="19">
        <f>VLOOKUP(AV516,'DATABASE F&amp;B'!$C$3:$F$216,4,0)</f>
        <v>0</v>
      </c>
      <c r="AZ516" s="19">
        <f t="shared" si="533"/>
        <v>0</v>
      </c>
      <c r="BA516" s="16"/>
      <c r="BB516" s="17">
        <f>VLOOKUP(BA516,'DATABASE F&amp;B'!$C$3:$F$216,2,0)</f>
        <v>0</v>
      </c>
      <c r="BC516" s="18"/>
      <c r="BD516" s="19">
        <f>VLOOKUP(BA516,'DATABASE F&amp;B'!$C$3:$F$216,4,0)</f>
        <v>0</v>
      </c>
      <c r="BE516" s="19">
        <f t="shared" si="534"/>
        <v>0</v>
      </c>
      <c r="BF516" s="16"/>
      <c r="BG516" s="17">
        <f>VLOOKUP(BF516,'DATABASE F&amp;B'!$C$3:$F$216,2,0)</f>
        <v>0</v>
      </c>
      <c r="BH516" s="18"/>
      <c r="BI516" s="19">
        <f>VLOOKUP(BF516,'DATABASE F&amp;B'!$C$3:$F$216,4,0)</f>
        <v>0</v>
      </c>
      <c r="BJ516" s="19">
        <f t="shared" si="535"/>
        <v>0</v>
      </c>
      <c r="BK516" s="16"/>
      <c r="BL516" s="17">
        <f>VLOOKUP(BK516,'DATABASE F&amp;B'!$C$3:$F$210,2,0)</f>
        <v>0</v>
      </c>
      <c r="BM516" s="18"/>
      <c r="BN516" s="19">
        <f>VLOOKUP(BK516,'DATABASE F&amp;B'!$C$3:$F$210,4,0)</f>
        <v>0</v>
      </c>
      <c r="BO516" s="19">
        <f t="shared" si="536"/>
        <v>0</v>
      </c>
      <c r="BP516" s="16"/>
      <c r="BQ516" s="17">
        <f>VLOOKUP(BP516,'DATABASE F&amp;B'!$C$3:$F$210,2,0)</f>
        <v>0</v>
      </c>
      <c r="BR516" s="18"/>
      <c r="BS516" s="19">
        <f>VLOOKUP(BP516,'DATABASE F&amp;B'!$C$3:$F$210,4,0)</f>
        <v>0</v>
      </c>
      <c r="BT516" s="19">
        <f t="shared" si="537"/>
        <v>0</v>
      </c>
      <c r="BU516" s="16"/>
      <c r="BV516" s="17">
        <f>VLOOKUP(BU516,'DATABASE F&amp;B'!$C$3:$F$210,2,0)</f>
        <v>0</v>
      </c>
      <c r="BW516" s="18"/>
      <c r="BX516" s="19">
        <f>VLOOKUP(BU516,'DATABASE F&amp;B'!$C$3:$F$210,4,0)</f>
        <v>0</v>
      </c>
      <c r="BY516" s="19">
        <f t="shared" si="538"/>
        <v>0</v>
      </c>
      <c r="BZ516" s="16"/>
      <c r="CA516" s="17">
        <f>VLOOKUP(BZ516,'DATABASE F&amp;B'!$C$3:$F$210,2,0)</f>
        <v>0</v>
      </c>
      <c r="CB516" s="18"/>
      <c r="CC516" s="19">
        <f>VLOOKUP(BZ516,'DATABASE F&amp;B'!$C$3:$F$210,4,0)</f>
        <v>0</v>
      </c>
      <c r="CD516" s="19">
        <f t="shared" si="539"/>
        <v>0</v>
      </c>
    </row>
    <row r="517" spans="1:82" ht="13.5" x14ac:dyDescent="0.25">
      <c r="A517" s="32" t="str">
        <f t="shared" si="519"/>
        <v>--20</v>
      </c>
      <c r="B517" s="22">
        <f t="shared" ref="B517:C517" si="542">B516+1</f>
        <v>513</v>
      </c>
      <c r="C517" s="22">
        <f t="shared" si="542"/>
        <v>513</v>
      </c>
      <c r="D517" s="34"/>
      <c r="E517" s="35"/>
      <c r="F517" s="35"/>
      <c r="G517" s="52"/>
      <c r="H517" s="36" t="str">
        <f t="shared" si="459"/>
        <v>RJ--513</v>
      </c>
      <c r="I517" s="36" t="str">
        <f t="shared" si="521"/>
        <v>--20</v>
      </c>
      <c r="J517" s="37" t="e">
        <f>VLOOKUP(D517,Laporan!$C$4:$D$34,2,0)</f>
        <v>#N/A</v>
      </c>
      <c r="K517" s="48"/>
      <c r="L517" s="13"/>
      <c r="M517" s="19">
        <f>SUMIF('DATABASE Room'!$B$3:$B$7,L517,'DATABASE Room'!$D$3:$D$7)</f>
        <v>0</v>
      </c>
      <c r="N517" s="13"/>
      <c r="O517" s="21">
        <f t="shared" si="522"/>
        <v>0</v>
      </c>
      <c r="P517" s="38"/>
      <c r="Q517" s="19">
        <f t="shared" si="523"/>
        <v>0</v>
      </c>
      <c r="R517" s="21">
        <f t="shared" si="524"/>
        <v>0</v>
      </c>
      <c r="S517" s="19">
        <f t="shared" si="525"/>
        <v>0</v>
      </c>
      <c r="T517" s="19">
        <f t="shared" si="526"/>
        <v>0</v>
      </c>
      <c r="U517" s="21">
        <f t="shared" si="527"/>
        <v>0</v>
      </c>
      <c r="V517" s="39"/>
      <c r="W517" s="16"/>
      <c r="X517" s="17">
        <f>VLOOKUP(W517,'DATABASE F&amp;B'!$C$3:$F$216,2,0)</f>
        <v>0</v>
      </c>
      <c r="Y517" s="18"/>
      <c r="Z517" s="19">
        <f>VLOOKUP(W517,'DATABASE F&amp;B'!$C$3:$F$216,4,0)</f>
        <v>0</v>
      </c>
      <c r="AA517" s="19">
        <f t="shared" si="528"/>
        <v>0</v>
      </c>
      <c r="AB517" s="16"/>
      <c r="AC517" s="17">
        <f>VLOOKUP(AB517,'DATABASE F&amp;B'!$C$3:$F$216,2,0)</f>
        <v>0</v>
      </c>
      <c r="AD517" s="18"/>
      <c r="AE517" s="19">
        <f>VLOOKUP(AB517,'DATABASE F&amp;B'!$C$3:$F$216,4,0)</f>
        <v>0</v>
      </c>
      <c r="AF517" s="19">
        <f t="shared" si="529"/>
        <v>0</v>
      </c>
      <c r="AG517" s="16"/>
      <c r="AH517" s="17">
        <f>VLOOKUP(AG517,'DATABASE F&amp;B'!$C$3:$F$216,2,0)</f>
        <v>0</v>
      </c>
      <c r="AI517" s="18"/>
      <c r="AJ517" s="19">
        <f>VLOOKUP(AG517,'DATABASE F&amp;B'!$C$3:$F$216,4,0)</f>
        <v>0</v>
      </c>
      <c r="AK517" s="19">
        <f t="shared" si="530"/>
        <v>0</v>
      </c>
      <c r="AL517" s="16"/>
      <c r="AM517" s="17">
        <f>VLOOKUP(AL517,'DATABASE F&amp;B'!$C$3:$F$216,2,0)</f>
        <v>0</v>
      </c>
      <c r="AN517" s="18"/>
      <c r="AO517" s="19">
        <f>VLOOKUP(AL517,'DATABASE F&amp;B'!$C$3:$F$216,4,0)</f>
        <v>0</v>
      </c>
      <c r="AP517" s="19">
        <f t="shared" si="531"/>
        <v>0</v>
      </c>
      <c r="AQ517" s="16"/>
      <c r="AR517" s="17">
        <f>VLOOKUP(AQ517,'DATABASE F&amp;B'!$C$3:$F$216,2,0)</f>
        <v>0</v>
      </c>
      <c r="AS517" s="13"/>
      <c r="AT517" s="19">
        <f>VLOOKUP(AQ517,'DATABASE F&amp;B'!$C$3:$F$216,4,0)</f>
        <v>0</v>
      </c>
      <c r="AU517" s="19">
        <f t="shared" si="532"/>
        <v>0</v>
      </c>
      <c r="AV517" s="16"/>
      <c r="AW517" s="17">
        <f>VLOOKUP(AV517,'DATABASE F&amp;B'!$C$3:$F$216,2,0)</f>
        <v>0</v>
      </c>
      <c r="AX517" s="18"/>
      <c r="AY517" s="19">
        <f>VLOOKUP(AV517,'DATABASE F&amp;B'!$C$3:$F$216,4,0)</f>
        <v>0</v>
      </c>
      <c r="AZ517" s="19">
        <f t="shared" si="533"/>
        <v>0</v>
      </c>
      <c r="BA517" s="16"/>
      <c r="BB517" s="17">
        <f>VLOOKUP(BA517,'DATABASE F&amp;B'!$C$3:$F$216,2,0)</f>
        <v>0</v>
      </c>
      <c r="BC517" s="18"/>
      <c r="BD517" s="19">
        <f>VLOOKUP(BA517,'DATABASE F&amp;B'!$C$3:$F$216,4,0)</f>
        <v>0</v>
      </c>
      <c r="BE517" s="19">
        <f t="shared" si="534"/>
        <v>0</v>
      </c>
      <c r="BF517" s="16"/>
      <c r="BG517" s="17">
        <f>VLOOKUP(BF517,'DATABASE F&amp;B'!$C$3:$F$216,2,0)</f>
        <v>0</v>
      </c>
      <c r="BH517" s="18"/>
      <c r="BI517" s="19">
        <f>VLOOKUP(BF517,'DATABASE F&amp;B'!$C$3:$F$216,4,0)</f>
        <v>0</v>
      </c>
      <c r="BJ517" s="19">
        <f t="shared" si="535"/>
        <v>0</v>
      </c>
      <c r="BK517" s="16"/>
      <c r="BL517" s="17">
        <f>VLOOKUP(BK517,'DATABASE F&amp;B'!$C$3:$F$210,2,0)</f>
        <v>0</v>
      </c>
      <c r="BM517" s="18"/>
      <c r="BN517" s="19">
        <f>VLOOKUP(BK517,'DATABASE F&amp;B'!$C$3:$F$210,4,0)</f>
        <v>0</v>
      </c>
      <c r="BO517" s="19">
        <f t="shared" si="536"/>
        <v>0</v>
      </c>
      <c r="BP517" s="16"/>
      <c r="BQ517" s="17">
        <f>VLOOKUP(BP517,'DATABASE F&amp;B'!$C$3:$F$210,2,0)</f>
        <v>0</v>
      </c>
      <c r="BR517" s="18"/>
      <c r="BS517" s="19">
        <f>VLOOKUP(BP517,'DATABASE F&amp;B'!$C$3:$F$210,4,0)</f>
        <v>0</v>
      </c>
      <c r="BT517" s="19">
        <f t="shared" si="537"/>
        <v>0</v>
      </c>
      <c r="BU517" s="16"/>
      <c r="BV517" s="17">
        <f>VLOOKUP(BU517,'DATABASE F&amp;B'!$C$3:$F$210,2,0)</f>
        <v>0</v>
      </c>
      <c r="BW517" s="18"/>
      <c r="BX517" s="19">
        <f>VLOOKUP(BU517,'DATABASE F&amp;B'!$C$3:$F$210,4,0)</f>
        <v>0</v>
      </c>
      <c r="BY517" s="19">
        <f t="shared" si="538"/>
        <v>0</v>
      </c>
      <c r="BZ517" s="16"/>
      <c r="CA517" s="17">
        <f>VLOOKUP(BZ517,'DATABASE F&amp;B'!$C$3:$F$210,2,0)</f>
        <v>0</v>
      </c>
      <c r="CB517" s="18"/>
      <c r="CC517" s="19">
        <f>VLOOKUP(BZ517,'DATABASE F&amp;B'!$C$3:$F$210,4,0)</f>
        <v>0</v>
      </c>
      <c r="CD517" s="19">
        <f t="shared" si="539"/>
        <v>0</v>
      </c>
    </row>
    <row r="518" spans="1:82" ht="13.5" x14ac:dyDescent="0.25">
      <c r="A518" s="32" t="str">
        <f t="shared" si="519"/>
        <v>--20</v>
      </c>
      <c r="B518" s="22">
        <f t="shared" ref="B518:C518" si="543">B517+1</f>
        <v>514</v>
      </c>
      <c r="C518" s="22">
        <f t="shared" si="543"/>
        <v>514</v>
      </c>
      <c r="D518" s="34"/>
      <c r="E518" s="35"/>
      <c r="F518" s="35"/>
      <c r="G518" s="52"/>
      <c r="H518" s="36" t="str">
        <f t="shared" ref="H518:H531" si="544">CONCATENATE("RJ","-",E518,F518,G518,"-",B518)</f>
        <v>RJ--514</v>
      </c>
      <c r="I518" s="36" t="str">
        <f t="shared" si="521"/>
        <v>--20</v>
      </c>
      <c r="J518" s="37" t="e">
        <f>VLOOKUP(D518,Laporan!$C$4:$D$34,2,0)</f>
        <v>#N/A</v>
      </c>
      <c r="K518" s="48"/>
      <c r="L518" s="13"/>
      <c r="M518" s="19">
        <f>SUMIF('DATABASE Room'!$B$3:$B$7,L518,'DATABASE Room'!$D$3:$D$7)</f>
        <v>0</v>
      </c>
      <c r="N518" s="13"/>
      <c r="O518" s="21">
        <f t="shared" si="522"/>
        <v>0</v>
      </c>
      <c r="P518" s="38"/>
      <c r="Q518" s="19">
        <f t="shared" si="523"/>
        <v>0</v>
      </c>
      <c r="R518" s="21">
        <f t="shared" si="524"/>
        <v>0</v>
      </c>
      <c r="S518" s="19">
        <f t="shared" si="525"/>
        <v>0</v>
      </c>
      <c r="T518" s="19">
        <f t="shared" si="526"/>
        <v>0</v>
      </c>
      <c r="U518" s="21">
        <f t="shared" si="527"/>
        <v>0</v>
      </c>
      <c r="V518" s="39"/>
      <c r="W518" s="16"/>
      <c r="X518" s="17">
        <f>VLOOKUP(W518,'DATABASE F&amp;B'!$C$3:$F$216,2,0)</f>
        <v>0</v>
      </c>
      <c r="Y518" s="18"/>
      <c r="Z518" s="19">
        <f>VLOOKUP(W518,'DATABASE F&amp;B'!$C$3:$F$216,4,0)</f>
        <v>0</v>
      </c>
      <c r="AA518" s="19">
        <f t="shared" si="528"/>
        <v>0</v>
      </c>
      <c r="AB518" s="16"/>
      <c r="AC518" s="17">
        <f>VLOOKUP(AB518,'DATABASE F&amp;B'!$C$3:$F$216,2,0)</f>
        <v>0</v>
      </c>
      <c r="AD518" s="18"/>
      <c r="AE518" s="19">
        <f>VLOOKUP(AB518,'DATABASE F&amp;B'!$C$3:$F$216,4,0)</f>
        <v>0</v>
      </c>
      <c r="AF518" s="19">
        <f t="shared" si="529"/>
        <v>0</v>
      </c>
      <c r="AG518" s="16"/>
      <c r="AH518" s="17">
        <f>VLOOKUP(AG518,'DATABASE F&amp;B'!$C$3:$F$216,2,0)</f>
        <v>0</v>
      </c>
      <c r="AI518" s="18"/>
      <c r="AJ518" s="19">
        <f>VLOOKUP(AG518,'DATABASE F&amp;B'!$C$3:$F$216,4,0)</f>
        <v>0</v>
      </c>
      <c r="AK518" s="19">
        <f t="shared" si="530"/>
        <v>0</v>
      </c>
      <c r="AL518" s="16"/>
      <c r="AM518" s="17">
        <f>VLOOKUP(AL518,'DATABASE F&amp;B'!$C$3:$F$216,2,0)</f>
        <v>0</v>
      </c>
      <c r="AN518" s="18"/>
      <c r="AO518" s="19">
        <f>VLOOKUP(AL518,'DATABASE F&amp;B'!$C$3:$F$216,4,0)</f>
        <v>0</v>
      </c>
      <c r="AP518" s="19">
        <f t="shared" si="531"/>
        <v>0</v>
      </c>
      <c r="AQ518" s="16"/>
      <c r="AR518" s="17">
        <f>VLOOKUP(AQ518,'DATABASE F&amp;B'!$C$3:$F$216,2,0)</f>
        <v>0</v>
      </c>
      <c r="AS518" s="13"/>
      <c r="AT518" s="19">
        <f>VLOOKUP(AQ518,'DATABASE F&amp;B'!$C$3:$F$216,4,0)</f>
        <v>0</v>
      </c>
      <c r="AU518" s="19">
        <f t="shared" si="532"/>
        <v>0</v>
      </c>
      <c r="AV518" s="16"/>
      <c r="AW518" s="17">
        <f>VLOOKUP(AV518,'DATABASE F&amp;B'!$C$3:$F$216,2,0)</f>
        <v>0</v>
      </c>
      <c r="AX518" s="18"/>
      <c r="AY518" s="19">
        <f>VLOOKUP(AV518,'DATABASE F&amp;B'!$C$3:$F$216,4,0)</f>
        <v>0</v>
      </c>
      <c r="AZ518" s="19">
        <f t="shared" si="533"/>
        <v>0</v>
      </c>
      <c r="BA518" s="16"/>
      <c r="BB518" s="17">
        <f>VLOOKUP(BA518,'DATABASE F&amp;B'!$C$3:$F$216,2,0)</f>
        <v>0</v>
      </c>
      <c r="BC518" s="18"/>
      <c r="BD518" s="19">
        <f>VLOOKUP(BA518,'DATABASE F&amp;B'!$C$3:$F$216,4,0)</f>
        <v>0</v>
      </c>
      <c r="BE518" s="19">
        <f t="shared" si="534"/>
        <v>0</v>
      </c>
      <c r="BF518" s="16"/>
      <c r="BG518" s="17">
        <f>VLOOKUP(BF518,'DATABASE F&amp;B'!$C$3:$F$216,2,0)</f>
        <v>0</v>
      </c>
      <c r="BH518" s="18"/>
      <c r="BI518" s="19">
        <f>VLOOKUP(BF518,'DATABASE F&amp;B'!$C$3:$F$216,4,0)</f>
        <v>0</v>
      </c>
      <c r="BJ518" s="19">
        <f t="shared" si="535"/>
        <v>0</v>
      </c>
      <c r="BK518" s="16"/>
      <c r="BL518" s="17">
        <f>VLOOKUP(BK518,'DATABASE F&amp;B'!$C$3:$F$210,2,0)</f>
        <v>0</v>
      </c>
      <c r="BM518" s="18"/>
      <c r="BN518" s="19">
        <f>VLOOKUP(BK518,'DATABASE F&amp;B'!$C$3:$F$210,4,0)</f>
        <v>0</v>
      </c>
      <c r="BO518" s="19">
        <f t="shared" si="536"/>
        <v>0</v>
      </c>
      <c r="BP518" s="16"/>
      <c r="BQ518" s="17">
        <f>VLOOKUP(BP518,'DATABASE F&amp;B'!$C$3:$F$210,2,0)</f>
        <v>0</v>
      </c>
      <c r="BR518" s="18"/>
      <c r="BS518" s="19">
        <f>VLOOKUP(BP518,'DATABASE F&amp;B'!$C$3:$F$210,4,0)</f>
        <v>0</v>
      </c>
      <c r="BT518" s="19">
        <f t="shared" si="537"/>
        <v>0</v>
      </c>
      <c r="BU518" s="16"/>
      <c r="BV518" s="17">
        <f>VLOOKUP(BU518,'DATABASE F&amp;B'!$C$3:$F$210,2,0)</f>
        <v>0</v>
      </c>
      <c r="BW518" s="18"/>
      <c r="BX518" s="19">
        <f>VLOOKUP(BU518,'DATABASE F&amp;B'!$C$3:$F$210,4,0)</f>
        <v>0</v>
      </c>
      <c r="BY518" s="19">
        <f t="shared" si="538"/>
        <v>0</v>
      </c>
      <c r="BZ518" s="16"/>
      <c r="CA518" s="17">
        <f>VLOOKUP(BZ518,'DATABASE F&amp;B'!$C$3:$F$210,2,0)</f>
        <v>0</v>
      </c>
      <c r="CB518" s="18"/>
      <c r="CC518" s="19">
        <f>VLOOKUP(BZ518,'DATABASE F&amp;B'!$C$3:$F$210,4,0)</f>
        <v>0</v>
      </c>
      <c r="CD518" s="19">
        <f t="shared" si="539"/>
        <v>0</v>
      </c>
    </row>
    <row r="519" spans="1:82" ht="13.5" x14ac:dyDescent="0.25">
      <c r="A519" s="32" t="str">
        <f t="shared" si="519"/>
        <v>--20</v>
      </c>
      <c r="B519" s="22">
        <f t="shared" ref="B519:C519" si="545">B518+1</f>
        <v>515</v>
      </c>
      <c r="C519" s="22">
        <f t="shared" si="545"/>
        <v>515</v>
      </c>
      <c r="D519" s="34"/>
      <c r="E519" s="35"/>
      <c r="F519" s="35"/>
      <c r="G519" s="52"/>
      <c r="H519" s="36" t="str">
        <f t="shared" si="544"/>
        <v>RJ--515</v>
      </c>
      <c r="I519" s="36" t="str">
        <f t="shared" si="521"/>
        <v>--20</v>
      </c>
      <c r="J519" s="37" t="e">
        <f>VLOOKUP(D519,Laporan!$C$4:$D$34,2,0)</f>
        <v>#N/A</v>
      </c>
      <c r="K519" s="48"/>
      <c r="L519" s="13"/>
      <c r="M519" s="19">
        <f>SUMIF('DATABASE Room'!$B$3:$B$7,L519,'DATABASE Room'!$D$3:$D$7)</f>
        <v>0</v>
      </c>
      <c r="N519" s="13"/>
      <c r="O519" s="21">
        <f t="shared" si="522"/>
        <v>0</v>
      </c>
      <c r="P519" s="38"/>
      <c r="Q519" s="19">
        <f t="shared" si="523"/>
        <v>0</v>
      </c>
      <c r="R519" s="21">
        <f t="shared" si="524"/>
        <v>0</v>
      </c>
      <c r="S519" s="19">
        <f t="shared" si="525"/>
        <v>0</v>
      </c>
      <c r="T519" s="19">
        <f t="shared" si="526"/>
        <v>0</v>
      </c>
      <c r="U519" s="21">
        <f t="shared" si="527"/>
        <v>0</v>
      </c>
      <c r="V519" s="39"/>
      <c r="W519" s="16"/>
      <c r="X519" s="17">
        <f>VLOOKUP(W519,'DATABASE F&amp;B'!$C$3:$F$216,2,0)</f>
        <v>0</v>
      </c>
      <c r="Y519" s="18"/>
      <c r="Z519" s="19">
        <f>VLOOKUP(W519,'DATABASE F&amp;B'!$C$3:$F$216,4,0)</f>
        <v>0</v>
      </c>
      <c r="AA519" s="19">
        <f t="shared" si="528"/>
        <v>0</v>
      </c>
      <c r="AB519" s="16"/>
      <c r="AC519" s="17">
        <f>VLOOKUP(AB519,'DATABASE F&amp;B'!$C$3:$F$216,2,0)</f>
        <v>0</v>
      </c>
      <c r="AD519" s="18"/>
      <c r="AE519" s="19">
        <f>VLOOKUP(AB519,'DATABASE F&amp;B'!$C$3:$F$216,4,0)</f>
        <v>0</v>
      </c>
      <c r="AF519" s="19">
        <f t="shared" si="529"/>
        <v>0</v>
      </c>
      <c r="AG519" s="16"/>
      <c r="AH519" s="17">
        <f>VLOOKUP(AG519,'DATABASE F&amp;B'!$C$3:$F$216,2,0)</f>
        <v>0</v>
      </c>
      <c r="AI519" s="18"/>
      <c r="AJ519" s="19">
        <f>VLOOKUP(AG519,'DATABASE F&amp;B'!$C$3:$F$216,4,0)</f>
        <v>0</v>
      </c>
      <c r="AK519" s="19">
        <f t="shared" si="530"/>
        <v>0</v>
      </c>
      <c r="AL519" s="16"/>
      <c r="AM519" s="17">
        <f>VLOOKUP(AL519,'DATABASE F&amp;B'!$C$3:$F$216,2,0)</f>
        <v>0</v>
      </c>
      <c r="AN519" s="18"/>
      <c r="AO519" s="19">
        <f>VLOOKUP(AL519,'DATABASE F&amp;B'!$C$3:$F$216,4,0)</f>
        <v>0</v>
      </c>
      <c r="AP519" s="19">
        <f t="shared" si="531"/>
        <v>0</v>
      </c>
      <c r="AQ519" s="16"/>
      <c r="AR519" s="17">
        <f>VLOOKUP(AQ519,'DATABASE F&amp;B'!$C$3:$F$216,2,0)</f>
        <v>0</v>
      </c>
      <c r="AS519" s="13"/>
      <c r="AT519" s="19">
        <f>VLOOKUP(AQ519,'DATABASE F&amp;B'!$C$3:$F$216,4,0)</f>
        <v>0</v>
      </c>
      <c r="AU519" s="19">
        <f t="shared" si="532"/>
        <v>0</v>
      </c>
      <c r="AV519" s="16"/>
      <c r="AW519" s="17">
        <f>VLOOKUP(AV519,'DATABASE F&amp;B'!$C$3:$F$216,2,0)</f>
        <v>0</v>
      </c>
      <c r="AX519" s="18"/>
      <c r="AY519" s="19">
        <f>VLOOKUP(AV519,'DATABASE F&amp;B'!$C$3:$F$216,4,0)</f>
        <v>0</v>
      </c>
      <c r="AZ519" s="19">
        <f t="shared" si="533"/>
        <v>0</v>
      </c>
      <c r="BA519" s="16"/>
      <c r="BB519" s="17">
        <f>VLOOKUP(BA519,'DATABASE F&amp;B'!$C$3:$F$216,2,0)</f>
        <v>0</v>
      </c>
      <c r="BC519" s="18"/>
      <c r="BD519" s="19">
        <f>VLOOKUP(BA519,'DATABASE F&amp;B'!$C$3:$F$216,4,0)</f>
        <v>0</v>
      </c>
      <c r="BE519" s="19">
        <f t="shared" si="534"/>
        <v>0</v>
      </c>
      <c r="BF519" s="16"/>
      <c r="BG519" s="17">
        <f>VLOOKUP(BF519,'DATABASE F&amp;B'!$C$3:$F$216,2,0)</f>
        <v>0</v>
      </c>
      <c r="BH519" s="18"/>
      <c r="BI519" s="19">
        <f>VLOOKUP(BF519,'DATABASE F&amp;B'!$C$3:$F$216,4,0)</f>
        <v>0</v>
      </c>
      <c r="BJ519" s="19">
        <f t="shared" si="535"/>
        <v>0</v>
      </c>
      <c r="BK519" s="16"/>
      <c r="BL519" s="17">
        <f>VLOOKUP(BK519,'DATABASE F&amp;B'!$C$3:$F$210,2,0)</f>
        <v>0</v>
      </c>
      <c r="BM519" s="18"/>
      <c r="BN519" s="19">
        <f>VLOOKUP(BK519,'DATABASE F&amp;B'!$C$3:$F$210,4,0)</f>
        <v>0</v>
      </c>
      <c r="BO519" s="19">
        <f t="shared" si="536"/>
        <v>0</v>
      </c>
      <c r="BP519" s="16"/>
      <c r="BQ519" s="17">
        <f>VLOOKUP(BP519,'DATABASE F&amp;B'!$C$3:$F$210,2,0)</f>
        <v>0</v>
      </c>
      <c r="BR519" s="18"/>
      <c r="BS519" s="19">
        <f>VLOOKUP(BP519,'DATABASE F&amp;B'!$C$3:$F$210,4,0)</f>
        <v>0</v>
      </c>
      <c r="BT519" s="19">
        <f t="shared" si="537"/>
        <v>0</v>
      </c>
      <c r="BU519" s="16"/>
      <c r="BV519" s="17">
        <f>VLOOKUP(BU519,'DATABASE F&amp;B'!$C$3:$F$210,2,0)</f>
        <v>0</v>
      </c>
      <c r="BW519" s="18"/>
      <c r="BX519" s="19">
        <f>VLOOKUP(BU519,'DATABASE F&amp;B'!$C$3:$F$210,4,0)</f>
        <v>0</v>
      </c>
      <c r="BY519" s="19">
        <f t="shared" si="538"/>
        <v>0</v>
      </c>
      <c r="BZ519" s="16"/>
      <c r="CA519" s="17">
        <f>VLOOKUP(BZ519,'DATABASE F&amp;B'!$C$3:$F$210,2,0)</f>
        <v>0</v>
      </c>
      <c r="CB519" s="18"/>
      <c r="CC519" s="19">
        <f>VLOOKUP(BZ519,'DATABASE F&amp;B'!$C$3:$F$210,4,0)</f>
        <v>0</v>
      </c>
      <c r="CD519" s="19">
        <f t="shared" si="539"/>
        <v>0</v>
      </c>
    </row>
    <row r="520" spans="1:82" ht="13.5" x14ac:dyDescent="0.25">
      <c r="A520" s="32" t="str">
        <f t="shared" si="519"/>
        <v>--20</v>
      </c>
      <c r="B520" s="22">
        <f t="shared" ref="B520:C520" si="546">B519+1</f>
        <v>516</v>
      </c>
      <c r="C520" s="22">
        <f t="shared" si="546"/>
        <v>516</v>
      </c>
      <c r="D520" s="34"/>
      <c r="E520" s="35"/>
      <c r="F520" s="35"/>
      <c r="G520" s="52"/>
      <c r="H520" s="36" t="str">
        <f t="shared" si="544"/>
        <v>RJ--516</v>
      </c>
      <c r="I520" s="36" t="str">
        <f t="shared" si="521"/>
        <v>--20</v>
      </c>
      <c r="J520" s="37" t="e">
        <f>VLOOKUP(D520,Laporan!$C$4:$D$34,2,0)</f>
        <v>#N/A</v>
      </c>
      <c r="K520" s="48"/>
      <c r="L520" s="13"/>
      <c r="M520" s="19">
        <f>SUMIF('DATABASE Room'!$B$3:$B$7,L520,'DATABASE Room'!$D$3:$D$7)</f>
        <v>0</v>
      </c>
      <c r="N520" s="13"/>
      <c r="O520" s="21">
        <f t="shared" si="522"/>
        <v>0</v>
      </c>
      <c r="P520" s="38"/>
      <c r="Q520" s="19">
        <f t="shared" si="523"/>
        <v>0</v>
      </c>
      <c r="R520" s="21">
        <f t="shared" si="524"/>
        <v>0</v>
      </c>
      <c r="S520" s="19">
        <f t="shared" si="525"/>
        <v>0</v>
      </c>
      <c r="T520" s="19">
        <f t="shared" si="526"/>
        <v>0</v>
      </c>
      <c r="U520" s="21">
        <f t="shared" si="527"/>
        <v>0</v>
      </c>
      <c r="V520" s="39"/>
      <c r="W520" s="16"/>
      <c r="X520" s="17">
        <f>VLOOKUP(W520,'DATABASE F&amp;B'!$C$3:$F$216,2,0)</f>
        <v>0</v>
      </c>
      <c r="Y520" s="18"/>
      <c r="Z520" s="19">
        <f>VLOOKUP(W520,'DATABASE F&amp;B'!$C$3:$F$216,4,0)</f>
        <v>0</v>
      </c>
      <c r="AA520" s="19">
        <f t="shared" si="528"/>
        <v>0</v>
      </c>
      <c r="AB520" s="16"/>
      <c r="AC520" s="17">
        <f>VLOOKUP(AB520,'DATABASE F&amp;B'!$C$3:$F$216,2,0)</f>
        <v>0</v>
      </c>
      <c r="AD520" s="18"/>
      <c r="AE520" s="19">
        <f>VLOOKUP(AB520,'DATABASE F&amp;B'!$C$3:$F$216,4,0)</f>
        <v>0</v>
      </c>
      <c r="AF520" s="19">
        <f t="shared" si="529"/>
        <v>0</v>
      </c>
      <c r="AG520" s="16"/>
      <c r="AH520" s="17">
        <f>VLOOKUP(AG520,'DATABASE F&amp;B'!$C$3:$F$216,2,0)</f>
        <v>0</v>
      </c>
      <c r="AI520" s="18"/>
      <c r="AJ520" s="19">
        <f>VLOOKUP(AG520,'DATABASE F&amp;B'!$C$3:$F$216,4,0)</f>
        <v>0</v>
      </c>
      <c r="AK520" s="19">
        <f t="shared" si="530"/>
        <v>0</v>
      </c>
      <c r="AL520" s="16"/>
      <c r="AM520" s="17">
        <f>VLOOKUP(AL520,'DATABASE F&amp;B'!$C$3:$F$216,2,0)</f>
        <v>0</v>
      </c>
      <c r="AN520" s="18"/>
      <c r="AO520" s="19">
        <f>VLOOKUP(AL520,'DATABASE F&amp;B'!$C$3:$F$216,4,0)</f>
        <v>0</v>
      </c>
      <c r="AP520" s="19">
        <f t="shared" si="531"/>
        <v>0</v>
      </c>
      <c r="AQ520" s="16"/>
      <c r="AR520" s="17">
        <f>VLOOKUP(AQ520,'DATABASE F&amp;B'!$C$3:$F$216,2,0)</f>
        <v>0</v>
      </c>
      <c r="AS520" s="13"/>
      <c r="AT520" s="19">
        <f>VLOOKUP(AQ520,'DATABASE F&amp;B'!$C$3:$F$216,4,0)</f>
        <v>0</v>
      </c>
      <c r="AU520" s="19">
        <f t="shared" si="532"/>
        <v>0</v>
      </c>
      <c r="AV520" s="16"/>
      <c r="AW520" s="17">
        <f>VLOOKUP(AV520,'DATABASE F&amp;B'!$C$3:$F$216,2,0)</f>
        <v>0</v>
      </c>
      <c r="AX520" s="18"/>
      <c r="AY520" s="19">
        <f>VLOOKUP(AV520,'DATABASE F&amp;B'!$C$3:$F$216,4,0)</f>
        <v>0</v>
      </c>
      <c r="AZ520" s="19">
        <f t="shared" si="533"/>
        <v>0</v>
      </c>
      <c r="BA520" s="16"/>
      <c r="BB520" s="17">
        <f>VLOOKUP(BA520,'DATABASE F&amp;B'!$C$3:$F$216,2,0)</f>
        <v>0</v>
      </c>
      <c r="BC520" s="18"/>
      <c r="BD520" s="19">
        <f>VLOOKUP(BA520,'DATABASE F&amp;B'!$C$3:$F$216,4,0)</f>
        <v>0</v>
      </c>
      <c r="BE520" s="19">
        <f t="shared" si="534"/>
        <v>0</v>
      </c>
      <c r="BF520" s="16"/>
      <c r="BG520" s="17">
        <f>VLOOKUP(BF520,'DATABASE F&amp;B'!$C$3:$F$216,2,0)</f>
        <v>0</v>
      </c>
      <c r="BH520" s="18"/>
      <c r="BI520" s="19">
        <f>VLOOKUP(BF520,'DATABASE F&amp;B'!$C$3:$F$216,4,0)</f>
        <v>0</v>
      </c>
      <c r="BJ520" s="19">
        <f t="shared" si="535"/>
        <v>0</v>
      </c>
      <c r="BK520" s="16"/>
      <c r="BL520" s="17">
        <f>VLOOKUP(BK520,'DATABASE F&amp;B'!$C$3:$F$210,2,0)</f>
        <v>0</v>
      </c>
      <c r="BM520" s="18"/>
      <c r="BN520" s="19">
        <f>VLOOKUP(BK520,'DATABASE F&amp;B'!$C$3:$F$210,4,0)</f>
        <v>0</v>
      </c>
      <c r="BO520" s="19">
        <f t="shared" si="536"/>
        <v>0</v>
      </c>
      <c r="BP520" s="16"/>
      <c r="BQ520" s="17">
        <f>VLOOKUP(BP520,'DATABASE F&amp;B'!$C$3:$F$210,2,0)</f>
        <v>0</v>
      </c>
      <c r="BR520" s="18"/>
      <c r="BS520" s="19">
        <f>VLOOKUP(BP520,'DATABASE F&amp;B'!$C$3:$F$210,4,0)</f>
        <v>0</v>
      </c>
      <c r="BT520" s="19">
        <f t="shared" si="537"/>
        <v>0</v>
      </c>
      <c r="BU520" s="16"/>
      <c r="BV520" s="17">
        <f>VLOOKUP(BU520,'DATABASE F&amp;B'!$C$3:$F$210,2,0)</f>
        <v>0</v>
      </c>
      <c r="BW520" s="18"/>
      <c r="BX520" s="19">
        <f>VLOOKUP(BU520,'DATABASE F&amp;B'!$C$3:$F$210,4,0)</f>
        <v>0</v>
      </c>
      <c r="BY520" s="19">
        <f t="shared" si="538"/>
        <v>0</v>
      </c>
      <c r="BZ520" s="16"/>
      <c r="CA520" s="17">
        <f>VLOOKUP(BZ520,'DATABASE F&amp;B'!$C$3:$F$210,2,0)</f>
        <v>0</v>
      </c>
      <c r="CB520" s="18"/>
      <c r="CC520" s="19">
        <f>VLOOKUP(BZ520,'DATABASE F&amp;B'!$C$3:$F$210,4,0)</f>
        <v>0</v>
      </c>
      <c r="CD520" s="19">
        <f t="shared" si="539"/>
        <v>0</v>
      </c>
    </row>
    <row r="521" spans="1:82" ht="13.5" x14ac:dyDescent="0.25">
      <c r="A521" s="32" t="str">
        <f t="shared" si="519"/>
        <v>--20</v>
      </c>
      <c r="B521" s="22">
        <f t="shared" ref="B521:C521" si="547">B520+1</f>
        <v>517</v>
      </c>
      <c r="C521" s="22">
        <f t="shared" si="547"/>
        <v>517</v>
      </c>
      <c r="D521" s="34"/>
      <c r="E521" s="35"/>
      <c r="F521" s="35"/>
      <c r="G521" s="52"/>
      <c r="H521" s="36" t="str">
        <f t="shared" si="544"/>
        <v>RJ--517</v>
      </c>
      <c r="I521" s="36" t="str">
        <f t="shared" si="521"/>
        <v>--20</v>
      </c>
      <c r="J521" s="37" t="e">
        <f>VLOOKUP(D521,Laporan!$C$4:$D$34,2,0)</f>
        <v>#N/A</v>
      </c>
      <c r="K521" s="48"/>
      <c r="L521" s="13"/>
      <c r="M521" s="19">
        <f>SUMIF('DATABASE Room'!$B$3:$B$7,L521,'DATABASE Room'!$D$3:$D$7)</f>
        <v>0</v>
      </c>
      <c r="N521" s="13"/>
      <c r="O521" s="21">
        <f t="shared" si="522"/>
        <v>0</v>
      </c>
      <c r="P521" s="38"/>
      <c r="Q521" s="19">
        <f t="shared" si="523"/>
        <v>0</v>
      </c>
      <c r="R521" s="21">
        <f t="shared" si="524"/>
        <v>0</v>
      </c>
      <c r="S521" s="19">
        <f t="shared" si="525"/>
        <v>0</v>
      </c>
      <c r="T521" s="19">
        <f t="shared" si="526"/>
        <v>0</v>
      </c>
      <c r="U521" s="21">
        <f t="shared" si="527"/>
        <v>0</v>
      </c>
      <c r="V521" s="39"/>
      <c r="W521" s="16"/>
      <c r="X521" s="17">
        <f>VLOOKUP(W521,'DATABASE F&amp;B'!$C$3:$F$216,2,0)</f>
        <v>0</v>
      </c>
      <c r="Y521" s="18"/>
      <c r="Z521" s="19">
        <f>VLOOKUP(W521,'DATABASE F&amp;B'!$C$3:$F$216,4,0)</f>
        <v>0</v>
      </c>
      <c r="AA521" s="19">
        <f t="shared" si="528"/>
        <v>0</v>
      </c>
      <c r="AB521" s="16"/>
      <c r="AC521" s="17">
        <f>VLOOKUP(AB521,'DATABASE F&amp;B'!$C$3:$F$216,2,0)</f>
        <v>0</v>
      </c>
      <c r="AD521" s="18"/>
      <c r="AE521" s="19">
        <f>VLOOKUP(AB521,'DATABASE F&amp;B'!$C$3:$F$216,4,0)</f>
        <v>0</v>
      </c>
      <c r="AF521" s="19">
        <f t="shared" si="529"/>
        <v>0</v>
      </c>
      <c r="AG521" s="16"/>
      <c r="AH521" s="17">
        <f>VLOOKUP(AG521,'DATABASE F&amp;B'!$C$3:$F$216,2,0)</f>
        <v>0</v>
      </c>
      <c r="AI521" s="18"/>
      <c r="AJ521" s="19">
        <f>VLOOKUP(AG521,'DATABASE F&amp;B'!$C$3:$F$216,4,0)</f>
        <v>0</v>
      </c>
      <c r="AK521" s="19">
        <f t="shared" si="530"/>
        <v>0</v>
      </c>
      <c r="AL521" s="16"/>
      <c r="AM521" s="17">
        <f>VLOOKUP(AL521,'DATABASE F&amp;B'!$C$3:$F$216,2,0)</f>
        <v>0</v>
      </c>
      <c r="AN521" s="18"/>
      <c r="AO521" s="19">
        <f>VLOOKUP(AL521,'DATABASE F&amp;B'!$C$3:$F$216,4,0)</f>
        <v>0</v>
      </c>
      <c r="AP521" s="19">
        <f t="shared" si="531"/>
        <v>0</v>
      </c>
      <c r="AQ521" s="16"/>
      <c r="AR521" s="17">
        <f>VLOOKUP(AQ521,'DATABASE F&amp;B'!$C$3:$F$216,2,0)</f>
        <v>0</v>
      </c>
      <c r="AS521" s="13"/>
      <c r="AT521" s="19">
        <f>VLOOKUP(AQ521,'DATABASE F&amp;B'!$C$3:$F$216,4,0)</f>
        <v>0</v>
      </c>
      <c r="AU521" s="19">
        <f t="shared" si="532"/>
        <v>0</v>
      </c>
      <c r="AV521" s="16"/>
      <c r="AW521" s="17">
        <f>VLOOKUP(AV521,'DATABASE F&amp;B'!$C$3:$F$216,2,0)</f>
        <v>0</v>
      </c>
      <c r="AX521" s="18"/>
      <c r="AY521" s="19">
        <f>VLOOKUP(AV521,'DATABASE F&amp;B'!$C$3:$F$216,4,0)</f>
        <v>0</v>
      </c>
      <c r="AZ521" s="19">
        <f t="shared" si="533"/>
        <v>0</v>
      </c>
      <c r="BA521" s="16"/>
      <c r="BB521" s="17">
        <f>VLOOKUP(BA521,'DATABASE F&amp;B'!$C$3:$F$216,2,0)</f>
        <v>0</v>
      </c>
      <c r="BC521" s="18"/>
      <c r="BD521" s="19">
        <f>VLOOKUP(BA521,'DATABASE F&amp;B'!$C$3:$F$216,4,0)</f>
        <v>0</v>
      </c>
      <c r="BE521" s="19">
        <f t="shared" si="534"/>
        <v>0</v>
      </c>
      <c r="BF521" s="16"/>
      <c r="BG521" s="17">
        <f>VLOOKUP(BF521,'DATABASE F&amp;B'!$C$3:$F$216,2,0)</f>
        <v>0</v>
      </c>
      <c r="BH521" s="18"/>
      <c r="BI521" s="19">
        <f>VLOOKUP(BF521,'DATABASE F&amp;B'!$C$3:$F$216,4,0)</f>
        <v>0</v>
      </c>
      <c r="BJ521" s="19">
        <f t="shared" si="535"/>
        <v>0</v>
      </c>
      <c r="BK521" s="16"/>
      <c r="BL521" s="17">
        <f>VLOOKUP(BK521,'DATABASE F&amp;B'!$C$3:$F$210,2,0)</f>
        <v>0</v>
      </c>
      <c r="BM521" s="18"/>
      <c r="BN521" s="19">
        <f>VLOOKUP(BK521,'DATABASE F&amp;B'!$C$3:$F$210,4,0)</f>
        <v>0</v>
      </c>
      <c r="BO521" s="19">
        <f t="shared" si="536"/>
        <v>0</v>
      </c>
      <c r="BP521" s="16"/>
      <c r="BQ521" s="17">
        <f>VLOOKUP(BP521,'DATABASE F&amp;B'!$C$3:$F$210,2,0)</f>
        <v>0</v>
      </c>
      <c r="BR521" s="18"/>
      <c r="BS521" s="19">
        <f>VLOOKUP(BP521,'DATABASE F&amp;B'!$C$3:$F$210,4,0)</f>
        <v>0</v>
      </c>
      <c r="BT521" s="19">
        <f t="shared" si="537"/>
        <v>0</v>
      </c>
      <c r="BU521" s="16"/>
      <c r="BV521" s="17">
        <f>VLOOKUP(BU521,'DATABASE F&amp;B'!$C$3:$F$210,2,0)</f>
        <v>0</v>
      </c>
      <c r="BW521" s="18"/>
      <c r="BX521" s="19">
        <f>VLOOKUP(BU521,'DATABASE F&amp;B'!$C$3:$F$210,4,0)</f>
        <v>0</v>
      </c>
      <c r="BY521" s="19">
        <f t="shared" si="538"/>
        <v>0</v>
      </c>
      <c r="BZ521" s="16"/>
      <c r="CA521" s="17">
        <f>VLOOKUP(BZ521,'DATABASE F&amp;B'!$C$3:$F$210,2,0)</f>
        <v>0</v>
      </c>
      <c r="CB521" s="18"/>
      <c r="CC521" s="19">
        <f>VLOOKUP(BZ521,'DATABASE F&amp;B'!$C$3:$F$210,4,0)</f>
        <v>0</v>
      </c>
      <c r="CD521" s="19">
        <f t="shared" si="539"/>
        <v>0</v>
      </c>
    </row>
    <row r="522" spans="1:82" ht="13.5" x14ac:dyDescent="0.25">
      <c r="A522" s="32" t="str">
        <f t="shared" si="519"/>
        <v>--20</v>
      </c>
      <c r="B522" s="22">
        <f t="shared" ref="B522:C522" si="548">B521+1</f>
        <v>518</v>
      </c>
      <c r="C522" s="22">
        <f t="shared" si="548"/>
        <v>518</v>
      </c>
      <c r="D522" s="34"/>
      <c r="E522" s="35"/>
      <c r="F522" s="35"/>
      <c r="G522" s="52"/>
      <c r="H522" s="36" t="str">
        <f t="shared" si="544"/>
        <v>RJ--518</v>
      </c>
      <c r="I522" s="36" t="str">
        <f t="shared" si="521"/>
        <v>--20</v>
      </c>
      <c r="J522" s="37" t="e">
        <f>VLOOKUP(D522,Laporan!$C$4:$D$34,2,0)</f>
        <v>#N/A</v>
      </c>
      <c r="K522" s="48"/>
      <c r="L522" s="13"/>
      <c r="M522" s="19">
        <f>SUMIF('DATABASE Room'!$B$3:$B$7,L522,'DATABASE Room'!$D$3:$D$7)</f>
        <v>0</v>
      </c>
      <c r="N522" s="13"/>
      <c r="O522" s="21">
        <f t="shared" si="522"/>
        <v>0</v>
      </c>
      <c r="P522" s="38"/>
      <c r="Q522" s="19">
        <f t="shared" si="523"/>
        <v>0</v>
      </c>
      <c r="R522" s="21">
        <f t="shared" si="524"/>
        <v>0</v>
      </c>
      <c r="S522" s="19">
        <f t="shared" si="525"/>
        <v>0</v>
      </c>
      <c r="T522" s="19">
        <f t="shared" si="526"/>
        <v>0</v>
      </c>
      <c r="U522" s="21">
        <f t="shared" si="527"/>
        <v>0</v>
      </c>
      <c r="V522" s="39"/>
      <c r="W522" s="16"/>
      <c r="X522" s="17">
        <f>VLOOKUP(W522,'DATABASE F&amp;B'!$C$3:$F$216,2,0)</f>
        <v>0</v>
      </c>
      <c r="Y522" s="18"/>
      <c r="Z522" s="19">
        <f>VLOOKUP(W522,'DATABASE F&amp;B'!$C$3:$F$216,4,0)</f>
        <v>0</v>
      </c>
      <c r="AA522" s="19">
        <f t="shared" si="528"/>
        <v>0</v>
      </c>
      <c r="AB522" s="16"/>
      <c r="AC522" s="17">
        <f>VLOOKUP(AB522,'DATABASE F&amp;B'!$C$3:$F$216,2,0)</f>
        <v>0</v>
      </c>
      <c r="AD522" s="18"/>
      <c r="AE522" s="19">
        <f>VLOOKUP(AB522,'DATABASE F&amp;B'!$C$3:$F$216,4,0)</f>
        <v>0</v>
      </c>
      <c r="AF522" s="19">
        <f t="shared" si="529"/>
        <v>0</v>
      </c>
      <c r="AG522" s="16"/>
      <c r="AH522" s="17">
        <f>VLOOKUP(AG522,'DATABASE F&amp;B'!$C$3:$F$216,2,0)</f>
        <v>0</v>
      </c>
      <c r="AI522" s="18"/>
      <c r="AJ522" s="19">
        <f>VLOOKUP(AG522,'DATABASE F&amp;B'!$C$3:$F$216,4,0)</f>
        <v>0</v>
      </c>
      <c r="AK522" s="19">
        <f t="shared" si="530"/>
        <v>0</v>
      </c>
      <c r="AL522" s="16"/>
      <c r="AM522" s="17">
        <f>VLOOKUP(AL522,'DATABASE F&amp;B'!$C$3:$F$216,2,0)</f>
        <v>0</v>
      </c>
      <c r="AN522" s="18"/>
      <c r="AO522" s="19">
        <f>VLOOKUP(AL522,'DATABASE F&amp;B'!$C$3:$F$216,4,0)</f>
        <v>0</v>
      </c>
      <c r="AP522" s="19">
        <f t="shared" si="531"/>
        <v>0</v>
      </c>
      <c r="AQ522" s="16"/>
      <c r="AR522" s="17">
        <f>VLOOKUP(AQ522,'DATABASE F&amp;B'!$C$3:$F$216,2,0)</f>
        <v>0</v>
      </c>
      <c r="AS522" s="13"/>
      <c r="AT522" s="19">
        <f>VLOOKUP(AQ522,'DATABASE F&amp;B'!$C$3:$F$216,4,0)</f>
        <v>0</v>
      </c>
      <c r="AU522" s="19">
        <f t="shared" si="532"/>
        <v>0</v>
      </c>
      <c r="AV522" s="16"/>
      <c r="AW522" s="17">
        <f>VLOOKUP(AV522,'DATABASE F&amp;B'!$C$3:$F$216,2,0)</f>
        <v>0</v>
      </c>
      <c r="AX522" s="18"/>
      <c r="AY522" s="19">
        <f>VLOOKUP(AV522,'DATABASE F&amp;B'!$C$3:$F$216,4,0)</f>
        <v>0</v>
      </c>
      <c r="AZ522" s="19">
        <f t="shared" si="533"/>
        <v>0</v>
      </c>
      <c r="BA522" s="16"/>
      <c r="BB522" s="17">
        <f>VLOOKUP(BA522,'DATABASE F&amp;B'!$C$3:$F$216,2,0)</f>
        <v>0</v>
      </c>
      <c r="BC522" s="18"/>
      <c r="BD522" s="19">
        <f>VLOOKUP(BA522,'DATABASE F&amp;B'!$C$3:$F$216,4,0)</f>
        <v>0</v>
      </c>
      <c r="BE522" s="19">
        <f t="shared" si="534"/>
        <v>0</v>
      </c>
      <c r="BF522" s="16"/>
      <c r="BG522" s="17">
        <f>VLOOKUP(BF522,'DATABASE F&amp;B'!$C$3:$F$216,2,0)</f>
        <v>0</v>
      </c>
      <c r="BH522" s="18"/>
      <c r="BI522" s="19">
        <f>VLOOKUP(BF522,'DATABASE F&amp;B'!$C$3:$F$216,4,0)</f>
        <v>0</v>
      </c>
      <c r="BJ522" s="19">
        <f t="shared" si="535"/>
        <v>0</v>
      </c>
      <c r="BK522" s="16"/>
      <c r="BL522" s="17">
        <f>VLOOKUP(BK522,'DATABASE F&amp;B'!$C$3:$F$210,2,0)</f>
        <v>0</v>
      </c>
      <c r="BM522" s="18"/>
      <c r="BN522" s="19">
        <f>VLOOKUP(BK522,'DATABASE F&amp;B'!$C$3:$F$210,4,0)</f>
        <v>0</v>
      </c>
      <c r="BO522" s="19">
        <f t="shared" si="536"/>
        <v>0</v>
      </c>
      <c r="BP522" s="16"/>
      <c r="BQ522" s="17">
        <f>VLOOKUP(BP522,'DATABASE F&amp;B'!$C$3:$F$210,2,0)</f>
        <v>0</v>
      </c>
      <c r="BR522" s="18"/>
      <c r="BS522" s="19">
        <f>VLOOKUP(BP522,'DATABASE F&amp;B'!$C$3:$F$210,4,0)</f>
        <v>0</v>
      </c>
      <c r="BT522" s="19">
        <f t="shared" si="537"/>
        <v>0</v>
      </c>
      <c r="BU522" s="16"/>
      <c r="BV522" s="17">
        <f>VLOOKUP(BU522,'DATABASE F&amp;B'!$C$3:$F$210,2,0)</f>
        <v>0</v>
      </c>
      <c r="BW522" s="18"/>
      <c r="BX522" s="19">
        <f>VLOOKUP(BU522,'DATABASE F&amp;B'!$C$3:$F$210,4,0)</f>
        <v>0</v>
      </c>
      <c r="BY522" s="19">
        <f t="shared" si="538"/>
        <v>0</v>
      </c>
      <c r="BZ522" s="16"/>
      <c r="CA522" s="17">
        <f>VLOOKUP(BZ522,'DATABASE F&amp;B'!$C$3:$F$210,2,0)</f>
        <v>0</v>
      </c>
      <c r="CB522" s="18"/>
      <c r="CC522" s="19">
        <f>VLOOKUP(BZ522,'DATABASE F&amp;B'!$C$3:$F$210,4,0)</f>
        <v>0</v>
      </c>
      <c r="CD522" s="19">
        <f t="shared" si="539"/>
        <v>0</v>
      </c>
    </row>
    <row r="523" spans="1:82" ht="13.5" x14ac:dyDescent="0.25">
      <c r="A523" s="32" t="str">
        <f t="shared" si="519"/>
        <v>--20</v>
      </c>
      <c r="B523" s="22">
        <f t="shared" ref="B523:C523" si="549">B522+1</f>
        <v>519</v>
      </c>
      <c r="C523" s="22">
        <f t="shared" si="549"/>
        <v>519</v>
      </c>
      <c r="D523" s="34"/>
      <c r="E523" s="35"/>
      <c r="F523" s="35"/>
      <c r="G523" s="52"/>
      <c r="H523" s="36" t="str">
        <f t="shared" si="544"/>
        <v>RJ--519</v>
      </c>
      <c r="I523" s="36" t="str">
        <f t="shared" si="521"/>
        <v>--20</v>
      </c>
      <c r="J523" s="37" t="e">
        <f>VLOOKUP(D523,Laporan!$C$4:$D$34,2,0)</f>
        <v>#N/A</v>
      </c>
      <c r="K523" s="48"/>
      <c r="L523" s="13"/>
      <c r="M523" s="19">
        <f>SUMIF('DATABASE Room'!$B$3:$B$7,L523,'DATABASE Room'!$D$3:$D$7)</f>
        <v>0</v>
      </c>
      <c r="N523" s="13"/>
      <c r="O523" s="21">
        <f t="shared" si="522"/>
        <v>0</v>
      </c>
      <c r="P523" s="38"/>
      <c r="Q523" s="19">
        <f t="shared" si="523"/>
        <v>0</v>
      </c>
      <c r="R523" s="21">
        <f t="shared" si="524"/>
        <v>0</v>
      </c>
      <c r="S523" s="19">
        <f t="shared" si="525"/>
        <v>0</v>
      </c>
      <c r="T523" s="19">
        <f t="shared" si="526"/>
        <v>0</v>
      </c>
      <c r="U523" s="21">
        <f t="shared" si="527"/>
        <v>0</v>
      </c>
      <c r="V523" s="39"/>
      <c r="W523" s="16"/>
      <c r="X523" s="17">
        <f>VLOOKUP(W523,'DATABASE F&amp;B'!$C$3:$F$216,2,0)</f>
        <v>0</v>
      </c>
      <c r="Y523" s="18"/>
      <c r="Z523" s="19">
        <f>VLOOKUP(W523,'DATABASE F&amp;B'!$C$3:$F$216,4,0)</f>
        <v>0</v>
      </c>
      <c r="AA523" s="19">
        <f t="shared" si="528"/>
        <v>0</v>
      </c>
      <c r="AB523" s="16"/>
      <c r="AC523" s="17">
        <f>VLOOKUP(AB523,'DATABASE F&amp;B'!$C$3:$F$216,2,0)</f>
        <v>0</v>
      </c>
      <c r="AD523" s="18"/>
      <c r="AE523" s="19">
        <f>VLOOKUP(AB523,'DATABASE F&amp;B'!$C$3:$F$216,4,0)</f>
        <v>0</v>
      </c>
      <c r="AF523" s="19">
        <f t="shared" si="529"/>
        <v>0</v>
      </c>
      <c r="AG523" s="16"/>
      <c r="AH523" s="17">
        <f>VLOOKUP(AG523,'DATABASE F&amp;B'!$C$3:$F$216,2,0)</f>
        <v>0</v>
      </c>
      <c r="AI523" s="18"/>
      <c r="AJ523" s="19">
        <f>VLOOKUP(AG523,'DATABASE F&amp;B'!$C$3:$F$216,4,0)</f>
        <v>0</v>
      </c>
      <c r="AK523" s="19">
        <f t="shared" si="530"/>
        <v>0</v>
      </c>
      <c r="AL523" s="16"/>
      <c r="AM523" s="17">
        <f>VLOOKUP(AL523,'DATABASE F&amp;B'!$C$3:$F$216,2,0)</f>
        <v>0</v>
      </c>
      <c r="AN523" s="18"/>
      <c r="AO523" s="19">
        <f>VLOOKUP(AL523,'DATABASE F&amp;B'!$C$3:$F$216,4,0)</f>
        <v>0</v>
      </c>
      <c r="AP523" s="19">
        <f t="shared" si="531"/>
        <v>0</v>
      </c>
      <c r="AQ523" s="16"/>
      <c r="AR523" s="17">
        <f>VLOOKUP(AQ523,'DATABASE F&amp;B'!$C$3:$F$216,2,0)</f>
        <v>0</v>
      </c>
      <c r="AS523" s="13"/>
      <c r="AT523" s="19">
        <f>VLOOKUP(AQ523,'DATABASE F&amp;B'!$C$3:$F$216,4,0)</f>
        <v>0</v>
      </c>
      <c r="AU523" s="19">
        <f t="shared" si="532"/>
        <v>0</v>
      </c>
      <c r="AV523" s="16"/>
      <c r="AW523" s="17">
        <f>VLOOKUP(AV523,'DATABASE F&amp;B'!$C$3:$F$216,2,0)</f>
        <v>0</v>
      </c>
      <c r="AX523" s="18"/>
      <c r="AY523" s="19">
        <f>VLOOKUP(AV523,'DATABASE F&amp;B'!$C$3:$F$216,4,0)</f>
        <v>0</v>
      </c>
      <c r="AZ523" s="19">
        <f t="shared" si="533"/>
        <v>0</v>
      </c>
      <c r="BA523" s="16"/>
      <c r="BB523" s="17">
        <f>VLOOKUP(BA523,'DATABASE F&amp;B'!$C$3:$F$216,2,0)</f>
        <v>0</v>
      </c>
      <c r="BC523" s="18"/>
      <c r="BD523" s="19">
        <f>VLOOKUP(BA523,'DATABASE F&amp;B'!$C$3:$F$216,4,0)</f>
        <v>0</v>
      </c>
      <c r="BE523" s="19">
        <f t="shared" si="534"/>
        <v>0</v>
      </c>
      <c r="BF523" s="16"/>
      <c r="BG523" s="17">
        <f>VLOOKUP(BF523,'DATABASE F&amp;B'!$C$3:$F$216,2,0)</f>
        <v>0</v>
      </c>
      <c r="BH523" s="18"/>
      <c r="BI523" s="19">
        <f>VLOOKUP(BF523,'DATABASE F&amp;B'!$C$3:$F$216,4,0)</f>
        <v>0</v>
      </c>
      <c r="BJ523" s="19">
        <f t="shared" si="535"/>
        <v>0</v>
      </c>
      <c r="BK523" s="16"/>
      <c r="BL523" s="17">
        <f>VLOOKUP(BK523,'DATABASE F&amp;B'!$C$3:$F$210,2,0)</f>
        <v>0</v>
      </c>
      <c r="BM523" s="18"/>
      <c r="BN523" s="19">
        <f>VLOOKUP(BK523,'DATABASE F&amp;B'!$C$3:$F$210,4,0)</f>
        <v>0</v>
      </c>
      <c r="BO523" s="19">
        <f t="shared" si="536"/>
        <v>0</v>
      </c>
      <c r="BP523" s="16"/>
      <c r="BQ523" s="17">
        <f>VLOOKUP(BP523,'DATABASE F&amp;B'!$C$3:$F$210,2,0)</f>
        <v>0</v>
      </c>
      <c r="BR523" s="18"/>
      <c r="BS523" s="19">
        <f>VLOOKUP(BP523,'DATABASE F&amp;B'!$C$3:$F$210,4,0)</f>
        <v>0</v>
      </c>
      <c r="BT523" s="19">
        <f t="shared" si="537"/>
        <v>0</v>
      </c>
      <c r="BU523" s="16"/>
      <c r="BV523" s="17">
        <f>VLOOKUP(BU523,'DATABASE F&amp;B'!$C$3:$F$210,2,0)</f>
        <v>0</v>
      </c>
      <c r="BW523" s="18"/>
      <c r="BX523" s="19">
        <f>VLOOKUP(BU523,'DATABASE F&amp;B'!$C$3:$F$210,4,0)</f>
        <v>0</v>
      </c>
      <c r="BY523" s="19">
        <f t="shared" si="538"/>
        <v>0</v>
      </c>
      <c r="BZ523" s="16"/>
      <c r="CA523" s="17">
        <f>VLOOKUP(BZ523,'DATABASE F&amp;B'!$C$3:$F$210,2,0)</f>
        <v>0</v>
      </c>
      <c r="CB523" s="18"/>
      <c r="CC523" s="19">
        <f>VLOOKUP(BZ523,'DATABASE F&amp;B'!$C$3:$F$210,4,0)</f>
        <v>0</v>
      </c>
      <c r="CD523" s="19">
        <f t="shared" si="539"/>
        <v>0</v>
      </c>
    </row>
    <row r="524" spans="1:82" ht="13.5" x14ac:dyDescent="0.25">
      <c r="A524" s="32" t="str">
        <f t="shared" si="519"/>
        <v>--20</v>
      </c>
      <c r="B524" s="22">
        <f t="shared" ref="B524:C524" si="550">B523+1</f>
        <v>520</v>
      </c>
      <c r="C524" s="22">
        <f t="shared" si="550"/>
        <v>520</v>
      </c>
      <c r="D524" s="34"/>
      <c r="E524" s="35"/>
      <c r="F524" s="35"/>
      <c r="G524" s="52"/>
      <c r="H524" s="36" t="str">
        <f t="shared" si="544"/>
        <v>RJ--520</v>
      </c>
      <c r="I524" s="36" t="str">
        <f t="shared" si="521"/>
        <v>--20</v>
      </c>
      <c r="J524" s="37" t="e">
        <f>VLOOKUP(D524,Laporan!$C$4:$D$34,2,0)</f>
        <v>#N/A</v>
      </c>
      <c r="K524" s="48"/>
      <c r="L524" s="13"/>
      <c r="M524" s="19">
        <f>SUMIF('DATABASE Room'!$B$3:$B$7,L524,'DATABASE Room'!$D$3:$D$7)</f>
        <v>0</v>
      </c>
      <c r="N524" s="13"/>
      <c r="O524" s="21">
        <f t="shared" si="522"/>
        <v>0</v>
      </c>
      <c r="P524" s="38"/>
      <c r="Q524" s="19">
        <f t="shared" si="523"/>
        <v>0</v>
      </c>
      <c r="R524" s="21">
        <f t="shared" si="524"/>
        <v>0</v>
      </c>
      <c r="S524" s="19">
        <f t="shared" si="525"/>
        <v>0</v>
      </c>
      <c r="T524" s="19">
        <f t="shared" si="526"/>
        <v>0</v>
      </c>
      <c r="U524" s="21">
        <f t="shared" si="527"/>
        <v>0</v>
      </c>
      <c r="V524" s="39"/>
      <c r="W524" s="16"/>
      <c r="X524" s="17">
        <f>VLOOKUP(W524,'DATABASE F&amp;B'!$C$3:$F$216,2,0)</f>
        <v>0</v>
      </c>
      <c r="Y524" s="18"/>
      <c r="Z524" s="19">
        <f>VLOOKUP(W524,'DATABASE F&amp;B'!$C$3:$F$216,4,0)</f>
        <v>0</v>
      </c>
      <c r="AA524" s="19">
        <f t="shared" si="528"/>
        <v>0</v>
      </c>
      <c r="AB524" s="16"/>
      <c r="AC524" s="17">
        <f>VLOOKUP(AB524,'DATABASE F&amp;B'!$C$3:$F$216,2,0)</f>
        <v>0</v>
      </c>
      <c r="AD524" s="18"/>
      <c r="AE524" s="19">
        <f>VLOOKUP(AB524,'DATABASE F&amp;B'!$C$3:$F$216,4,0)</f>
        <v>0</v>
      </c>
      <c r="AF524" s="19">
        <f t="shared" si="529"/>
        <v>0</v>
      </c>
      <c r="AG524" s="16"/>
      <c r="AH524" s="17">
        <f>VLOOKUP(AG524,'DATABASE F&amp;B'!$C$3:$F$216,2,0)</f>
        <v>0</v>
      </c>
      <c r="AI524" s="18"/>
      <c r="AJ524" s="19">
        <f>VLOOKUP(AG524,'DATABASE F&amp;B'!$C$3:$F$216,4,0)</f>
        <v>0</v>
      </c>
      <c r="AK524" s="19">
        <f t="shared" si="530"/>
        <v>0</v>
      </c>
      <c r="AL524" s="16"/>
      <c r="AM524" s="17">
        <f>VLOOKUP(AL524,'DATABASE F&amp;B'!$C$3:$F$216,2,0)</f>
        <v>0</v>
      </c>
      <c r="AN524" s="18"/>
      <c r="AO524" s="19">
        <f>VLOOKUP(AL524,'DATABASE F&amp;B'!$C$3:$F$216,4,0)</f>
        <v>0</v>
      </c>
      <c r="AP524" s="19">
        <f t="shared" si="531"/>
        <v>0</v>
      </c>
      <c r="AQ524" s="16"/>
      <c r="AR524" s="17">
        <f>VLOOKUP(AQ524,'DATABASE F&amp;B'!$C$3:$F$216,2,0)</f>
        <v>0</v>
      </c>
      <c r="AS524" s="13"/>
      <c r="AT524" s="19">
        <f>VLOOKUP(AQ524,'DATABASE F&amp;B'!$C$3:$F$216,4,0)</f>
        <v>0</v>
      </c>
      <c r="AU524" s="19">
        <f t="shared" si="532"/>
        <v>0</v>
      </c>
      <c r="AV524" s="16"/>
      <c r="AW524" s="17">
        <f>VLOOKUP(AV524,'DATABASE F&amp;B'!$C$3:$F$216,2,0)</f>
        <v>0</v>
      </c>
      <c r="AX524" s="18"/>
      <c r="AY524" s="19">
        <f>VLOOKUP(AV524,'DATABASE F&amp;B'!$C$3:$F$216,4,0)</f>
        <v>0</v>
      </c>
      <c r="AZ524" s="19">
        <f t="shared" si="533"/>
        <v>0</v>
      </c>
      <c r="BA524" s="16"/>
      <c r="BB524" s="17">
        <f>VLOOKUP(BA524,'DATABASE F&amp;B'!$C$3:$F$216,2,0)</f>
        <v>0</v>
      </c>
      <c r="BC524" s="18"/>
      <c r="BD524" s="19">
        <f>VLOOKUP(BA524,'DATABASE F&amp;B'!$C$3:$F$216,4,0)</f>
        <v>0</v>
      </c>
      <c r="BE524" s="19">
        <f t="shared" si="534"/>
        <v>0</v>
      </c>
      <c r="BF524" s="16"/>
      <c r="BG524" s="17">
        <f>VLOOKUP(BF524,'DATABASE F&amp;B'!$C$3:$F$216,2,0)</f>
        <v>0</v>
      </c>
      <c r="BH524" s="18"/>
      <c r="BI524" s="19">
        <f>VLOOKUP(BF524,'DATABASE F&amp;B'!$C$3:$F$216,4,0)</f>
        <v>0</v>
      </c>
      <c r="BJ524" s="19">
        <f t="shared" si="535"/>
        <v>0</v>
      </c>
      <c r="BK524" s="16"/>
      <c r="BL524" s="17">
        <f>VLOOKUP(BK524,'DATABASE F&amp;B'!$C$3:$F$210,2,0)</f>
        <v>0</v>
      </c>
      <c r="BM524" s="18"/>
      <c r="BN524" s="19">
        <f>VLOOKUP(BK524,'DATABASE F&amp;B'!$C$3:$F$210,4,0)</f>
        <v>0</v>
      </c>
      <c r="BO524" s="19">
        <f t="shared" si="536"/>
        <v>0</v>
      </c>
      <c r="BP524" s="16"/>
      <c r="BQ524" s="17">
        <f>VLOOKUP(BP524,'DATABASE F&amp;B'!$C$3:$F$210,2,0)</f>
        <v>0</v>
      </c>
      <c r="BR524" s="18"/>
      <c r="BS524" s="19">
        <f>VLOOKUP(BP524,'DATABASE F&amp;B'!$C$3:$F$210,4,0)</f>
        <v>0</v>
      </c>
      <c r="BT524" s="19">
        <f t="shared" si="537"/>
        <v>0</v>
      </c>
      <c r="BU524" s="16"/>
      <c r="BV524" s="17">
        <f>VLOOKUP(BU524,'DATABASE F&amp;B'!$C$3:$F$210,2,0)</f>
        <v>0</v>
      </c>
      <c r="BW524" s="18"/>
      <c r="BX524" s="19">
        <f>VLOOKUP(BU524,'DATABASE F&amp;B'!$C$3:$F$210,4,0)</f>
        <v>0</v>
      </c>
      <c r="BY524" s="19">
        <f t="shared" si="538"/>
        <v>0</v>
      </c>
      <c r="BZ524" s="16"/>
      <c r="CA524" s="17">
        <f>VLOOKUP(BZ524,'DATABASE F&amp;B'!$C$3:$F$210,2,0)</f>
        <v>0</v>
      </c>
      <c r="CB524" s="18"/>
      <c r="CC524" s="19">
        <f>VLOOKUP(BZ524,'DATABASE F&amp;B'!$C$3:$F$210,4,0)</f>
        <v>0</v>
      </c>
      <c r="CD524" s="19">
        <f t="shared" si="539"/>
        <v>0</v>
      </c>
    </row>
    <row r="525" spans="1:82" ht="13.5" x14ac:dyDescent="0.25">
      <c r="A525" s="32" t="str">
        <f t="shared" si="519"/>
        <v>--20</v>
      </c>
      <c r="B525" s="22">
        <f t="shared" ref="B525:C525" si="551">B524+1</f>
        <v>521</v>
      </c>
      <c r="C525" s="22">
        <f t="shared" si="551"/>
        <v>521</v>
      </c>
      <c r="D525" s="34"/>
      <c r="E525" s="35"/>
      <c r="F525" s="35"/>
      <c r="G525" s="52"/>
      <c r="H525" s="36" t="str">
        <f t="shared" si="544"/>
        <v>RJ--521</v>
      </c>
      <c r="I525" s="36" t="str">
        <f t="shared" si="521"/>
        <v>--20</v>
      </c>
      <c r="J525" s="37" t="e">
        <f>VLOOKUP(D525,Laporan!$C$4:$D$34,2,0)</f>
        <v>#N/A</v>
      </c>
      <c r="K525" s="48"/>
      <c r="L525" s="13"/>
      <c r="M525" s="19">
        <f>SUMIF('DATABASE Room'!$B$3:$B$7,L525,'DATABASE Room'!$D$3:$D$7)</f>
        <v>0</v>
      </c>
      <c r="N525" s="13"/>
      <c r="O525" s="21">
        <f t="shared" si="522"/>
        <v>0</v>
      </c>
      <c r="P525" s="38"/>
      <c r="Q525" s="19">
        <f t="shared" si="523"/>
        <v>0</v>
      </c>
      <c r="R525" s="21">
        <f t="shared" si="524"/>
        <v>0</v>
      </c>
      <c r="S525" s="19">
        <f t="shared" si="525"/>
        <v>0</v>
      </c>
      <c r="T525" s="19">
        <f t="shared" si="526"/>
        <v>0</v>
      </c>
      <c r="U525" s="21">
        <f t="shared" si="527"/>
        <v>0</v>
      </c>
      <c r="V525" s="39"/>
      <c r="W525" s="16"/>
      <c r="X525" s="17">
        <f>VLOOKUP(W525,'DATABASE F&amp;B'!$C$3:$F$216,2,0)</f>
        <v>0</v>
      </c>
      <c r="Y525" s="18"/>
      <c r="Z525" s="19">
        <f>VLOOKUP(W525,'DATABASE F&amp;B'!$C$3:$F$216,4,0)</f>
        <v>0</v>
      </c>
      <c r="AA525" s="19">
        <f t="shared" si="528"/>
        <v>0</v>
      </c>
      <c r="AB525" s="16"/>
      <c r="AC525" s="17">
        <f>VLOOKUP(AB525,'DATABASE F&amp;B'!$C$3:$F$216,2,0)</f>
        <v>0</v>
      </c>
      <c r="AD525" s="18"/>
      <c r="AE525" s="19">
        <f>VLOOKUP(AB525,'DATABASE F&amp;B'!$C$3:$F$216,4,0)</f>
        <v>0</v>
      </c>
      <c r="AF525" s="19">
        <f t="shared" si="529"/>
        <v>0</v>
      </c>
      <c r="AG525" s="16"/>
      <c r="AH525" s="17">
        <f>VLOOKUP(AG525,'DATABASE F&amp;B'!$C$3:$F$216,2,0)</f>
        <v>0</v>
      </c>
      <c r="AI525" s="18"/>
      <c r="AJ525" s="19">
        <f>VLOOKUP(AG525,'DATABASE F&amp;B'!$C$3:$F$216,4,0)</f>
        <v>0</v>
      </c>
      <c r="AK525" s="19">
        <f t="shared" si="530"/>
        <v>0</v>
      </c>
      <c r="AL525" s="16"/>
      <c r="AM525" s="17">
        <f>VLOOKUP(AL525,'DATABASE F&amp;B'!$C$3:$F$216,2,0)</f>
        <v>0</v>
      </c>
      <c r="AN525" s="18"/>
      <c r="AO525" s="19">
        <f>VLOOKUP(AL525,'DATABASE F&amp;B'!$C$3:$F$216,4,0)</f>
        <v>0</v>
      </c>
      <c r="AP525" s="19">
        <f t="shared" si="531"/>
        <v>0</v>
      </c>
      <c r="AQ525" s="16"/>
      <c r="AR525" s="17">
        <f>VLOOKUP(AQ525,'DATABASE F&amp;B'!$C$3:$F$216,2,0)</f>
        <v>0</v>
      </c>
      <c r="AS525" s="13"/>
      <c r="AT525" s="19">
        <f>VLOOKUP(AQ525,'DATABASE F&amp;B'!$C$3:$F$216,4,0)</f>
        <v>0</v>
      </c>
      <c r="AU525" s="19">
        <f t="shared" si="532"/>
        <v>0</v>
      </c>
      <c r="AV525" s="16"/>
      <c r="AW525" s="17">
        <f>VLOOKUP(AV525,'DATABASE F&amp;B'!$C$3:$F$216,2,0)</f>
        <v>0</v>
      </c>
      <c r="AX525" s="18"/>
      <c r="AY525" s="19">
        <f>VLOOKUP(AV525,'DATABASE F&amp;B'!$C$3:$F$216,4,0)</f>
        <v>0</v>
      </c>
      <c r="AZ525" s="19">
        <f t="shared" si="533"/>
        <v>0</v>
      </c>
      <c r="BA525" s="16"/>
      <c r="BB525" s="17">
        <f>VLOOKUP(BA525,'DATABASE F&amp;B'!$C$3:$F$216,2,0)</f>
        <v>0</v>
      </c>
      <c r="BC525" s="18"/>
      <c r="BD525" s="19">
        <f>VLOOKUP(BA525,'DATABASE F&amp;B'!$C$3:$F$216,4,0)</f>
        <v>0</v>
      </c>
      <c r="BE525" s="19">
        <f t="shared" si="534"/>
        <v>0</v>
      </c>
      <c r="BF525" s="16"/>
      <c r="BG525" s="17">
        <f>VLOOKUP(BF525,'DATABASE F&amp;B'!$C$3:$F$216,2,0)</f>
        <v>0</v>
      </c>
      <c r="BH525" s="18"/>
      <c r="BI525" s="19">
        <f>VLOOKUP(BF525,'DATABASE F&amp;B'!$C$3:$F$216,4,0)</f>
        <v>0</v>
      </c>
      <c r="BJ525" s="19">
        <f t="shared" si="535"/>
        <v>0</v>
      </c>
      <c r="BK525" s="16"/>
      <c r="BL525" s="17">
        <f>VLOOKUP(BK525,'DATABASE F&amp;B'!$C$3:$F$210,2,0)</f>
        <v>0</v>
      </c>
      <c r="BM525" s="18"/>
      <c r="BN525" s="19">
        <f>VLOOKUP(BK525,'DATABASE F&amp;B'!$C$3:$F$210,4,0)</f>
        <v>0</v>
      </c>
      <c r="BO525" s="19">
        <f t="shared" si="536"/>
        <v>0</v>
      </c>
      <c r="BP525" s="16"/>
      <c r="BQ525" s="17">
        <f>VLOOKUP(BP525,'DATABASE F&amp;B'!$C$3:$F$210,2,0)</f>
        <v>0</v>
      </c>
      <c r="BR525" s="18"/>
      <c r="BS525" s="19">
        <f>VLOOKUP(BP525,'DATABASE F&amp;B'!$C$3:$F$210,4,0)</f>
        <v>0</v>
      </c>
      <c r="BT525" s="19">
        <f t="shared" si="537"/>
        <v>0</v>
      </c>
      <c r="BU525" s="16"/>
      <c r="BV525" s="17">
        <f>VLOOKUP(BU525,'DATABASE F&amp;B'!$C$3:$F$210,2,0)</f>
        <v>0</v>
      </c>
      <c r="BW525" s="18"/>
      <c r="BX525" s="19">
        <f>VLOOKUP(BU525,'DATABASE F&amp;B'!$C$3:$F$210,4,0)</f>
        <v>0</v>
      </c>
      <c r="BY525" s="19">
        <f t="shared" si="538"/>
        <v>0</v>
      </c>
      <c r="BZ525" s="16"/>
      <c r="CA525" s="17">
        <f>VLOOKUP(BZ525,'DATABASE F&amp;B'!$C$3:$F$210,2,0)</f>
        <v>0</v>
      </c>
      <c r="CB525" s="18"/>
      <c r="CC525" s="19">
        <f>VLOOKUP(BZ525,'DATABASE F&amp;B'!$C$3:$F$210,4,0)</f>
        <v>0</v>
      </c>
      <c r="CD525" s="19">
        <f t="shared" si="539"/>
        <v>0</v>
      </c>
    </row>
    <row r="526" spans="1:82" ht="13.5" x14ac:dyDescent="0.25">
      <c r="A526" s="32" t="str">
        <f t="shared" si="519"/>
        <v>--20</v>
      </c>
      <c r="B526" s="22">
        <f t="shared" ref="B526:C526" si="552">B525+1</f>
        <v>522</v>
      </c>
      <c r="C526" s="22">
        <f t="shared" si="552"/>
        <v>522</v>
      </c>
      <c r="D526" s="34"/>
      <c r="E526" s="35"/>
      <c r="F526" s="35"/>
      <c r="G526" s="52"/>
      <c r="H526" s="36" t="str">
        <f t="shared" si="544"/>
        <v>RJ--522</v>
      </c>
      <c r="I526" s="36" t="str">
        <f t="shared" si="521"/>
        <v>--20</v>
      </c>
      <c r="J526" s="37" t="e">
        <f>VLOOKUP(D526,Laporan!$C$4:$D$34,2,0)</f>
        <v>#N/A</v>
      </c>
      <c r="K526" s="48"/>
      <c r="L526" s="13"/>
      <c r="M526" s="19">
        <f>SUMIF('DATABASE Room'!$B$3:$B$7,L526,'DATABASE Room'!$D$3:$D$7)</f>
        <v>0</v>
      </c>
      <c r="N526" s="13"/>
      <c r="O526" s="21">
        <f t="shared" si="522"/>
        <v>0</v>
      </c>
      <c r="P526" s="38"/>
      <c r="Q526" s="19">
        <f t="shared" si="523"/>
        <v>0</v>
      </c>
      <c r="R526" s="21">
        <f t="shared" si="524"/>
        <v>0</v>
      </c>
      <c r="S526" s="19">
        <f t="shared" si="525"/>
        <v>0</v>
      </c>
      <c r="T526" s="19">
        <f t="shared" si="526"/>
        <v>0</v>
      </c>
      <c r="U526" s="21">
        <f t="shared" si="527"/>
        <v>0</v>
      </c>
      <c r="V526" s="39"/>
      <c r="W526" s="16"/>
      <c r="X526" s="17">
        <f>VLOOKUP(W526,'DATABASE F&amp;B'!$C$3:$F$216,2,0)</f>
        <v>0</v>
      </c>
      <c r="Y526" s="18"/>
      <c r="Z526" s="19">
        <f>VLOOKUP(W526,'DATABASE F&amp;B'!$C$3:$F$216,4,0)</f>
        <v>0</v>
      </c>
      <c r="AA526" s="19">
        <f t="shared" si="528"/>
        <v>0</v>
      </c>
      <c r="AB526" s="16"/>
      <c r="AC526" s="17">
        <f>VLOOKUP(AB526,'DATABASE F&amp;B'!$C$3:$F$216,2,0)</f>
        <v>0</v>
      </c>
      <c r="AD526" s="18"/>
      <c r="AE526" s="19">
        <f>VLOOKUP(AB526,'DATABASE F&amp;B'!$C$3:$F$216,4,0)</f>
        <v>0</v>
      </c>
      <c r="AF526" s="19">
        <f t="shared" si="529"/>
        <v>0</v>
      </c>
      <c r="AG526" s="16"/>
      <c r="AH526" s="17">
        <f>VLOOKUP(AG526,'DATABASE F&amp;B'!$C$3:$F$216,2,0)</f>
        <v>0</v>
      </c>
      <c r="AI526" s="18"/>
      <c r="AJ526" s="19">
        <f>VLOOKUP(AG526,'DATABASE F&amp;B'!$C$3:$F$216,4,0)</f>
        <v>0</v>
      </c>
      <c r="AK526" s="19">
        <f t="shared" si="530"/>
        <v>0</v>
      </c>
      <c r="AL526" s="16"/>
      <c r="AM526" s="17">
        <f>VLOOKUP(AL526,'DATABASE F&amp;B'!$C$3:$F$216,2,0)</f>
        <v>0</v>
      </c>
      <c r="AN526" s="18"/>
      <c r="AO526" s="19">
        <f>VLOOKUP(AL526,'DATABASE F&amp;B'!$C$3:$F$216,4,0)</f>
        <v>0</v>
      </c>
      <c r="AP526" s="19">
        <f t="shared" si="531"/>
        <v>0</v>
      </c>
      <c r="AQ526" s="16"/>
      <c r="AR526" s="17">
        <f>VLOOKUP(AQ526,'DATABASE F&amp;B'!$C$3:$F$216,2,0)</f>
        <v>0</v>
      </c>
      <c r="AS526" s="13"/>
      <c r="AT526" s="19">
        <f>VLOOKUP(AQ526,'DATABASE F&amp;B'!$C$3:$F$216,4,0)</f>
        <v>0</v>
      </c>
      <c r="AU526" s="19">
        <f t="shared" si="532"/>
        <v>0</v>
      </c>
      <c r="AV526" s="16"/>
      <c r="AW526" s="17">
        <f>VLOOKUP(AV526,'DATABASE F&amp;B'!$C$3:$F$216,2,0)</f>
        <v>0</v>
      </c>
      <c r="AX526" s="18"/>
      <c r="AY526" s="19">
        <f>VLOOKUP(AV526,'DATABASE F&amp;B'!$C$3:$F$216,4,0)</f>
        <v>0</v>
      </c>
      <c r="AZ526" s="19">
        <f t="shared" si="533"/>
        <v>0</v>
      </c>
      <c r="BA526" s="16"/>
      <c r="BB526" s="17">
        <f>VLOOKUP(BA526,'DATABASE F&amp;B'!$C$3:$F$216,2,0)</f>
        <v>0</v>
      </c>
      <c r="BC526" s="18"/>
      <c r="BD526" s="19">
        <f>VLOOKUP(BA526,'DATABASE F&amp;B'!$C$3:$F$216,4,0)</f>
        <v>0</v>
      </c>
      <c r="BE526" s="19">
        <f t="shared" si="534"/>
        <v>0</v>
      </c>
      <c r="BF526" s="16"/>
      <c r="BG526" s="17">
        <f>VLOOKUP(BF526,'DATABASE F&amp;B'!$C$3:$F$216,2,0)</f>
        <v>0</v>
      </c>
      <c r="BH526" s="18"/>
      <c r="BI526" s="19">
        <f>VLOOKUP(BF526,'DATABASE F&amp;B'!$C$3:$F$216,4,0)</f>
        <v>0</v>
      </c>
      <c r="BJ526" s="19">
        <f t="shared" si="535"/>
        <v>0</v>
      </c>
      <c r="BK526" s="16"/>
      <c r="BL526" s="17">
        <f>VLOOKUP(BK526,'DATABASE F&amp;B'!$C$3:$F$210,2,0)</f>
        <v>0</v>
      </c>
      <c r="BM526" s="18"/>
      <c r="BN526" s="19">
        <f>VLOOKUP(BK526,'DATABASE F&amp;B'!$C$3:$F$210,4,0)</f>
        <v>0</v>
      </c>
      <c r="BO526" s="19">
        <f t="shared" si="536"/>
        <v>0</v>
      </c>
      <c r="BP526" s="16"/>
      <c r="BQ526" s="17">
        <f>VLOOKUP(BP526,'DATABASE F&amp;B'!$C$3:$F$210,2,0)</f>
        <v>0</v>
      </c>
      <c r="BR526" s="18"/>
      <c r="BS526" s="19">
        <f>VLOOKUP(BP526,'DATABASE F&amp;B'!$C$3:$F$210,4,0)</f>
        <v>0</v>
      </c>
      <c r="BT526" s="19">
        <f t="shared" si="537"/>
        <v>0</v>
      </c>
      <c r="BU526" s="16"/>
      <c r="BV526" s="17">
        <f>VLOOKUP(BU526,'DATABASE F&amp;B'!$C$3:$F$210,2,0)</f>
        <v>0</v>
      </c>
      <c r="BW526" s="18"/>
      <c r="BX526" s="19">
        <f>VLOOKUP(BU526,'DATABASE F&amp;B'!$C$3:$F$210,4,0)</f>
        <v>0</v>
      </c>
      <c r="BY526" s="19">
        <f t="shared" si="538"/>
        <v>0</v>
      </c>
      <c r="BZ526" s="16"/>
      <c r="CA526" s="17">
        <f>VLOOKUP(BZ526,'DATABASE F&amp;B'!$C$3:$F$210,2,0)</f>
        <v>0</v>
      </c>
      <c r="CB526" s="18"/>
      <c r="CC526" s="19">
        <f>VLOOKUP(BZ526,'DATABASE F&amp;B'!$C$3:$F$210,4,0)</f>
        <v>0</v>
      </c>
      <c r="CD526" s="19">
        <f t="shared" si="539"/>
        <v>0</v>
      </c>
    </row>
    <row r="527" spans="1:82" ht="13.5" x14ac:dyDescent="0.25">
      <c r="A527" s="32" t="str">
        <f t="shared" si="519"/>
        <v>--20</v>
      </c>
      <c r="B527" s="22">
        <f t="shared" ref="B527:C527" si="553">B526+1</f>
        <v>523</v>
      </c>
      <c r="C527" s="22">
        <f t="shared" si="553"/>
        <v>523</v>
      </c>
      <c r="D527" s="34"/>
      <c r="E527" s="35"/>
      <c r="F527" s="35"/>
      <c r="G527" s="52"/>
      <c r="H527" s="36" t="str">
        <f t="shared" si="544"/>
        <v>RJ--523</v>
      </c>
      <c r="I527" s="36" t="str">
        <f t="shared" si="521"/>
        <v>--20</v>
      </c>
      <c r="J527" s="37" t="e">
        <f>VLOOKUP(D527,Laporan!$C$4:$D$34,2,0)</f>
        <v>#N/A</v>
      </c>
      <c r="K527" s="48"/>
      <c r="L527" s="13"/>
      <c r="M527" s="19">
        <f>SUMIF('DATABASE Room'!$B$3:$B$7,L527,'DATABASE Room'!$D$3:$D$7)</f>
        <v>0</v>
      </c>
      <c r="N527" s="13"/>
      <c r="O527" s="21">
        <f t="shared" si="522"/>
        <v>0</v>
      </c>
      <c r="P527" s="38"/>
      <c r="Q527" s="19">
        <f t="shared" si="523"/>
        <v>0</v>
      </c>
      <c r="R527" s="21">
        <f t="shared" si="524"/>
        <v>0</v>
      </c>
      <c r="S527" s="19">
        <f t="shared" si="525"/>
        <v>0</v>
      </c>
      <c r="T527" s="19">
        <f t="shared" si="526"/>
        <v>0</v>
      </c>
      <c r="U527" s="21">
        <f t="shared" si="527"/>
        <v>0</v>
      </c>
      <c r="V527" s="39"/>
      <c r="W527" s="16"/>
      <c r="X527" s="17">
        <f>VLOOKUP(W527,'DATABASE F&amp;B'!$C$3:$F$216,2,0)</f>
        <v>0</v>
      </c>
      <c r="Y527" s="18"/>
      <c r="Z527" s="19">
        <f>VLOOKUP(W527,'DATABASE F&amp;B'!$C$3:$F$216,4,0)</f>
        <v>0</v>
      </c>
      <c r="AA527" s="19">
        <f t="shared" si="528"/>
        <v>0</v>
      </c>
      <c r="AB527" s="16"/>
      <c r="AC527" s="17">
        <f>VLOOKUP(AB527,'DATABASE F&amp;B'!$C$3:$F$216,2,0)</f>
        <v>0</v>
      </c>
      <c r="AD527" s="18"/>
      <c r="AE527" s="19">
        <f>VLOOKUP(AB527,'DATABASE F&amp;B'!$C$3:$F$216,4,0)</f>
        <v>0</v>
      </c>
      <c r="AF527" s="19">
        <f t="shared" si="529"/>
        <v>0</v>
      </c>
      <c r="AG527" s="16"/>
      <c r="AH527" s="17">
        <f>VLOOKUP(AG527,'DATABASE F&amp;B'!$C$3:$F$216,2,0)</f>
        <v>0</v>
      </c>
      <c r="AI527" s="18"/>
      <c r="AJ527" s="19">
        <f>VLOOKUP(AG527,'DATABASE F&amp;B'!$C$3:$F$216,4,0)</f>
        <v>0</v>
      </c>
      <c r="AK527" s="19">
        <f t="shared" si="530"/>
        <v>0</v>
      </c>
      <c r="AL527" s="16"/>
      <c r="AM527" s="17">
        <f>VLOOKUP(AL527,'DATABASE F&amp;B'!$C$3:$F$216,2,0)</f>
        <v>0</v>
      </c>
      <c r="AN527" s="18"/>
      <c r="AO527" s="19">
        <f>VLOOKUP(AL527,'DATABASE F&amp;B'!$C$3:$F$216,4,0)</f>
        <v>0</v>
      </c>
      <c r="AP527" s="19">
        <f t="shared" si="531"/>
        <v>0</v>
      </c>
      <c r="AQ527" s="16"/>
      <c r="AR527" s="17">
        <f>VLOOKUP(AQ527,'DATABASE F&amp;B'!$C$3:$F$216,2,0)</f>
        <v>0</v>
      </c>
      <c r="AS527" s="13"/>
      <c r="AT527" s="19">
        <f>VLOOKUP(AQ527,'DATABASE F&amp;B'!$C$3:$F$216,4,0)</f>
        <v>0</v>
      </c>
      <c r="AU527" s="19">
        <f t="shared" si="532"/>
        <v>0</v>
      </c>
      <c r="AV527" s="16"/>
      <c r="AW527" s="17">
        <f>VLOOKUP(AV527,'DATABASE F&amp;B'!$C$3:$F$216,2,0)</f>
        <v>0</v>
      </c>
      <c r="AX527" s="18"/>
      <c r="AY527" s="19">
        <f>VLOOKUP(AV527,'DATABASE F&amp;B'!$C$3:$F$216,4,0)</f>
        <v>0</v>
      </c>
      <c r="AZ527" s="19">
        <f t="shared" si="533"/>
        <v>0</v>
      </c>
      <c r="BA527" s="16"/>
      <c r="BB527" s="17">
        <f>VLOOKUP(BA527,'DATABASE F&amp;B'!$C$3:$F$216,2,0)</f>
        <v>0</v>
      </c>
      <c r="BC527" s="18"/>
      <c r="BD527" s="19">
        <f>VLOOKUP(BA527,'DATABASE F&amp;B'!$C$3:$F$216,4,0)</f>
        <v>0</v>
      </c>
      <c r="BE527" s="19">
        <f t="shared" si="534"/>
        <v>0</v>
      </c>
      <c r="BF527" s="16"/>
      <c r="BG527" s="17">
        <f>VLOOKUP(BF527,'DATABASE F&amp;B'!$C$3:$F$216,2,0)</f>
        <v>0</v>
      </c>
      <c r="BH527" s="18"/>
      <c r="BI527" s="19">
        <f>VLOOKUP(BF527,'DATABASE F&amp;B'!$C$3:$F$216,4,0)</f>
        <v>0</v>
      </c>
      <c r="BJ527" s="19">
        <f t="shared" si="535"/>
        <v>0</v>
      </c>
      <c r="BK527" s="16"/>
      <c r="BL527" s="17">
        <f>VLOOKUP(BK527,'DATABASE F&amp;B'!$C$3:$F$210,2,0)</f>
        <v>0</v>
      </c>
      <c r="BM527" s="18"/>
      <c r="BN527" s="19">
        <f>VLOOKUP(BK527,'DATABASE F&amp;B'!$C$3:$F$210,4,0)</f>
        <v>0</v>
      </c>
      <c r="BO527" s="19">
        <f t="shared" si="536"/>
        <v>0</v>
      </c>
      <c r="BP527" s="16"/>
      <c r="BQ527" s="17">
        <f>VLOOKUP(BP527,'DATABASE F&amp;B'!$C$3:$F$210,2,0)</f>
        <v>0</v>
      </c>
      <c r="BR527" s="18"/>
      <c r="BS527" s="19">
        <f>VLOOKUP(BP527,'DATABASE F&amp;B'!$C$3:$F$210,4,0)</f>
        <v>0</v>
      </c>
      <c r="BT527" s="19">
        <f t="shared" si="537"/>
        <v>0</v>
      </c>
      <c r="BU527" s="16"/>
      <c r="BV527" s="17">
        <f>VLOOKUP(BU527,'DATABASE F&amp;B'!$C$3:$F$210,2,0)</f>
        <v>0</v>
      </c>
      <c r="BW527" s="18"/>
      <c r="BX527" s="19">
        <f>VLOOKUP(BU527,'DATABASE F&amp;B'!$C$3:$F$210,4,0)</f>
        <v>0</v>
      </c>
      <c r="BY527" s="19">
        <f t="shared" si="538"/>
        <v>0</v>
      </c>
      <c r="BZ527" s="16"/>
      <c r="CA527" s="17">
        <f>VLOOKUP(BZ527,'DATABASE F&amp;B'!$C$3:$F$210,2,0)</f>
        <v>0</v>
      </c>
      <c r="CB527" s="18"/>
      <c r="CC527" s="19">
        <f>VLOOKUP(BZ527,'DATABASE F&amp;B'!$C$3:$F$210,4,0)</f>
        <v>0</v>
      </c>
      <c r="CD527" s="19">
        <f t="shared" si="539"/>
        <v>0</v>
      </c>
    </row>
    <row r="528" spans="1:82" ht="13.5" x14ac:dyDescent="0.25">
      <c r="A528" s="32" t="str">
        <f t="shared" si="519"/>
        <v>--20</v>
      </c>
      <c r="B528" s="22">
        <f t="shared" ref="B528:C528" si="554">B527+1</f>
        <v>524</v>
      </c>
      <c r="C528" s="22">
        <f t="shared" si="554"/>
        <v>524</v>
      </c>
      <c r="D528" s="34"/>
      <c r="E528" s="35"/>
      <c r="F528" s="35"/>
      <c r="G528" s="52"/>
      <c r="H528" s="36" t="str">
        <f t="shared" si="544"/>
        <v>RJ--524</v>
      </c>
      <c r="I528" s="36" t="str">
        <f t="shared" si="521"/>
        <v>--20</v>
      </c>
      <c r="J528" s="37" t="e">
        <f>VLOOKUP(D528,Laporan!$C$4:$D$34,2,0)</f>
        <v>#N/A</v>
      </c>
      <c r="K528" s="48"/>
      <c r="L528" s="13"/>
      <c r="M528" s="19">
        <f>SUMIF('DATABASE Room'!$B$3:$B$7,L528,'DATABASE Room'!$D$3:$D$7)</f>
        <v>0</v>
      </c>
      <c r="N528" s="13"/>
      <c r="O528" s="21">
        <f t="shared" si="522"/>
        <v>0</v>
      </c>
      <c r="P528" s="38"/>
      <c r="Q528" s="19">
        <f t="shared" si="523"/>
        <v>0</v>
      </c>
      <c r="R528" s="21">
        <f t="shared" si="524"/>
        <v>0</v>
      </c>
      <c r="S528" s="19">
        <f t="shared" si="525"/>
        <v>0</v>
      </c>
      <c r="T528" s="19">
        <f t="shared" si="526"/>
        <v>0</v>
      </c>
      <c r="U528" s="21">
        <f t="shared" si="527"/>
        <v>0</v>
      </c>
      <c r="V528" s="39"/>
      <c r="W528" s="16"/>
      <c r="X528" s="17">
        <f>VLOOKUP(W528,'DATABASE F&amp;B'!$C$3:$F$216,2,0)</f>
        <v>0</v>
      </c>
      <c r="Y528" s="18"/>
      <c r="Z528" s="19">
        <f>VLOOKUP(W528,'DATABASE F&amp;B'!$C$3:$F$216,4,0)</f>
        <v>0</v>
      </c>
      <c r="AA528" s="19">
        <f t="shared" si="528"/>
        <v>0</v>
      </c>
      <c r="AB528" s="16"/>
      <c r="AC528" s="17">
        <f>VLOOKUP(AB528,'DATABASE F&amp;B'!$C$3:$F$216,2,0)</f>
        <v>0</v>
      </c>
      <c r="AD528" s="18"/>
      <c r="AE528" s="19">
        <f>VLOOKUP(AB528,'DATABASE F&amp;B'!$C$3:$F$216,4,0)</f>
        <v>0</v>
      </c>
      <c r="AF528" s="19">
        <f t="shared" si="529"/>
        <v>0</v>
      </c>
      <c r="AG528" s="16"/>
      <c r="AH528" s="17">
        <f>VLOOKUP(AG528,'DATABASE F&amp;B'!$C$3:$F$216,2,0)</f>
        <v>0</v>
      </c>
      <c r="AI528" s="18"/>
      <c r="AJ528" s="19">
        <f>VLOOKUP(AG528,'DATABASE F&amp;B'!$C$3:$F$216,4,0)</f>
        <v>0</v>
      </c>
      <c r="AK528" s="19">
        <f t="shared" si="530"/>
        <v>0</v>
      </c>
      <c r="AL528" s="16"/>
      <c r="AM528" s="17">
        <f>VLOOKUP(AL528,'DATABASE F&amp;B'!$C$3:$F$216,2,0)</f>
        <v>0</v>
      </c>
      <c r="AN528" s="18"/>
      <c r="AO528" s="19">
        <f>VLOOKUP(AL528,'DATABASE F&amp;B'!$C$3:$F$216,4,0)</f>
        <v>0</v>
      </c>
      <c r="AP528" s="19">
        <f t="shared" si="531"/>
        <v>0</v>
      </c>
      <c r="AQ528" s="16"/>
      <c r="AR528" s="17">
        <f>VLOOKUP(AQ528,'DATABASE F&amp;B'!$C$3:$F$216,2,0)</f>
        <v>0</v>
      </c>
      <c r="AS528" s="13"/>
      <c r="AT528" s="19">
        <f>VLOOKUP(AQ528,'DATABASE F&amp;B'!$C$3:$F$216,4,0)</f>
        <v>0</v>
      </c>
      <c r="AU528" s="19">
        <f t="shared" si="532"/>
        <v>0</v>
      </c>
      <c r="AV528" s="16"/>
      <c r="AW528" s="17">
        <f>VLOOKUP(AV528,'DATABASE F&amp;B'!$C$3:$F$216,2,0)</f>
        <v>0</v>
      </c>
      <c r="AX528" s="18"/>
      <c r="AY528" s="19">
        <f>VLOOKUP(AV528,'DATABASE F&amp;B'!$C$3:$F$216,4,0)</f>
        <v>0</v>
      </c>
      <c r="AZ528" s="19">
        <f t="shared" si="533"/>
        <v>0</v>
      </c>
      <c r="BA528" s="16"/>
      <c r="BB528" s="17">
        <f>VLOOKUP(BA528,'DATABASE F&amp;B'!$C$3:$F$216,2,0)</f>
        <v>0</v>
      </c>
      <c r="BC528" s="18"/>
      <c r="BD528" s="19">
        <f>VLOOKUP(BA528,'DATABASE F&amp;B'!$C$3:$F$216,4,0)</f>
        <v>0</v>
      </c>
      <c r="BE528" s="19">
        <f t="shared" si="534"/>
        <v>0</v>
      </c>
      <c r="BF528" s="16"/>
      <c r="BG528" s="17">
        <f>VLOOKUP(BF528,'DATABASE F&amp;B'!$C$3:$F$216,2,0)</f>
        <v>0</v>
      </c>
      <c r="BH528" s="18"/>
      <c r="BI528" s="19">
        <f>VLOOKUP(BF528,'DATABASE F&amp;B'!$C$3:$F$216,4,0)</f>
        <v>0</v>
      </c>
      <c r="BJ528" s="19">
        <f t="shared" si="535"/>
        <v>0</v>
      </c>
      <c r="BK528" s="16"/>
      <c r="BL528" s="17">
        <f>VLOOKUP(BK528,'DATABASE F&amp;B'!$C$3:$F$210,2,0)</f>
        <v>0</v>
      </c>
      <c r="BM528" s="18"/>
      <c r="BN528" s="19">
        <f>VLOOKUP(BK528,'DATABASE F&amp;B'!$C$3:$F$210,4,0)</f>
        <v>0</v>
      </c>
      <c r="BO528" s="19">
        <f t="shared" si="536"/>
        <v>0</v>
      </c>
      <c r="BP528" s="16"/>
      <c r="BQ528" s="17">
        <f>VLOOKUP(BP528,'DATABASE F&amp;B'!$C$3:$F$210,2,0)</f>
        <v>0</v>
      </c>
      <c r="BR528" s="18"/>
      <c r="BS528" s="19">
        <f>VLOOKUP(BP528,'DATABASE F&amp;B'!$C$3:$F$210,4,0)</f>
        <v>0</v>
      </c>
      <c r="BT528" s="19">
        <f t="shared" si="537"/>
        <v>0</v>
      </c>
      <c r="BU528" s="16"/>
      <c r="BV528" s="17">
        <f>VLOOKUP(BU528,'DATABASE F&amp;B'!$C$3:$F$210,2,0)</f>
        <v>0</v>
      </c>
      <c r="BW528" s="18"/>
      <c r="BX528" s="19">
        <f>VLOOKUP(BU528,'DATABASE F&amp;B'!$C$3:$F$210,4,0)</f>
        <v>0</v>
      </c>
      <c r="BY528" s="19">
        <f t="shared" si="538"/>
        <v>0</v>
      </c>
      <c r="BZ528" s="16"/>
      <c r="CA528" s="17">
        <f>VLOOKUP(BZ528,'DATABASE F&amp;B'!$C$3:$F$210,2,0)</f>
        <v>0</v>
      </c>
      <c r="CB528" s="18"/>
      <c r="CC528" s="19">
        <f>VLOOKUP(BZ528,'DATABASE F&amp;B'!$C$3:$F$210,4,0)</f>
        <v>0</v>
      </c>
      <c r="CD528" s="19">
        <f t="shared" si="539"/>
        <v>0</v>
      </c>
    </row>
    <row r="529" spans="1:82" ht="13.5" x14ac:dyDescent="0.25">
      <c r="A529" s="32" t="str">
        <f t="shared" si="519"/>
        <v>--20</v>
      </c>
      <c r="B529" s="22">
        <f t="shared" ref="B529:C529" si="555">B528+1</f>
        <v>525</v>
      </c>
      <c r="C529" s="22">
        <f t="shared" si="555"/>
        <v>525</v>
      </c>
      <c r="D529" s="34"/>
      <c r="E529" s="35"/>
      <c r="F529" s="35"/>
      <c r="G529" s="52"/>
      <c r="H529" s="36" t="str">
        <f t="shared" si="544"/>
        <v>RJ--525</v>
      </c>
      <c r="I529" s="36" t="str">
        <f t="shared" si="521"/>
        <v>--20</v>
      </c>
      <c r="J529" s="37" t="e">
        <f>VLOOKUP(D529,Laporan!$C$4:$D$34,2,0)</f>
        <v>#N/A</v>
      </c>
      <c r="K529" s="48"/>
      <c r="L529" s="13"/>
      <c r="M529" s="19">
        <f>SUMIF('DATABASE Room'!$B$3:$B$7,L529,'DATABASE Room'!$D$3:$D$7)</f>
        <v>0</v>
      </c>
      <c r="N529" s="13"/>
      <c r="O529" s="21">
        <f t="shared" si="522"/>
        <v>0</v>
      </c>
      <c r="P529" s="38"/>
      <c r="Q529" s="19">
        <f t="shared" si="523"/>
        <v>0</v>
      </c>
      <c r="R529" s="21">
        <f t="shared" si="524"/>
        <v>0</v>
      </c>
      <c r="S529" s="19">
        <f t="shared" si="525"/>
        <v>0</v>
      </c>
      <c r="T529" s="19">
        <f t="shared" si="526"/>
        <v>0</v>
      </c>
      <c r="U529" s="21">
        <f t="shared" si="527"/>
        <v>0</v>
      </c>
      <c r="V529" s="39"/>
      <c r="W529" s="16"/>
      <c r="X529" s="17">
        <f>VLOOKUP(W529,'DATABASE F&amp;B'!$C$3:$F$216,2,0)</f>
        <v>0</v>
      </c>
      <c r="Y529" s="18"/>
      <c r="Z529" s="19">
        <f>VLOOKUP(W529,'DATABASE F&amp;B'!$C$3:$F$216,4,0)</f>
        <v>0</v>
      </c>
      <c r="AA529" s="19">
        <f t="shared" si="528"/>
        <v>0</v>
      </c>
      <c r="AB529" s="16"/>
      <c r="AC529" s="17">
        <f>VLOOKUP(AB529,'DATABASE F&amp;B'!$C$3:$F$216,2,0)</f>
        <v>0</v>
      </c>
      <c r="AD529" s="18"/>
      <c r="AE529" s="19">
        <f>VLOOKUP(AB529,'DATABASE F&amp;B'!$C$3:$F$216,4,0)</f>
        <v>0</v>
      </c>
      <c r="AF529" s="19">
        <f t="shared" si="529"/>
        <v>0</v>
      </c>
      <c r="AG529" s="16"/>
      <c r="AH529" s="17">
        <f>VLOOKUP(AG529,'DATABASE F&amp;B'!$C$3:$F$216,2,0)</f>
        <v>0</v>
      </c>
      <c r="AI529" s="18"/>
      <c r="AJ529" s="19">
        <f>VLOOKUP(AG529,'DATABASE F&amp;B'!$C$3:$F$216,4,0)</f>
        <v>0</v>
      </c>
      <c r="AK529" s="19">
        <f t="shared" si="530"/>
        <v>0</v>
      </c>
      <c r="AL529" s="16"/>
      <c r="AM529" s="17">
        <f>VLOOKUP(AL529,'DATABASE F&amp;B'!$C$3:$F$216,2,0)</f>
        <v>0</v>
      </c>
      <c r="AN529" s="18"/>
      <c r="AO529" s="19">
        <f>VLOOKUP(AL529,'DATABASE F&amp;B'!$C$3:$F$216,4,0)</f>
        <v>0</v>
      </c>
      <c r="AP529" s="19">
        <f t="shared" si="531"/>
        <v>0</v>
      </c>
      <c r="AQ529" s="16"/>
      <c r="AR529" s="17">
        <f>VLOOKUP(AQ529,'DATABASE F&amp;B'!$C$3:$F$216,2,0)</f>
        <v>0</v>
      </c>
      <c r="AS529" s="13"/>
      <c r="AT529" s="19">
        <f>VLOOKUP(AQ529,'DATABASE F&amp;B'!$C$3:$F$216,4,0)</f>
        <v>0</v>
      </c>
      <c r="AU529" s="19">
        <f t="shared" si="532"/>
        <v>0</v>
      </c>
      <c r="AV529" s="16"/>
      <c r="AW529" s="17">
        <f>VLOOKUP(AV529,'DATABASE F&amp;B'!$C$3:$F$216,2,0)</f>
        <v>0</v>
      </c>
      <c r="AX529" s="18"/>
      <c r="AY529" s="19">
        <f>VLOOKUP(AV529,'DATABASE F&amp;B'!$C$3:$F$216,4,0)</f>
        <v>0</v>
      </c>
      <c r="AZ529" s="19">
        <f t="shared" si="533"/>
        <v>0</v>
      </c>
      <c r="BA529" s="16"/>
      <c r="BB529" s="17">
        <f>VLOOKUP(BA529,'DATABASE F&amp;B'!$C$3:$F$216,2,0)</f>
        <v>0</v>
      </c>
      <c r="BC529" s="18"/>
      <c r="BD529" s="19">
        <f>VLOOKUP(BA529,'DATABASE F&amp;B'!$C$3:$F$216,4,0)</f>
        <v>0</v>
      </c>
      <c r="BE529" s="19">
        <f t="shared" si="534"/>
        <v>0</v>
      </c>
      <c r="BF529" s="16"/>
      <c r="BG529" s="17">
        <f>VLOOKUP(BF529,'DATABASE F&amp;B'!$C$3:$F$216,2,0)</f>
        <v>0</v>
      </c>
      <c r="BH529" s="18"/>
      <c r="BI529" s="19">
        <f>VLOOKUP(BF529,'DATABASE F&amp;B'!$C$3:$F$216,4,0)</f>
        <v>0</v>
      </c>
      <c r="BJ529" s="19">
        <f t="shared" si="535"/>
        <v>0</v>
      </c>
      <c r="BK529" s="16"/>
      <c r="BL529" s="17">
        <f>VLOOKUP(BK529,'DATABASE F&amp;B'!$C$3:$F$210,2,0)</f>
        <v>0</v>
      </c>
      <c r="BM529" s="18"/>
      <c r="BN529" s="19">
        <f>VLOOKUP(BK529,'DATABASE F&amp;B'!$C$3:$F$210,4,0)</f>
        <v>0</v>
      </c>
      <c r="BO529" s="19">
        <f t="shared" si="536"/>
        <v>0</v>
      </c>
      <c r="BP529" s="16"/>
      <c r="BQ529" s="17">
        <f>VLOOKUP(BP529,'DATABASE F&amp;B'!$C$3:$F$210,2,0)</f>
        <v>0</v>
      </c>
      <c r="BR529" s="18"/>
      <c r="BS529" s="19">
        <f>VLOOKUP(BP529,'DATABASE F&amp;B'!$C$3:$F$210,4,0)</f>
        <v>0</v>
      </c>
      <c r="BT529" s="19">
        <f t="shared" si="537"/>
        <v>0</v>
      </c>
      <c r="BU529" s="16"/>
      <c r="BV529" s="17">
        <f>VLOOKUP(BU529,'DATABASE F&amp;B'!$C$3:$F$210,2,0)</f>
        <v>0</v>
      </c>
      <c r="BW529" s="18"/>
      <c r="BX529" s="19">
        <f>VLOOKUP(BU529,'DATABASE F&amp;B'!$C$3:$F$210,4,0)</f>
        <v>0</v>
      </c>
      <c r="BY529" s="19">
        <f t="shared" si="538"/>
        <v>0</v>
      </c>
      <c r="BZ529" s="16"/>
      <c r="CA529" s="17">
        <f>VLOOKUP(BZ529,'DATABASE F&amp;B'!$C$3:$F$210,2,0)</f>
        <v>0</v>
      </c>
      <c r="CB529" s="18"/>
      <c r="CC529" s="19">
        <f>VLOOKUP(BZ529,'DATABASE F&amp;B'!$C$3:$F$210,4,0)</f>
        <v>0</v>
      </c>
      <c r="CD529" s="19">
        <f t="shared" si="539"/>
        <v>0</v>
      </c>
    </row>
    <row r="530" spans="1:82" ht="13.5" x14ac:dyDescent="0.25">
      <c r="A530" s="32" t="str">
        <f t="shared" si="519"/>
        <v>--20</v>
      </c>
      <c r="B530" s="22">
        <f t="shared" ref="B530:C530" si="556">B529+1</f>
        <v>526</v>
      </c>
      <c r="C530" s="22">
        <f t="shared" si="556"/>
        <v>526</v>
      </c>
      <c r="D530" s="34"/>
      <c r="E530" s="35"/>
      <c r="F530" s="35"/>
      <c r="G530" s="52"/>
      <c r="H530" s="36" t="str">
        <f t="shared" si="544"/>
        <v>RJ--526</v>
      </c>
      <c r="I530" s="36" t="str">
        <f t="shared" si="521"/>
        <v>--20</v>
      </c>
      <c r="J530" s="37" t="e">
        <f>VLOOKUP(D530,Laporan!$C$4:$D$34,2,0)</f>
        <v>#N/A</v>
      </c>
      <c r="K530" s="48"/>
      <c r="L530" s="13"/>
      <c r="M530" s="19">
        <f>SUMIF('DATABASE Room'!$B$3:$B$7,L530,'DATABASE Room'!$D$3:$D$7)</f>
        <v>0</v>
      </c>
      <c r="N530" s="13"/>
      <c r="O530" s="21">
        <f t="shared" si="522"/>
        <v>0</v>
      </c>
      <c r="P530" s="38"/>
      <c r="Q530" s="19">
        <f t="shared" si="523"/>
        <v>0</v>
      </c>
      <c r="R530" s="21">
        <f t="shared" si="524"/>
        <v>0</v>
      </c>
      <c r="S530" s="19">
        <f t="shared" si="525"/>
        <v>0</v>
      </c>
      <c r="T530" s="19">
        <f t="shared" si="526"/>
        <v>0</v>
      </c>
      <c r="U530" s="21">
        <f t="shared" si="527"/>
        <v>0</v>
      </c>
      <c r="V530" s="39"/>
      <c r="W530" s="16"/>
      <c r="X530" s="17">
        <f>VLOOKUP(W530,'DATABASE F&amp;B'!$C$3:$F$216,2,0)</f>
        <v>0</v>
      </c>
      <c r="Y530" s="18"/>
      <c r="Z530" s="19">
        <f>VLOOKUP(W530,'DATABASE F&amp;B'!$C$3:$F$216,4,0)</f>
        <v>0</v>
      </c>
      <c r="AA530" s="19">
        <f t="shared" si="528"/>
        <v>0</v>
      </c>
      <c r="AB530" s="16"/>
      <c r="AC530" s="17">
        <f>VLOOKUP(AB530,'DATABASE F&amp;B'!$C$3:$F$216,2,0)</f>
        <v>0</v>
      </c>
      <c r="AD530" s="18"/>
      <c r="AE530" s="19">
        <f>VLOOKUP(AB530,'DATABASE F&amp;B'!$C$3:$F$216,4,0)</f>
        <v>0</v>
      </c>
      <c r="AF530" s="19">
        <f t="shared" si="529"/>
        <v>0</v>
      </c>
      <c r="AG530" s="16"/>
      <c r="AH530" s="17">
        <f>VLOOKUP(AG530,'DATABASE F&amp;B'!$C$3:$F$216,2,0)</f>
        <v>0</v>
      </c>
      <c r="AI530" s="18"/>
      <c r="AJ530" s="19">
        <f>VLOOKUP(AG530,'DATABASE F&amp;B'!$C$3:$F$216,4,0)</f>
        <v>0</v>
      </c>
      <c r="AK530" s="19">
        <f t="shared" si="530"/>
        <v>0</v>
      </c>
      <c r="AL530" s="16"/>
      <c r="AM530" s="17">
        <f>VLOOKUP(AL530,'DATABASE F&amp;B'!$C$3:$F$216,2,0)</f>
        <v>0</v>
      </c>
      <c r="AN530" s="18"/>
      <c r="AO530" s="19">
        <f>VLOOKUP(AL530,'DATABASE F&amp;B'!$C$3:$F$216,4,0)</f>
        <v>0</v>
      </c>
      <c r="AP530" s="19">
        <f t="shared" si="531"/>
        <v>0</v>
      </c>
      <c r="AQ530" s="16"/>
      <c r="AR530" s="17">
        <f>VLOOKUP(AQ530,'DATABASE F&amp;B'!$C$3:$F$216,2,0)</f>
        <v>0</v>
      </c>
      <c r="AS530" s="13"/>
      <c r="AT530" s="19">
        <f>VLOOKUP(AQ530,'DATABASE F&amp;B'!$C$3:$F$216,4,0)</f>
        <v>0</v>
      </c>
      <c r="AU530" s="19">
        <f t="shared" si="532"/>
        <v>0</v>
      </c>
      <c r="AV530" s="16"/>
      <c r="AW530" s="17">
        <f>VLOOKUP(AV530,'DATABASE F&amp;B'!$C$3:$F$216,2,0)</f>
        <v>0</v>
      </c>
      <c r="AX530" s="18"/>
      <c r="AY530" s="19">
        <f>VLOOKUP(AV530,'DATABASE F&amp;B'!$C$3:$F$216,4,0)</f>
        <v>0</v>
      </c>
      <c r="AZ530" s="19">
        <f t="shared" si="533"/>
        <v>0</v>
      </c>
      <c r="BA530" s="16"/>
      <c r="BB530" s="17">
        <f>VLOOKUP(BA530,'DATABASE F&amp;B'!$C$3:$F$216,2,0)</f>
        <v>0</v>
      </c>
      <c r="BC530" s="18"/>
      <c r="BD530" s="19">
        <f>VLOOKUP(BA530,'DATABASE F&amp;B'!$C$3:$F$216,4,0)</f>
        <v>0</v>
      </c>
      <c r="BE530" s="19">
        <f t="shared" si="534"/>
        <v>0</v>
      </c>
      <c r="BF530" s="16"/>
      <c r="BG530" s="17">
        <f>VLOOKUP(BF530,'DATABASE F&amp;B'!$C$3:$F$216,2,0)</f>
        <v>0</v>
      </c>
      <c r="BH530" s="18"/>
      <c r="BI530" s="19">
        <f>VLOOKUP(BF530,'DATABASE F&amp;B'!$C$3:$F$216,4,0)</f>
        <v>0</v>
      </c>
      <c r="BJ530" s="19">
        <f t="shared" si="535"/>
        <v>0</v>
      </c>
      <c r="BK530" s="16"/>
      <c r="BL530" s="17">
        <f>VLOOKUP(BK530,'DATABASE F&amp;B'!$C$3:$F$210,2,0)</f>
        <v>0</v>
      </c>
      <c r="BM530" s="18"/>
      <c r="BN530" s="19">
        <f>VLOOKUP(BK530,'DATABASE F&amp;B'!$C$3:$F$210,4,0)</f>
        <v>0</v>
      </c>
      <c r="BO530" s="19">
        <f t="shared" si="536"/>
        <v>0</v>
      </c>
      <c r="BP530" s="16"/>
      <c r="BQ530" s="17">
        <f>VLOOKUP(BP530,'DATABASE F&amp;B'!$C$3:$F$210,2,0)</f>
        <v>0</v>
      </c>
      <c r="BR530" s="18"/>
      <c r="BS530" s="19">
        <f>VLOOKUP(BP530,'DATABASE F&amp;B'!$C$3:$F$210,4,0)</f>
        <v>0</v>
      </c>
      <c r="BT530" s="19">
        <f t="shared" si="537"/>
        <v>0</v>
      </c>
      <c r="BU530" s="16"/>
      <c r="BV530" s="17">
        <f>VLOOKUP(BU530,'DATABASE F&amp;B'!$C$3:$F$210,2,0)</f>
        <v>0</v>
      </c>
      <c r="BW530" s="18"/>
      <c r="BX530" s="19">
        <f>VLOOKUP(BU530,'DATABASE F&amp;B'!$C$3:$F$210,4,0)</f>
        <v>0</v>
      </c>
      <c r="BY530" s="19">
        <f t="shared" si="538"/>
        <v>0</v>
      </c>
      <c r="BZ530" s="16"/>
      <c r="CA530" s="17">
        <f>VLOOKUP(BZ530,'DATABASE F&amp;B'!$C$3:$F$210,2,0)</f>
        <v>0</v>
      </c>
      <c r="CB530" s="18"/>
      <c r="CC530" s="19">
        <f>VLOOKUP(BZ530,'DATABASE F&amp;B'!$C$3:$F$210,4,0)</f>
        <v>0</v>
      </c>
      <c r="CD530" s="19">
        <f t="shared" si="539"/>
        <v>0</v>
      </c>
    </row>
    <row r="531" spans="1:82" ht="13.5" x14ac:dyDescent="0.25">
      <c r="A531" s="32" t="str">
        <f t="shared" si="519"/>
        <v>--20</v>
      </c>
      <c r="B531" s="22">
        <f t="shared" ref="B531:C531" si="557">B530+1</f>
        <v>527</v>
      </c>
      <c r="C531" s="22">
        <f t="shared" si="557"/>
        <v>527</v>
      </c>
      <c r="D531" s="34"/>
      <c r="E531" s="35"/>
      <c r="F531" s="35"/>
      <c r="G531" s="52"/>
      <c r="H531" s="36" t="str">
        <f t="shared" si="544"/>
        <v>RJ--527</v>
      </c>
      <c r="I531" s="36" t="str">
        <f t="shared" si="521"/>
        <v>--20</v>
      </c>
      <c r="J531" s="37" t="e">
        <f>VLOOKUP(D531,Laporan!$C$4:$D$34,2,0)</f>
        <v>#N/A</v>
      </c>
      <c r="K531" s="48"/>
      <c r="L531" s="13"/>
      <c r="M531" s="19">
        <f>SUMIF('DATABASE Room'!$B$3:$B$7,L531,'DATABASE Room'!$D$3:$D$7)</f>
        <v>0</v>
      </c>
      <c r="N531" s="13"/>
      <c r="O531" s="21">
        <f t="shared" si="522"/>
        <v>0</v>
      </c>
      <c r="P531" s="38"/>
      <c r="Q531" s="19">
        <f t="shared" si="523"/>
        <v>0</v>
      </c>
      <c r="R531" s="21">
        <f t="shared" si="524"/>
        <v>0</v>
      </c>
      <c r="S531" s="19">
        <f t="shared" si="525"/>
        <v>0</v>
      </c>
      <c r="T531" s="19">
        <f t="shared" si="526"/>
        <v>0</v>
      </c>
      <c r="U531" s="21">
        <f t="shared" si="527"/>
        <v>0</v>
      </c>
      <c r="V531" s="39"/>
      <c r="W531" s="16"/>
      <c r="X531" s="17">
        <f>VLOOKUP(W531,'DATABASE F&amp;B'!$C$3:$F$216,2,0)</f>
        <v>0</v>
      </c>
      <c r="Y531" s="18"/>
      <c r="Z531" s="19">
        <f>VLOOKUP(W531,'DATABASE F&amp;B'!$C$3:$F$216,4,0)</f>
        <v>0</v>
      </c>
      <c r="AA531" s="19">
        <f t="shared" si="528"/>
        <v>0</v>
      </c>
      <c r="AB531" s="16"/>
      <c r="AC531" s="17">
        <f>VLOOKUP(AB531,'DATABASE F&amp;B'!$C$3:$F$216,2,0)</f>
        <v>0</v>
      </c>
      <c r="AD531" s="18"/>
      <c r="AE531" s="19">
        <f>VLOOKUP(AB531,'DATABASE F&amp;B'!$C$3:$F$216,4,0)</f>
        <v>0</v>
      </c>
      <c r="AF531" s="19">
        <f t="shared" si="529"/>
        <v>0</v>
      </c>
      <c r="AG531" s="16"/>
      <c r="AH531" s="17">
        <f>VLOOKUP(AG531,'DATABASE F&amp;B'!$C$3:$F$216,2,0)</f>
        <v>0</v>
      </c>
      <c r="AI531" s="18"/>
      <c r="AJ531" s="19">
        <f>VLOOKUP(AG531,'DATABASE F&amp;B'!$C$3:$F$216,4,0)</f>
        <v>0</v>
      </c>
      <c r="AK531" s="19">
        <f t="shared" si="530"/>
        <v>0</v>
      </c>
      <c r="AL531" s="16"/>
      <c r="AM531" s="17">
        <f>VLOOKUP(AL531,'DATABASE F&amp;B'!$C$3:$F$216,2,0)</f>
        <v>0</v>
      </c>
      <c r="AN531" s="18"/>
      <c r="AO531" s="19">
        <f>VLOOKUP(AL531,'DATABASE F&amp;B'!$C$3:$F$216,4,0)</f>
        <v>0</v>
      </c>
      <c r="AP531" s="19">
        <f t="shared" si="531"/>
        <v>0</v>
      </c>
      <c r="AQ531" s="16"/>
      <c r="AR531" s="17">
        <f>VLOOKUP(AQ531,'DATABASE F&amp;B'!$C$3:$F$216,2,0)</f>
        <v>0</v>
      </c>
      <c r="AS531" s="13"/>
      <c r="AT531" s="19">
        <f>VLOOKUP(AQ531,'DATABASE F&amp;B'!$C$3:$F$216,4,0)</f>
        <v>0</v>
      </c>
      <c r="AU531" s="19">
        <f t="shared" si="532"/>
        <v>0</v>
      </c>
      <c r="AV531" s="16"/>
      <c r="AW531" s="17">
        <f>VLOOKUP(AV531,'DATABASE F&amp;B'!$C$3:$F$216,2,0)</f>
        <v>0</v>
      </c>
      <c r="AX531" s="18"/>
      <c r="AY531" s="19">
        <f>VLOOKUP(AV531,'DATABASE F&amp;B'!$C$3:$F$216,4,0)</f>
        <v>0</v>
      </c>
      <c r="AZ531" s="19">
        <f t="shared" si="533"/>
        <v>0</v>
      </c>
      <c r="BA531" s="16"/>
      <c r="BB531" s="17">
        <f>VLOOKUP(BA531,'DATABASE F&amp;B'!$C$3:$F$216,2,0)</f>
        <v>0</v>
      </c>
      <c r="BC531" s="18"/>
      <c r="BD531" s="19">
        <f>VLOOKUP(BA531,'DATABASE F&amp;B'!$C$3:$F$216,4,0)</f>
        <v>0</v>
      </c>
      <c r="BE531" s="19">
        <f t="shared" si="534"/>
        <v>0</v>
      </c>
      <c r="BF531" s="16"/>
      <c r="BG531" s="17">
        <f>VLOOKUP(BF531,'DATABASE F&amp;B'!$C$3:$F$216,2,0)</f>
        <v>0</v>
      </c>
      <c r="BH531" s="18"/>
      <c r="BI531" s="19">
        <f>VLOOKUP(BF531,'DATABASE F&amp;B'!$C$3:$F$216,4,0)</f>
        <v>0</v>
      </c>
      <c r="BJ531" s="19">
        <f t="shared" si="535"/>
        <v>0</v>
      </c>
      <c r="BK531" s="16"/>
      <c r="BL531" s="17">
        <f>VLOOKUP(BK531,'DATABASE F&amp;B'!$C$3:$F$210,2,0)</f>
        <v>0</v>
      </c>
      <c r="BM531" s="18"/>
      <c r="BN531" s="19">
        <f>VLOOKUP(BK531,'DATABASE F&amp;B'!$C$3:$F$210,4,0)</f>
        <v>0</v>
      </c>
      <c r="BO531" s="19">
        <f t="shared" si="536"/>
        <v>0</v>
      </c>
      <c r="BP531" s="16"/>
      <c r="BQ531" s="17">
        <f>VLOOKUP(BP531,'DATABASE F&amp;B'!$C$3:$F$210,2,0)</f>
        <v>0</v>
      </c>
      <c r="BR531" s="18"/>
      <c r="BS531" s="19">
        <f>VLOOKUP(BP531,'DATABASE F&amp;B'!$C$3:$F$210,4,0)</f>
        <v>0</v>
      </c>
      <c r="BT531" s="19">
        <f t="shared" si="537"/>
        <v>0</v>
      </c>
      <c r="BU531" s="16"/>
      <c r="BV531" s="17">
        <f>VLOOKUP(BU531,'DATABASE F&amp;B'!$C$3:$F$210,2,0)</f>
        <v>0</v>
      </c>
      <c r="BW531" s="18"/>
      <c r="BX531" s="19">
        <f>VLOOKUP(BU531,'DATABASE F&amp;B'!$C$3:$F$210,4,0)</f>
        <v>0</v>
      </c>
      <c r="BY531" s="19">
        <f t="shared" si="538"/>
        <v>0</v>
      </c>
      <c r="BZ531" s="16"/>
      <c r="CA531" s="17">
        <f>VLOOKUP(BZ531,'DATABASE F&amp;B'!$C$3:$F$210,2,0)</f>
        <v>0</v>
      </c>
      <c r="CB531" s="18"/>
      <c r="CC531" s="19">
        <f>VLOOKUP(BZ531,'DATABASE F&amp;B'!$C$3:$F$210,4,0)</f>
        <v>0</v>
      </c>
      <c r="CD531" s="19">
        <f t="shared" si="539"/>
        <v>0</v>
      </c>
    </row>
    <row r="532" spans="1:82" x14ac:dyDescent="0.25"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40"/>
      <c r="S532" s="17"/>
      <c r="T532" s="17"/>
      <c r="U532" s="40"/>
    </row>
    <row r="533" spans="1:82" s="44" customFormat="1" ht="12.75" x14ac:dyDescent="0.2">
      <c r="D533" s="42"/>
      <c r="E533" s="42"/>
      <c r="F533" s="42"/>
      <c r="G533" s="42"/>
      <c r="H533" s="42"/>
      <c r="I533" s="42"/>
      <c r="J533" s="42" t="s">
        <v>2</v>
      </c>
      <c r="K533" s="42"/>
      <c r="L533" s="17"/>
      <c r="M533" s="42"/>
      <c r="N533" s="42"/>
      <c r="O533" s="43">
        <f>SUM(O5:O532)</f>
        <v>0</v>
      </c>
      <c r="P533" s="42"/>
      <c r="Q533" s="43">
        <f>SUM(Q5:Q532)</f>
        <v>0</v>
      </c>
      <c r="R533" s="43">
        <f>SUM(R5:R532)</f>
        <v>0</v>
      </c>
      <c r="S533" s="43">
        <f>SUM(S5:S532)</f>
        <v>1592</v>
      </c>
      <c r="T533" s="43">
        <f>SUM(T5:T532)</f>
        <v>15550000</v>
      </c>
      <c r="U533" s="43">
        <f>SUM(U5:U532)</f>
        <v>15550000</v>
      </c>
      <c r="W533" s="45"/>
      <c r="X533" s="45"/>
      <c r="Y533" s="45"/>
      <c r="Z533" s="45"/>
      <c r="AA533" s="43">
        <f>SUM(AA5:AA532)</f>
        <v>11130000</v>
      </c>
      <c r="AB533" s="45"/>
      <c r="AC533" s="45"/>
      <c r="AD533" s="45"/>
      <c r="AE533" s="45"/>
      <c r="AF533" s="43">
        <f>SUM(AF5:AF532)</f>
        <v>4420000</v>
      </c>
      <c r="AG533" s="45"/>
      <c r="AH533" s="45"/>
      <c r="AI533" s="45"/>
      <c r="AJ533" s="45"/>
      <c r="AK533" s="43">
        <f>SUM(AK5:AK532)</f>
        <v>0</v>
      </c>
      <c r="AL533" s="45"/>
      <c r="AM533" s="45"/>
      <c r="AN533" s="45"/>
      <c r="AO533" s="45"/>
      <c r="AP533" s="43">
        <f>SUM(AP5:AP532)</f>
        <v>0</v>
      </c>
      <c r="AQ533" s="45"/>
      <c r="AR533" s="45"/>
      <c r="AS533" s="45"/>
      <c r="AT533" s="45"/>
      <c r="AU533" s="43">
        <f>SUM(AU5:AU532)</f>
        <v>0</v>
      </c>
      <c r="AV533" s="45"/>
      <c r="AW533" s="45"/>
      <c r="AX533" s="45"/>
      <c r="AY533" s="45"/>
      <c r="AZ533" s="43">
        <f>SUM(AZ5:AZ532)</f>
        <v>0</v>
      </c>
      <c r="BA533" s="45"/>
      <c r="BB533" s="45"/>
      <c r="BC533" s="45"/>
      <c r="BD533" s="45"/>
      <c r="BE533" s="43">
        <f>SUM(BE5:BE532)</f>
        <v>0</v>
      </c>
      <c r="BF533" s="45"/>
      <c r="BG533" s="45"/>
      <c r="BH533" s="45"/>
      <c r="BI533" s="45"/>
      <c r="BJ533" s="43">
        <f>SUM(BJ5:BJ532)</f>
        <v>0</v>
      </c>
      <c r="BK533" s="45"/>
      <c r="BL533" s="45"/>
      <c r="BM533" s="45"/>
      <c r="BN533" s="45"/>
      <c r="BO533" s="43">
        <f>SUM(BO5:BO532)</f>
        <v>0</v>
      </c>
      <c r="BP533" s="45"/>
      <c r="BQ533" s="45"/>
      <c r="BR533" s="45"/>
      <c r="BS533" s="45"/>
      <c r="BT533" s="43">
        <f>SUM(BT5:BT532)</f>
        <v>0</v>
      </c>
      <c r="BU533" s="45"/>
      <c r="BV533" s="45"/>
      <c r="BW533" s="45"/>
      <c r="BX533" s="45"/>
      <c r="BY533" s="43">
        <f>SUM(BY5:BY532)</f>
        <v>0</v>
      </c>
      <c r="BZ533" s="45"/>
      <c r="CA533" s="45"/>
      <c r="CB533" s="45"/>
      <c r="CC533" s="45"/>
      <c r="CD533" s="43">
        <f>SUM(CD5:CD532)</f>
        <v>0</v>
      </c>
    </row>
    <row r="534" spans="1:82" s="44" customFormat="1" ht="12.75" x14ac:dyDescent="0.2">
      <c r="D534" s="42"/>
      <c r="E534" s="42"/>
      <c r="F534" s="42"/>
      <c r="G534" s="42"/>
      <c r="H534" s="42"/>
      <c r="I534" s="42"/>
      <c r="J534" s="42" t="s">
        <v>17</v>
      </c>
      <c r="K534" s="42"/>
      <c r="L534" s="17"/>
      <c r="M534" s="42"/>
      <c r="N534" s="42"/>
      <c r="O534" s="42"/>
      <c r="P534" s="42"/>
      <c r="Q534" s="42"/>
      <c r="R534" s="43">
        <f t="shared" ref="R534:T534" si="558">R533*10%</f>
        <v>0</v>
      </c>
      <c r="S534" s="43"/>
      <c r="T534" s="43">
        <f t="shared" si="558"/>
        <v>1555000</v>
      </c>
      <c r="U534" s="43">
        <f>U533*10%</f>
        <v>1555000</v>
      </c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  <c r="AG534" s="45"/>
      <c r="AH534" s="45"/>
      <c r="AI534" s="45"/>
      <c r="AJ534" s="45"/>
      <c r="AK534" s="45"/>
      <c r="AL534" s="45"/>
      <c r="AM534" s="45"/>
      <c r="AN534" s="45"/>
      <c r="AO534" s="45"/>
      <c r="AP534" s="45"/>
      <c r="AQ534" s="45"/>
      <c r="AR534" s="45"/>
      <c r="AS534" s="45"/>
      <c r="AT534" s="45"/>
      <c r="AU534" s="45"/>
      <c r="AV534" s="45"/>
      <c r="AW534" s="45"/>
      <c r="AX534" s="45"/>
      <c r="AY534" s="45"/>
      <c r="AZ534" s="45"/>
      <c r="BA534" s="45"/>
      <c r="BB534" s="45"/>
      <c r="BC534" s="45"/>
      <c r="BD534" s="45"/>
      <c r="BE534" s="45"/>
      <c r="BF534" s="45"/>
      <c r="BG534" s="45"/>
      <c r="BH534" s="45"/>
      <c r="BI534" s="45"/>
      <c r="BJ534" s="45"/>
      <c r="BK534" s="45"/>
      <c r="BL534" s="45"/>
      <c r="BM534" s="45"/>
      <c r="BN534" s="45"/>
      <c r="BO534" s="45"/>
      <c r="BP534" s="45"/>
      <c r="BQ534" s="45"/>
      <c r="BR534" s="45"/>
      <c r="BS534" s="45"/>
      <c r="BT534" s="45"/>
      <c r="BU534" s="45"/>
      <c r="BV534" s="45"/>
      <c r="BW534" s="45"/>
      <c r="BX534" s="45"/>
      <c r="BY534" s="45"/>
      <c r="BZ534" s="45"/>
      <c r="CA534" s="45"/>
      <c r="CB534" s="45"/>
      <c r="CC534" s="45"/>
      <c r="CD534" s="45"/>
    </row>
    <row r="535" spans="1:82" s="44" customFormat="1" ht="12.75" x14ac:dyDescent="0.2">
      <c r="D535" s="42"/>
      <c r="E535" s="42"/>
      <c r="F535" s="42"/>
      <c r="G535" s="42"/>
      <c r="H535" s="42"/>
      <c r="I535" s="42"/>
      <c r="J535" s="42" t="s">
        <v>22</v>
      </c>
      <c r="K535" s="42"/>
      <c r="L535" s="42"/>
      <c r="M535" s="42"/>
      <c r="N535" s="42"/>
      <c r="O535" s="42"/>
      <c r="P535" s="42"/>
      <c r="Q535" s="42"/>
      <c r="R535" s="43">
        <f>R533*11%</f>
        <v>0</v>
      </c>
      <c r="S535" s="43"/>
      <c r="T535" s="43">
        <f>T533*11%</f>
        <v>1710500</v>
      </c>
      <c r="U535" s="43">
        <f>U533*11%</f>
        <v>1710500</v>
      </c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  <c r="AG535" s="45"/>
      <c r="AH535" s="45"/>
      <c r="AI535" s="45"/>
      <c r="AJ535" s="45"/>
      <c r="AK535" s="45"/>
      <c r="AL535" s="45"/>
      <c r="AM535" s="45"/>
      <c r="AN535" s="45"/>
      <c r="AO535" s="45"/>
      <c r="AP535" s="45"/>
      <c r="AQ535" s="45"/>
      <c r="AR535" s="45"/>
      <c r="AS535" s="45"/>
      <c r="AT535" s="45"/>
      <c r="AU535" s="45"/>
      <c r="AV535" s="45"/>
      <c r="AW535" s="45"/>
      <c r="AX535" s="45"/>
      <c r="AY535" s="45"/>
      <c r="AZ535" s="45"/>
      <c r="BA535" s="45"/>
      <c r="BB535" s="45"/>
      <c r="BC535" s="45"/>
      <c r="BD535" s="45"/>
      <c r="BE535" s="45"/>
      <c r="BF535" s="45"/>
      <c r="BG535" s="45"/>
      <c r="BH535" s="45"/>
      <c r="BI535" s="45"/>
      <c r="BJ535" s="45"/>
      <c r="BK535" s="45"/>
      <c r="BL535" s="45"/>
      <c r="BM535" s="45"/>
      <c r="BN535" s="45"/>
      <c r="BO535" s="45"/>
      <c r="BP535" s="45"/>
      <c r="BQ535" s="45"/>
      <c r="BR535" s="45"/>
      <c r="BS535" s="45"/>
      <c r="BT535" s="45"/>
      <c r="BU535" s="45"/>
      <c r="BV535" s="45"/>
      <c r="BW535" s="45"/>
      <c r="BX535" s="45"/>
      <c r="BY535" s="45"/>
      <c r="BZ535" s="45"/>
      <c r="CA535" s="45"/>
      <c r="CB535" s="45"/>
      <c r="CC535" s="45"/>
      <c r="CD535" s="45"/>
    </row>
    <row r="536" spans="1:82" s="44" customFormat="1" ht="12.75" x14ac:dyDescent="0.2">
      <c r="D536" s="42"/>
      <c r="E536" s="42"/>
      <c r="F536" s="42"/>
      <c r="G536" s="42"/>
      <c r="H536" s="42"/>
      <c r="I536" s="42"/>
      <c r="J536" s="42" t="s">
        <v>2</v>
      </c>
      <c r="K536" s="42"/>
      <c r="L536" s="42"/>
      <c r="M536" s="42"/>
      <c r="N536" s="42"/>
      <c r="O536" s="42"/>
      <c r="P536" s="42"/>
      <c r="Q536" s="42"/>
      <c r="R536" s="43">
        <f>SUM(R533:R535)</f>
        <v>0</v>
      </c>
      <c r="S536" s="43"/>
      <c r="T536" s="43">
        <f>SUM(T533:T535)</f>
        <v>18815500</v>
      </c>
      <c r="U536" s="43">
        <f>SUM(U533:U535)</f>
        <v>18815500</v>
      </c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  <c r="AG536" s="45"/>
      <c r="AH536" s="45"/>
      <c r="AI536" s="45"/>
      <c r="AJ536" s="45"/>
      <c r="AK536" s="45"/>
      <c r="AL536" s="45"/>
      <c r="AM536" s="45"/>
      <c r="AN536" s="45"/>
      <c r="AO536" s="45"/>
      <c r="AP536" s="45"/>
      <c r="AQ536" s="45"/>
      <c r="AR536" s="45"/>
      <c r="AS536" s="45"/>
      <c r="AT536" s="45"/>
      <c r="AU536" s="45"/>
      <c r="AV536" s="45"/>
      <c r="AW536" s="45"/>
      <c r="AX536" s="45"/>
      <c r="AY536" s="45"/>
      <c r="AZ536" s="45"/>
      <c r="BA536" s="45"/>
      <c r="BB536" s="45"/>
      <c r="BC536" s="45"/>
      <c r="BD536" s="45"/>
      <c r="BE536" s="45"/>
      <c r="BF536" s="45"/>
      <c r="BG536" s="45"/>
      <c r="BH536" s="45"/>
      <c r="BI536" s="45"/>
      <c r="BJ536" s="45"/>
      <c r="BK536" s="45"/>
      <c r="BL536" s="45"/>
      <c r="BM536" s="45"/>
      <c r="BN536" s="45"/>
      <c r="BO536" s="45"/>
      <c r="BP536" s="45"/>
      <c r="BQ536" s="45"/>
      <c r="BR536" s="45"/>
      <c r="BS536" s="45"/>
      <c r="BT536" s="45"/>
      <c r="BU536" s="45"/>
      <c r="BV536" s="45"/>
      <c r="BW536" s="45"/>
      <c r="BX536" s="45"/>
      <c r="BY536" s="45"/>
      <c r="BZ536" s="45"/>
      <c r="CA536" s="45"/>
      <c r="CB536" s="45"/>
      <c r="CC536" s="45"/>
      <c r="CD536" s="45"/>
    </row>
    <row r="537" spans="1:82" s="44" customFormat="1" ht="12.75" x14ac:dyDescent="0.2"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3"/>
      <c r="S537" s="43"/>
      <c r="T537" s="43"/>
      <c r="U537" s="43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  <c r="AG537" s="45"/>
      <c r="AH537" s="45"/>
      <c r="AI537" s="45"/>
      <c r="AJ537" s="45"/>
      <c r="AK537" s="45"/>
      <c r="AL537" s="45"/>
      <c r="AM537" s="45"/>
      <c r="AN537" s="45"/>
      <c r="AO537" s="45"/>
      <c r="AP537" s="45"/>
      <c r="AQ537" s="45"/>
      <c r="AR537" s="45"/>
      <c r="AS537" s="45"/>
      <c r="AT537" s="45"/>
      <c r="AU537" s="45"/>
      <c r="AV537" s="45"/>
      <c r="AW537" s="45"/>
      <c r="AX537" s="45"/>
      <c r="AY537" s="45"/>
      <c r="AZ537" s="45"/>
      <c r="BA537" s="45"/>
      <c r="BB537" s="45"/>
      <c r="BC537" s="45"/>
      <c r="BD537" s="45"/>
      <c r="BE537" s="45"/>
      <c r="BF537" s="45"/>
      <c r="BG537" s="45"/>
      <c r="BH537" s="45"/>
      <c r="BI537" s="45"/>
      <c r="BJ537" s="45"/>
      <c r="BK537" s="45"/>
      <c r="BL537" s="45"/>
      <c r="BM537" s="45"/>
      <c r="BN537" s="45"/>
      <c r="BO537" s="45"/>
      <c r="BP537" s="45"/>
      <c r="BQ537" s="45"/>
      <c r="BR537" s="45"/>
      <c r="BS537" s="45"/>
      <c r="BT537" s="45"/>
      <c r="BU537" s="45"/>
      <c r="BV537" s="45"/>
      <c r="BW537" s="45"/>
      <c r="BX537" s="45"/>
      <c r="BY537" s="45"/>
      <c r="BZ537" s="45"/>
      <c r="CA537" s="45"/>
      <c r="CB537" s="45"/>
      <c r="CC537" s="45"/>
      <c r="CD537" s="45"/>
    </row>
    <row r="538" spans="1:82" ht="12.75" x14ac:dyDescent="0.2">
      <c r="D538" s="17"/>
      <c r="E538" s="17"/>
      <c r="F538" s="17"/>
      <c r="G538" s="17"/>
      <c r="H538" s="17"/>
      <c r="I538" s="17"/>
      <c r="J538" s="42" t="s">
        <v>23</v>
      </c>
      <c r="K538" s="17"/>
      <c r="L538" s="17"/>
      <c r="M538" s="17"/>
      <c r="N538" s="17"/>
      <c r="O538" s="17"/>
      <c r="P538" s="17"/>
      <c r="Q538" s="17"/>
      <c r="R538" s="43">
        <f>(R533+R534)*25%</f>
        <v>0</v>
      </c>
      <c r="S538" s="17"/>
      <c r="T538" s="43">
        <f>(T533+T534)*25%</f>
        <v>4276250</v>
      </c>
      <c r="U538" s="43">
        <f>U533*25%</f>
        <v>3887500</v>
      </c>
      <c r="AI538" s="45"/>
    </row>
    <row r="539" spans="1:82" ht="12.75" x14ac:dyDescent="0.2">
      <c r="R539" s="22"/>
      <c r="U539" s="39"/>
      <c r="AI539" s="45"/>
    </row>
    <row r="540" spans="1:82" ht="12.75" x14ac:dyDescent="0.2">
      <c r="R540" s="22"/>
      <c r="U540" s="46">
        <f>U541-U538</f>
        <v>-3887500</v>
      </c>
      <c r="V540" s="39">
        <f>U540/25%</f>
        <v>-15550000</v>
      </c>
      <c r="AI540" s="45"/>
    </row>
    <row r="541" spans="1:82" ht="12.75" x14ac:dyDescent="0.2">
      <c r="R541" s="22"/>
      <c r="T541" s="51" t="s">
        <v>47</v>
      </c>
      <c r="U541" s="50"/>
      <c r="V541" s="39"/>
      <c r="AI541" s="45"/>
    </row>
    <row r="542" spans="1:82" x14ac:dyDescent="0.25">
      <c r="U542" s="47"/>
      <c r="AI542" s="45"/>
    </row>
    <row r="543" spans="1:82" x14ac:dyDescent="0.25">
      <c r="U543" s="47"/>
      <c r="AI543" s="45"/>
    </row>
    <row r="544" spans="1:82" x14ac:dyDescent="0.25">
      <c r="AI544" s="45"/>
    </row>
    <row r="545" spans="19:35" x14ac:dyDescent="0.25">
      <c r="AI545" s="45"/>
    </row>
    <row r="546" spans="19:35" x14ac:dyDescent="0.25">
      <c r="S546" s="46"/>
      <c r="AI546" s="45"/>
    </row>
    <row r="547" spans="19:35" x14ac:dyDescent="0.25">
      <c r="AI547" s="45"/>
    </row>
    <row r="548" spans="19:35" x14ac:dyDescent="0.25">
      <c r="AI548" s="45"/>
    </row>
    <row r="549" spans="19:35" x14ac:dyDescent="0.25">
      <c r="AI549" s="45"/>
    </row>
    <row r="550" spans="19:35" x14ac:dyDescent="0.25">
      <c r="AI550" s="45"/>
    </row>
    <row r="551" spans="19:35" x14ac:dyDescent="0.25">
      <c r="AI551" s="45"/>
    </row>
    <row r="552" spans="19:35" x14ac:dyDescent="0.25">
      <c r="AI552" s="45"/>
    </row>
    <row r="1048522" spans="64:64" x14ac:dyDescent="0.25">
      <c r="BL1048522" s="41">
        <f>VLOOKUP(BK1048522,[1]MakanMinum!$C$3:$F$210,2,0)</f>
        <v>0</v>
      </c>
    </row>
  </sheetData>
  <autoFilter ref="A2:CD531" xr:uid="{00000000-0009-0000-0000-000001000000}"/>
  <sortState xmlns:xlrd2="http://schemas.microsoft.com/office/spreadsheetml/2017/richdata2" ref="C3:AS157">
    <sortCondition ref="C3"/>
  </sortState>
  <mergeCells count="11">
    <mergeCell ref="U3:U4"/>
    <mergeCell ref="R3:R4"/>
    <mergeCell ref="S3:T3"/>
    <mergeCell ref="P3:Q3"/>
    <mergeCell ref="D3:D4"/>
    <mergeCell ref="J3:J4"/>
    <mergeCell ref="L3:L4"/>
    <mergeCell ref="M3:M4"/>
    <mergeCell ref="N3:O3"/>
    <mergeCell ref="E3:G3"/>
    <mergeCell ref="H3:I3"/>
  </mergeCells>
  <phoneticPr fontId="16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N2205"/>
  <sheetViews>
    <sheetView topLeftCell="A98" workbookViewId="0">
      <selection activeCell="D111" sqref="D111:D139"/>
    </sheetView>
  </sheetViews>
  <sheetFormatPr defaultRowHeight="15" x14ac:dyDescent="0.25"/>
  <cols>
    <col min="4" max="4" width="30.5703125" bestFit="1" customWidth="1"/>
    <col min="5" max="5" width="9.28515625" bestFit="1" customWidth="1"/>
    <col min="6" max="6" width="10.5703125" bestFit="1" customWidth="1"/>
  </cols>
  <sheetData>
    <row r="2" spans="1:40" x14ac:dyDescent="0.25">
      <c r="A2" s="1">
        <v>1</v>
      </c>
      <c r="B2" s="1" t="s">
        <v>24</v>
      </c>
      <c r="C2" s="1"/>
    </row>
    <row r="3" spans="1:40" x14ac:dyDescent="0.25">
      <c r="A3" s="1"/>
      <c r="B3" s="1"/>
      <c r="C3" s="1">
        <v>0</v>
      </c>
      <c r="D3">
        <v>0</v>
      </c>
      <c r="E3">
        <v>0</v>
      </c>
      <c r="F3" s="1">
        <v>0</v>
      </c>
    </row>
    <row r="4" spans="1:40" x14ac:dyDescent="0.25">
      <c r="B4" s="2">
        <v>1</v>
      </c>
      <c r="C4" s="2">
        <v>1</v>
      </c>
      <c r="D4" s="2" t="s">
        <v>85</v>
      </c>
      <c r="E4" s="4"/>
      <c r="F4" s="4">
        <v>50000</v>
      </c>
      <c r="G4" s="3"/>
      <c r="H4" s="5">
        <f t="shared" ref="H4:H44" si="0">E4/F4</f>
        <v>0</v>
      </c>
      <c r="J4" s="4"/>
    </row>
    <row r="5" spans="1:40" x14ac:dyDescent="0.25">
      <c r="B5" s="2">
        <f>B4+1</f>
        <v>2</v>
      </c>
      <c r="C5" s="2">
        <f>C4+1</f>
        <v>2</v>
      </c>
      <c r="D5" s="2" t="s">
        <v>86</v>
      </c>
      <c r="E5" s="4"/>
      <c r="F5" s="4">
        <v>35000</v>
      </c>
      <c r="G5" s="3"/>
      <c r="H5" s="5">
        <f t="shared" si="0"/>
        <v>0</v>
      </c>
      <c r="J5" s="4"/>
    </row>
    <row r="6" spans="1:40" x14ac:dyDescent="0.25">
      <c r="B6" s="2">
        <f t="shared" ref="B6:C21" si="1">B5+1</f>
        <v>3</v>
      </c>
      <c r="C6" s="2">
        <f t="shared" si="1"/>
        <v>3</v>
      </c>
      <c r="D6" s="2" t="s">
        <v>87</v>
      </c>
      <c r="E6" s="4"/>
      <c r="F6" s="4">
        <v>35000</v>
      </c>
      <c r="G6" s="3"/>
      <c r="H6" s="5">
        <f t="shared" si="0"/>
        <v>0</v>
      </c>
      <c r="J6" s="4"/>
    </row>
    <row r="7" spans="1:40" x14ac:dyDescent="0.25">
      <c r="B7" s="2">
        <f t="shared" si="1"/>
        <v>4</v>
      </c>
      <c r="C7" s="2">
        <f t="shared" si="1"/>
        <v>4</v>
      </c>
      <c r="D7" s="2" t="s">
        <v>88</v>
      </c>
      <c r="E7" s="4"/>
      <c r="F7" s="4">
        <v>30000</v>
      </c>
      <c r="G7" s="3"/>
      <c r="H7" s="5">
        <f t="shared" si="0"/>
        <v>0</v>
      </c>
      <c r="J7" s="4"/>
    </row>
    <row r="8" spans="1:40" x14ac:dyDescent="0.25">
      <c r="B8" s="2">
        <f t="shared" si="1"/>
        <v>5</v>
      </c>
      <c r="C8" s="2">
        <f t="shared" si="1"/>
        <v>5</v>
      </c>
      <c r="D8" s="2" t="s">
        <v>89</v>
      </c>
      <c r="E8" s="4"/>
      <c r="F8" s="4">
        <v>35000</v>
      </c>
      <c r="G8" s="3"/>
      <c r="H8" s="5">
        <f t="shared" si="0"/>
        <v>0</v>
      </c>
      <c r="J8" s="4"/>
      <c r="AB8">
        <v>3</v>
      </c>
      <c r="AN8">
        <v>2</v>
      </c>
    </row>
    <row r="9" spans="1:40" x14ac:dyDescent="0.25">
      <c r="B9" s="2">
        <f t="shared" si="1"/>
        <v>6</v>
      </c>
      <c r="C9" s="2">
        <f t="shared" si="1"/>
        <v>6</v>
      </c>
      <c r="D9" s="2" t="s">
        <v>90</v>
      </c>
      <c r="E9" s="4"/>
      <c r="F9" s="4">
        <v>35000</v>
      </c>
      <c r="G9" s="3"/>
      <c r="H9" s="5">
        <f t="shared" si="0"/>
        <v>0</v>
      </c>
      <c r="J9" s="4"/>
    </row>
    <row r="10" spans="1:40" x14ac:dyDescent="0.25">
      <c r="B10" s="2">
        <f t="shared" si="1"/>
        <v>7</v>
      </c>
      <c r="C10" s="2">
        <f t="shared" si="1"/>
        <v>7</v>
      </c>
      <c r="D10" s="2" t="s">
        <v>91</v>
      </c>
      <c r="E10" s="4"/>
      <c r="F10" s="4">
        <v>22000</v>
      </c>
      <c r="G10" s="3"/>
      <c r="H10" s="5">
        <f t="shared" si="0"/>
        <v>0</v>
      </c>
      <c r="J10" s="4"/>
    </row>
    <row r="11" spans="1:40" x14ac:dyDescent="0.25">
      <c r="B11" s="2">
        <f t="shared" si="1"/>
        <v>8</v>
      </c>
      <c r="C11" s="2">
        <f t="shared" si="1"/>
        <v>8</v>
      </c>
      <c r="D11" s="2" t="s">
        <v>92</v>
      </c>
      <c r="E11" s="4"/>
      <c r="F11" s="4">
        <v>22000</v>
      </c>
      <c r="G11" s="3"/>
      <c r="H11" s="5">
        <f t="shared" si="0"/>
        <v>0</v>
      </c>
      <c r="J11" s="4"/>
    </row>
    <row r="12" spans="1:40" x14ac:dyDescent="0.25">
      <c r="B12" s="2">
        <f t="shared" si="1"/>
        <v>9</v>
      </c>
      <c r="C12" s="2">
        <f t="shared" si="1"/>
        <v>9</v>
      </c>
      <c r="D12" s="2" t="s">
        <v>93</v>
      </c>
      <c r="E12" s="4"/>
      <c r="F12" s="4">
        <v>30000</v>
      </c>
      <c r="G12" s="3"/>
      <c r="H12" s="5">
        <f t="shared" si="0"/>
        <v>0</v>
      </c>
      <c r="J12" s="4"/>
    </row>
    <row r="13" spans="1:40" x14ac:dyDescent="0.25">
      <c r="B13" s="2">
        <f t="shared" si="1"/>
        <v>10</v>
      </c>
      <c r="C13" s="2">
        <f t="shared" si="1"/>
        <v>10</v>
      </c>
      <c r="D13" s="2" t="s">
        <v>94</v>
      </c>
      <c r="E13" s="4"/>
      <c r="F13" s="4">
        <v>28000</v>
      </c>
      <c r="G13" s="3"/>
      <c r="H13" s="5">
        <f t="shared" si="0"/>
        <v>0</v>
      </c>
      <c r="J13" s="4"/>
    </row>
    <row r="14" spans="1:40" x14ac:dyDescent="0.25">
      <c r="B14" s="2">
        <f t="shared" si="1"/>
        <v>11</v>
      </c>
      <c r="C14" s="2">
        <f t="shared" si="1"/>
        <v>11</v>
      </c>
      <c r="D14" s="2" t="s">
        <v>95</v>
      </c>
      <c r="E14" s="4"/>
      <c r="F14" s="4">
        <v>28000</v>
      </c>
      <c r="G14" s="3"/>
      <c r="H14" s="5">
        <f t="shared" si="0"/>
        <v>0</v>
      </c>
      <c r="J14" s="4"/>
    </row>
    <row r="15" spans="1:40" x14ac:dyDescent="0.25">
      <c r="B15" s="2">
        <f t="shared" si="1"/>
        <v>12</v>
      </c>
      <c r="C15" s="2">
        <f t="shared" si="1"/>
        <v>12</v>
      </c>
      <c r="D15" s="2" t="s">
        <v>96</v>
      </c>
      <c r="E15" s="4"/>
      <c r="F15" s="4">
        <v>24000</v>
      </c>
      <c r="G15" s="3"/>
      <c r="H15" s="5">
        <f t="shared" si="0"/>
        <v>0</v>
      </c>
      <c r="J15" s="4"/>
    </row>
    <row r="16" spans="1:40" x14ac:dyDescent="0.25">
      <c r="B16" s="2">
        <f t="shared" si="1"/>
        <v>13</v>
      </c>
      <c r="C16" s="2">
        <f t="shared" si="1"/>
        <v>13</v>
      </c>
      <c r="D16" s="2" t="s">
        <v>97</v>
      </c>
      <c r="E16" s="4"/>
      <c r="F16" s="4">
        <v>10000</v>
      </c>
      <c r="G16" s="3"/>
      <c r="H16" s="5">
        <f t="shared" si="0"/>
        <v>0</v>
      </c>
      <c r="J16" s="4"/>
    </row>
    <row r="17" spans="2:28" x14ac:dyDescent="0.25">
      <c r="B17" s="2">
        <f t="shared" si="1"/>
        <v>14</v>
      </c>
      <c r="C17" s="2">
        <f t="shared" si="1"/>
        <v>14</v>
      </c>
      <c r="D17" s="2" t="s">
        <v>98</v>
      </c>
      <c r="E17" s="4"/>
      <c r="F17" s="4">
        <v>37000</v>
      </c>
      <c r="G17" s="3"/>
      <c r="H17" s="5">
        <f t="shared" si="0"/>
        <v>0</v>
      </c>
      <c r="J17" s="4"/>
    </row>
    <row r="18" spans="2:28" x14ac:dyDescent="0.25">
      <c r="B18" s="2">
        <f t="shared" si="1"/>
        <v>15</v>
      </c>
      <c r="C18" s="2">
        <f t="shared" si="1"/>
        <v>15</v>
      </c>
      <c r="D18" s="2" t="s">
        <v>99</v>
      </c>
      <c r="E18" s="4"/>
      <c r="F18" s="4">
        <v>28000</v>
      </c>
      <c r="G18" s="3"/>
      <c r="H18" s="5">
        <f t="shared" si="0"/>
        <v>0</v>
      </c>
      <c r="J18" s="4"/>
    </row>
    <row r="19" spans="2:28" x14ac:dyDescent="0.25">
      <c r="B19" s="2">
        <f t="shared" si="1"/>
        <v>16</v>
      </c>
      <c r="C19" s="2">
        <f t="shared" si="1"/>
        <v>16</v>
      </c>
      <c r="D19" s="2" t="s">
        <v>100</v>
      </c>
      <c r="E19" s="4"/>
      <c r="F19" s="4">
        <v>36000</v>
      </c>
      <c r="G19" s="3"/>
      <c r="H19" s="5">
        <f t="shared" si="0"/>
        <v>0</v>
      </c>
      <c r="J19" s="4"/>
    </row>
    <row r="20" spans="2:28" x14ac:dyDescent="0.25">
      <c r="B20" s="2">
        <f t="shared" si="1"/>
        <v>17</v>
      </c>
      <c r="C20" s="2">
        <f t="shared" si="1"/>
        <v>17</v>
      </c>
      <c r="D20" s="2" t="s">
        <v>101</v>
      </c>
      <c r="E20" s="4"/>
      <c r="F20" s="4">
        <v>36000</v>
      </c>
      <c r="G20" s="3"/>
      <c r="H20" s="5">
        <f t="shared" si="0"/>
        <v>0</v>
      </c>
      <c r="J20" s="4"/>
    </row>
    <row r="21" spans="2:28" x14ac:dyDescent="0.25">
      <c r="B21" s="2">
        <f t="shared" si="1"/>
        <v>18</v>
      </c>
      <c r="C21" s="2">
        <f t="shared" si="1"/>
        <v>18</v>
      </c>
      <c r="D21" s="2" t="s">
        <v>102</v>
      </c>
      <c r="E21" s="4"/>
      <c r="F21" s="4">
        <v>32000</v>
      </c>
      <c r="G21" s="3"/>
      <c r="H21" s="5">
        <f t="shared" si="0"/>
        <v>0</v>
      </c>
      <c r="J21" s="4"/>
    </row>
    <row r="22" spans="2:28" x14ac:dyDescent="0.25">
      <c r="B22" s="2">
        <f t="shared" ref="B22:C37" si="2">B21+1</f>
        <v>19</v>
      </c>
      <c r="C22" s="2">
        <f t="shared" si="2"/>
        <v>19</v>
      </c>
      <c r="D22" s="2" t="s">
        <v>103</v>
      </c>
      <c r="E22" s="4"/>
      <c r="F22" s="4">
        <v>32000</v>
      </c>
      <c r="G22" s="3"/>
      <c r="H22" s="5">
        <f t="shared" si="0"/>
        <v>0</v>
      </c>
      <c r="J22" s="4"/>
    </row>
    <row r="23" spans="2:28" x14ac:dyDescent="0.25">
      <c r="B23" s="2">
        <f t="shared" si="2"/>
        <v>20</v>
      </c>
      <c r="C23" s="2">
        <f t="shared" si="2"/>
        <v>20</v>
      </c>
      <c r="D23" s="2" t="s">
        <v>104</v>
      </c>
      <c r="E23" s="4"/>
      <c r="F23" s="4">
        <v>32000</v>
      </c>
      <c r="G23" s="3"/>
      <c r="H23" s="5">
        <f t="shared" si="0"/>
        <v>0</v>
      </c>
      <c r="J23" s="4"/>
    </row>
    <row r="24" spans="2:28" x14ac:dyDescent="0.25">
      <c r="B24" s="2">
        <f t="shared" si="2"/>
        <v>21</v>
      </c>
      <c r="C24" s="2">
        <f t="shared" si="2"/>
        <v>21</v>
      </c>
      <c r="D24" s="2" t="s">
        <v>105</v>
      </c>
      <c r="E24" s="4"/>
      <c r="F24" s="4">
        <v>35000</v>
      </c>
      <c r="G24" s="3"/>
      <c r="H24" s="5">
        <f t="shared" si="0"/>
        <v>0</v>
      </c>
      <c r="J24" s="4"/>
    </row>
    <row r="25" spans="2:28" x14ac:dyDescent="0.25">
      <c r="B25" s="2">
        <f t="shared" si="2"/>
        <v>22</v>
      </c>
      <c r="C25" s="2">
        <f t="shared" si="2"/>
        <v>22</v>
      </c>
      <c r="D25" s="2" t="s">
        <v>106</v>
      </c>
      <c r="E25" s="4"/>
      <c r="F25" s="4">
        <v>32000</v>
      </c>
      <c r="G25" s="3"/>
      <c r="H25" s="5">
        <f t="shared" si="0"/>
        <v>0</v>
      </c>
      <c r="J25" s="4"/>
    </row>
    <row r="26" spans="2:28" x14ac:dyDescent="0.25">
      <c r="B26" s="2">
        <f t="shared" si="2"/>
        <v>23</v>
      </c>
      <c r="C26" s="2">
        <f t="shared" si="2"/>
        <v>23</v>
      </c>
      <c r="D26" s="2" t="s">
        <v>107</v>
      </c>
      <c r="E26" s="4"/>
      <c r="F26" s="4">
        <v>32000</v>
      </c>
      <c r="G26" s="3"/>
      <c r="H26" s="5">
        <f t="shared" si="0"/>
        <v>0</v>
      </c>
      <c r="J26" s="4"/>
      <c r="AB26">
        <v>18</v>
      </c>
    </row>
    <row r="27" spans="2:28" x14ac:dyDescent="0.25">
      <c r="B27" s="2">
        <f t="shared" si="2"/>
        <v>24</v>
      </c>
      <c r="C27" s="2">
        <f t="shared" si="2"/>
        <v>24</v>
      </c>
      <c r="D27" s="2" t="s">
        <v>108</v>
      </c>
      <c r="E27" s="4"/>
      <c r="F27" s="4">
        <v>35000</v>
      </c>
      <c r="G27" s="3"/>
      <c r="H27" s="5">
        <f t="shared" si="0"/>
        <v>0</v>
      </c>
      <c r="J27" s="4"/>
    </row>
    <row r="28" spans="2:28" x14ac:dyDescent="0.25">
      <c r="B28" s="2">
        <f t="shared" si="2"/>
        <v>25</v>
      </c>
      <c r="C28" s="2">
        <f t="shared" si="2"/>
        <v>25</v>
      </c>
      <c r="D28" s="2" t="s">
        <v>109</v>
      </c>
      <c r="E28" s="4"/>
      <c r="F28" s="4">
        <v>35000</v>
      </c>
      <c r="G28" s="3"/>
      <c r="H28" s="5">
        <f t="shared" si="0"/>
        <v>0</v>
      </c>
      <c r="J28" s="4"/>
    </row>
    <row r="29" spans="2:28" x14ac:dyDescent="0.25">
      <c r="B29" s="2">
        <f t="shared" si="2"/>
        <v>26</v>
      </c>
      <c r="C29" s="2">
        <f t="shared" si="2"/>
        <v>26</v>
      </c>
      <c r="D29" s="2" t="s">
        <v>110</v>
      </c>
      <c r="E29" s="4"/>
      <c r="F29" s="4">
        <v>35000</v>
      </c>
      <c r="G29" s="3"/>
      <c r="H29" s="5">
        <f t="shared" si="0"/>
        <v>0</v>
      </c>
      <c r="J29" s="4"/>
    </row>
    <row r="30" spans="2:28" x14ac:dyDescent="0.25">
      <c r="B30" s="2">
        <f t="shared" si="2"/>
        <v>27</v>
      </c>
      <c r="C30" s="2">
        <f t="shared" si="2"/>
        <v>27</v>
      </c>
      <c r="D30" s="2" t="s">
        <v>111</v>
      </c>
      <c r="E30" s="4"/>
      <c r="F30" s="4">
        <v>41000</v>
      </c>
      <c r="G30" s="3"/>
      <c r="H30" s="5">
        <f t="shared" si="0"/>
        <v>0</v>
      </c>
      <c r="J30" s="4"/>
    </row>
    <row r="31" spans="2:28" x14ac:dyDescent="0.25">
      <c r="B31" s="2">
        <f t="shared" si="2"/>
        <v>28</v>
      </c>
      <c r="C31" s="2">
        <f t="shared" si="2"/>
        <v>28</v>
      </c>
      <c r="D31" s="2" t="s">
        <v>112</v>
      </c>
      <c r="E31" s="4"/>
      <c r="F31" s="4">
        <v>36000</v>
      </c>
      <c r="G31" s="3"/>
      <c r="H31" s="5">
        <f t="shared" si="0"/>
        <v>0</v>
      </c>
      <c r="J31" s="4"/>
    </row>
    <row r="32" spans="2:28" x14ac:dyDescent="0.25">
      <c r="B32" s="2">
        <f t="shared" si="2"/>
        <v>29</v>
      </c>
      <c r="C32" s="2">
        <f t="shared" si="2"/>
        <v>29</v>
      </c>
      <c r="D32" s="2" t="s">
        <v>113</v>
      </c>
      <c r="E32" s="4"/>
      <c r="F32" s="4">
        <v>10000</v>
      </c>
      <c r="G32" s="3"/>
      <c r="H32" s="5">
        <f t="shared" si="0"/>
        <v>0</v>
      </c>
      <c r="J32" s="4"/>
    </row>
    <row r="33" spans="1:10" x14ac:dyDescent="0.25">
      <c r="B33" s="2">
        <f t="shared" si="2"/>
        <v>30</v>
      </c>
      <c r="C33" s="2">
        <f t="shared" si="2"/>
        <v>30</v>
      </c>
      <c r="D33" s="2" t="s">
        <v>114</v>
      </c>
      <c r="E33" s="4"/>
      <c r="F33" s="4">
        <v>23000</v>
      </c>
      <c r="G33" s="3"/>
      <c r="H33" s="5">
        <f t="shared" si="0"/>
        <v>0</v>
      </c>
      <c r="J33" s="4"/>
    </row>
    <row r="34" spans="1:10" x14ac:dyDescent="0.25">
      <c r="B34" s="2">
        <f t="shared" si="2"/>
        <v>31</v>
      </c>
      <c r="C34" s="2">
        <f t="shared" si="2"/>
        <v>31</v>
      </c>
      <c r="D34" s="2" t="s">
        <v>115</v>
      </c>
      <c r="E34" s="4"/>
      <c r="F34" s="4">
        <v>38000</v>
      </c>
      <c r="G34" s="3"/>
      <c r="H34" s="5">
        <f t="shared" si="0"/>
        <v>0</v>
      </c>
      <c r="J34" s="4"/>
    </row>
    <row r="35" spans="1:10" x14ac:dyDescent="0.25">
      <c r="B35" s="2">
        <f t="shared" si="2"/>
        <v>32</v>
      </c>
      <c r="C35" s="2">
        <f t="shared" si="2"/>
        <v>32</v>
      </c>
      <c r="D35" s="2" t="s">
        <v>116</v>
      </c>
      <c r="E35" s="4"/>
      <c r="F35" s="4">
        <v>45000</v>
      </c>
      <c r="G35" s="3"/>
      <c r="H35" s="5">
        <f t="shared" si="0"/>
        <v>0</v>
      </c>
      <c r="J35" s="4"/>
    </row>
    <row r="36" spans="1:10" x14ac:dyDescent="0.25">
      <c r="B36" s="2">
        <f t="shared" si="2"/>
        <v>33</v>
      </c>
      <c r="C36" s="2">
        <f t="shared" si="2"/>
        <v>33</v>
      </c>
      <c r="D36" s="2"/>
      <c r="E36" s="4"/>
      <c r="F36" s="4"/>
      <c r="G36" s="3"/>
      <c r="H36" s="5" t="e">
        <f t="shared" si="0"/>
        <v>#DIV/0!</v>
      </c>
      <c r="J36" s="4"/>
    </row>
    <row r="37" spans="1:10" x14ac:dyDescent="0.25">
      <c r="B37" s="2">
        <f t="shared" si="2"/>
        <v>34</v>
      </c>
      <c r="C37" s="2">
        <f t="shared" si="2"/>
        <v>34</v>
      </c>
      <c r="D37" s="2"/>
      <c r="E37" s="4"/>
      <c r="F37" s="4"/>
      <c r="G37" s="3"/>
      <c r="H37" s="5" t="e">
        <f t="shared" si="0"/>
        <v>#DIV/0!</v>
      </c>
      <c r="J37" s="4"/>
    </row>
    <row r="38" spans="1:10" x14ac:dyDescent="0.25">
      <c r="B38" s="2">
        <f t="shared" ref="B38:C44" si="3">B37+1</f>
        <v>35</v>
      </c>
      <c r="C38" s="2">
        <f t="shared" si="3"/>
        <v>35</v>
      </c>
      <c r="D38" s="2"/>
      <c r="E38" s="4"/>
      <c r="F38" s="4"/>
      <c r="G38" s="3"/>
      <c r="H38" s="5" t="e">
        <f t="shared" si="0"/>
        <v>#DIV/0!</v>
      </c>
      <c r="J38" s="4"/>
    </row>
    <row r="39" spans="1:10" x14ac:dyDescent="0.25">
      <c r="B39" s="2">
        <f t="shared" si="3"/>
        <v>36</v>
      </c>
      <c r="C39" s="2">
        <f t="shared" si="3"/>
        <v>36</v>
      </c>
      <c r="D39" s="2"/>
      <c r="E39" s="4"/>
      <c r="F39" s="4"/>
      <c r="G39" s="3"/>
      <c r="H39" s="5" t="e">
        <f t="shared" si="0"/>
        <v>#DIV/0!</v>
      </c>
      <c r="J39" s="4"/>
    </row>
    <row r="40" spans="1:10" x14ac:dyDescent="0.25">
      <c r="B40" s="2">
        <f t="shared" si="3"/>
        <v>37</v>
      </c>
      <c r="C40" s="2">
        <f t="shared" si="3"/>
        <v>37</v>
      </c>
      <c r="D40" s="2"/>
      <c r="E40" s="4"/>
      <c r="F40" s="4"/>
      <c r="G40" s="3"/>
      <c r="H40" s="5" t="e">
        <f t="shared" si="0"/>
        <v>#DIV/0!</v>
      </c>
      <c r="J40" s="4"/>
    </row>
    <row r="41" spans="1:10" x14ac:dyDescent="0.25">
      <c r="B41" s="2">
        <f t="shared" si="3"/>
        <v>38</v>
      </c>
      <c r="C41" s="2">
        <f t="shared" si="3"/>
        <v>38</v>
      </c>
      <c r="D41" s="2"/>
      <c r="E41" s="4"/>
      <c r="F41" s="4"/>
      <c r="G41" s="3"/>
      <c r="H41" s="5" t="e">
        <f t="shared" si="0"/>
        <v>#DIV/0!</v>
      </c>
      <c r="J41" s="4"/>
    </row>
    <row r="42" spans="1:10" x14ac:dyDescent="0.25">
      <c r="B42" s="2">
        <f t="shared" si="3"/>
        <v>39</v>
      </c>
      <c r="C42" s="2">
        <f t="shared" si="3"/>
        <v>39</v>
      </c>
      <c r="D42" s="2"/>
      <c r="E42" s="4"/>
      <c r="F42" s="4"/>
      <c r="G42" s="3"/>
      <c r="H42" s="5" t="e">
        <f t="shared" si="0"/>
        <v>#DIV/0!</v>
      </c>
      <c r="J42" s="4"/>
    </row>
    <row r="43" spans="1:10" x14ac:dyDescent="0.25">
      <c r="B43" s="2">
        <f t="shared" si="3"/>
        <v>40</v>
      </c>
      <c r="C43" s="2">
        <f t="shared" si="3"/>
        <v>40</v>
      </c>
      <c r="D43" s="2"/>
      <c r="E43" s="4"/>
      <c r="F43" s="4"/>
      <c r="G43" s="3"/>
      <c r="H43" s="5" t="e">
        <f t="shared" si="0"/>
        <v>#DIV/0!</v>
      </c>
      <c r="J43" s="4"/>
    </row>
    <row r="44" spans="1:10" x14ac:dyDescent="0.25">
      <c r="B44" s="2">
        <f t="shared" si="3"/>
        <v>41</v>
      </c>
      <c r="C44" s="2">
        <f t="shared" si="3"/>
        <v>41</v>
      </c>
      <c r="D44" s="2"/>
      <c r="E44" s="4"/>
      <c r="F44" s="4"/>
      <c r="G44" s="3"/>
      <c r="H44" s="5" t="e">
        <f t="shared" si="0"/>
        <v>#DIV/0!</v>
      </c>
      <c r="J44" s="4"/>
    </row>
    <row r="45" spans="1:10" x14ac:dyDescent="0.25">
      <c r="A45" s="1">
        <v>2</v>
      </c>
      <c r="B45" s="1" t="s">
        <v>50</v>
      </c>
      <c r="C45" s="1"/>
    </row>
    <row r="46" spans="1:10" x14ac:dyDescent="0.25">
      <c r="B46" s="2">
        <v>1</v>
      </c>
      <c r="C46" s="2">
        <f>C44+1</f>
        <v>42</v>
      </c>
      <c r="D46" s="2" t="s">
        <v>173</v>
      </c>
      <c r="E46" s="4"/>
      <c r="F46" s="4">
        <v>145000</v>
      </c>
      <c r="G46" s="3"/>
      <c r="H46" s="5">
        <f>E46/F46</f>
        <v>0</v>
      </c>
      <c r="J46" s="4"/>
    </row>
    <row r="47" spans="1:10" x14ac:dyDescent="0.25">
      <c r="B47" s="2">
        <f>B46+1</f>
        <v>2</v>
      </c>
      <c r="C47" s="2">
        <f t="shared" ref="C47:C48" si="4">C46+1</f>
        <v>43</v>
      </c>
      <c r="D47" s="2" t="s">
        <v>174</v>
      </c>
      <c r="E47" s="4"/>
      <c r="F47" s="4">
        <v>145000</v>
      </c>
      <c r="G47" s="3"/>
      <c r="H47" s="5">
        <f t="shared" ref="H47:H48" si="5">E47/F47</f>
        <v>0</v>
      </c>
      <c r="J47" s="4"/>
    </row>
    <row r="48" spans="1:10" x14ac:dyDescent="0.25">
      <c r="B48" s="2">
        <f t="shared" ref="B48" si="6">B47+1</f>
        <v>3</v>
      </c>
      <c r="C48" s="2">
        <f t="shared" si="4"/>
        <v>44</v>
      </c>
      <c r="D48" s="2" t="s">
        <v>175</v>
      </c>
      <c r="E48" s="4"/>
      <c r="F48" s="4">
        <v>145000</v>
      </c>
      <c r="G48" s="3"/>
      <c r="H48" s="5">
        <f t="shared" si="5"/>
        <v>0</v>
      </c>
      <c r="J48" s="4"/>
    </row>
    <row r="49" spans="1:28" x14ac:dyDescent="0.25">
      <c r="A49" s="1">
        <v>3</v>
      </c>
      <c r="B49" s="1" t="s">
        <v>25</v>
      </c>
      <c r="C49" s="1"/>
    </row>
    <row r="50" spans="1:28" x14ac:dyDescent="0.25">
      <c r="B50" s="2">
        <v>1</v>
      </c>
      <c r="C50" s="2">
        <f>C48+1</f>
        <v>45</v>
      </c>
      <c r="D50" s="59" t="s">
        <v>131</v>
      </c>
      <c r="E50" s="4"/>
      <c r="F50" s="4">
        <v>8000</v>
      </c>
      <c r="G50" s="3"/>
      <c r="H50" s="5">
        <f>E50/F50</f>
        <v>0</v>
      </c>
      <c r="J50" s="4"/>
    </row>
    <row r="51" spans="1:28" x14ac:dyDescent="0.25">
      <c r="B51" s="2">
        <f>B50+1</f>
        <v>2</v>
      </c>
      <c r="C51" s="2">
        <f t="shared" ref="C51:C99" si="7">C50+1</f>
        <v>46</v>
      </c>
      <c r="D51" s="59" t="s">
        <v>132</v>
      </c>
      <c r="E51" s="4"/>
      <c r="F51" s="4">
        <v>15000</v>
      </c>
      <c r="G51" s="3"/>
      <c r="H51" s="5">
        <f t="shared" ref="H51:H99" si="8">E51/F51</f>
        <v>0</v>
      </c>
      <c r="J51" s="4"/>
    </row>
    <row r="52" spans="1:28" x14ac:dyDescent="0.25">
      <c r="B52" s="2">
        <f t="shared" ref="B52:B99" si="9">B51+1</f>
        <v>3</v>
      </c>
      <c r="C52" s="2">
        <f t="shared" si="7"/>
        <v>47</v>
      </c>
      <c r="D52" s="59" t="s">
        <v>133</v>
      </c>
      <c r="E52" s="4"/>
      <c r="F52" s="4">
        <v>15000</v>
      </c>
      <c r="G52" s="3"/>
      <c r="H52" s="5">
        <f t="shared" si="8"/>
        <v>0</v>
      </c>
      <c r="J52" s="4"/>
    </row>
    <row r="53" spans="1:28" x14ac:dyDescent="0.25">
      <c r="B53" s="2">
        <f t="shared" si="9"/>
        <v>4</v>
      </c>
      <c r="C53" s="2">
        <f t="shared" si="7"/>
        <v>48</v>
      </c>
      <c r="D53" s="59" t="s">
        <v>134</v>
      </c>
      <c r="E53" s="4"/>
      <c r="F53" s="4">
        <v>15000</v>
      </c>
      <c r="G53" s="3"/>
      <c r="H53" s="5">
        <f t="shared" si="8"/>
        <v>0</v>
      </c>
      <c r="J53" s="4"/>
    </row>
    <row r="54" spans="1:28" x14ac:dyDescent="0.25">
      <c r="B54" s="2">
        <f t="shared" si="9"/>
        <v>5</v>
      </c>
      <c r="C54" s="2">
        <f t="shared" si="7"/>
        <v>49</v>
      </c>
      <c r="D54" s="59" t="s">
        <v>135</v>
      </c>
      <c r="E54" s="4"/>
      <c r="F54" s="4">
        <v>15000</v>
      </c>
      <c r="G54" s="3"/>
      <c r="H54" s="5">
        <f t="shared" si="8"/>
        <v>0</v>
      </c>
      <c r="J54" s="4"/>
      <c r="AB54">
        <v>20</v>
      </c>
    </row>
    <row r="55" spans="1:28" x14ac:dyDescent="0.25">
      <c r="B55" s="2">
        <f t="shared" si="9"/>
        <v>6</v>
      </c>
      <c r="C55" s="2">
        <f t="shared" si="7"/>
        <v>50</v>
      </c>
      <c r="D55" s="59" t="s">
        <v>136</v>
      </c>
      <c r="E55" s="4"/>
      <c r="F55" s="4">
        <v>15000</v>
      </c>
      <c r="G55" s="3"/>
      <c r="H55" s="5">
        <f t="shared" si="8"/>
        <v>0</v>
      </c>
      <c r="J55" s="4"/>
    </row>
    <row r="56" spans="1:28" x14ac:dyDescent="0.25">
      <c r="B56" s="2">
        <f t="shared" si="9"/>
        <v>7</v>
      </c>
      <c r="C56" s="2">
        <f t="shared" si="7"/>
        <v>51</v>
      </c>
      <c r="D56" s="59" t="s">
        <v>26</v>
      </c>
      <c r="E56" s="4"/>
      <c r="F56" s="4">
        <v>15000</v>
      </c>
      <c r="G56" s="3"/>
      <c r="H56" s="5">
        <f t="shared" si="8"/>
        <v>0</v>
      </c>
      <c r="J56" s="4"/>
    </row>
    <row r="57" spans="1:28" x14ac:dyDescent="0.25">
      <c r="B57" s="2">
        <f t="shared" si="9"/>
        <v>8</v>
      </c>
      <c r="C57" s="2">
        <f t="shared" si="7"/>
        <v>52</v>
      </c>
      <c r="D57" s="59" t="s">
        <v>137</v>
      </c>
      <c r="E57" s="4"/>
      <c r="F57" s="4">
        <v>15000</v>
      </c>
      <c r="G57" s="3"/>
      <c r="H57" s="5">
        <f t="shared" si="8"/>
        <v>0</v>
      </c>
      <c r="J57" s="4"/>
    </row>
    <row r="58" spans="1:28" x14ac:dyDescent="0.25">
      <c r="B58" s="2">
        <f t="shared" si="9"/>
        <v>9</v>
      </c>
      <c r="C58" s="2">
        <f t="shared" si="7"/>
        <v>53</v>
      </c>
      <c r="D58" s="59" t="s">
        <v>138</v>
      </c>
      <c r="E58" s="4"/>
      <c r="F58" s="4">
        <v>15000</v>
      </c>
      <c r="G58" s="3"/>
      <c r="H58" s="5">
        <f t="shared" si="8"/>
        <v>0</v>
      </c>
      <c r="J58" s="4"/>
    </row>
    <row r="59" spans="1:28" x14ac:dyDescent="0.25">
      <c r="B59" s="2">
        <f t="shared" si="9"/>
        <v>10</v>
      </c>
      <c r="C59" s="2">
        <f t="shared" si="7"/>
        <v>54</v>
      </c>
      <c r="D59" s="59" t="s">
        <v>139</v>
      </c>
      <c r="E59" s="4"/>
      <c r="F59" s="4">
        <v>20000</v>
      </c>
      <c r="G59" s="3"/>
      <c r="H59" s="5">
        <f t="shared" si="8"/>
        <v>0</v>
      </c>
      <c r="J59" s="4"/>
      <c r="AB59">
        <v>21</v>
      </c>
    </row>
    <row r="60" spans="1:28" x14ac:dyDescent="0.25">
      <c r="B60" s="2">
        <f t="shared" si="9"/>
        <v>11</v>
      </c>
      <c r="C60" s="2">
        <f t="shared" si="7"/>
        <v>55</v>
      </c>
      <c r="D60" s="59" t="s">
        <v>140</v>
      </c>
      <c r="E60" s="4"/>
      <c r="F60" s="4">
        <v>25000</v>
      </c>
      <c r="G60" s="3"/>
      <c r="H60" s="5">
        <f t="shared" si="8"/>
        <v>0</v>
      </c>
      <c r="J60" s="4"/>
    </row>
    <row r="61" spans="1:28" x14ac:dyDescent="0.25">
      <c r="B61" s="2">
        <f t="shared" si="9"/>
        <v>12</v>
      </c>
      <c r="C61" s="2">
        <f t="shared" si="7"/>
        <v>56</v>
      </c>
      <c r="D61" s="59" t="s">
        <v>141</v>
      </c>
      <c r="E61" s="4"/>
      <c r="F61" s="4">
        <v>20000</v>
      </c>
      <c r="G61" s="3"/>
      <c r="H61" s="5">
        <f t="shared" si="8"/>
        <v>0</v>
      </c>
      <c r="J61" s="4"/>
    </row>
    <row r="62" spans="1:28" x14ac:dyDescent="0.25">
      <c r="B62" s="2">
        <f t="shared" si="9"/>
        <v>13</v>
      </c>
      <c r="C62" s="49">
        <f t="shared" si="7"/>
        <v>57</v>
      </c>
      <c r="D62" s="59" t="s">
        <v>142</v>
      </c>
      <c r="E62" s="4"/>
      <c r="F62" s="4">
        <v>29000</v>
      </c>
      <c r="G62" s="3"/>
      <c r="H62" s="5">
        <f t="shared" si="8"/>
        <v>0</v>
      </c>
      <c r="J62" s="4"/>
    </row>
    <row r="63" spans="1:28" x14ac:dyDescent="0.25">
      <c r="B63" s="2">
        <f t="shared" si="9"/>
        <v>14</v>
      </c>
      <c r="C63" s="2">
        <f t="shared" si="7"/>
        <v>58</v>
      </c>
      <c r="D63" s="59" t="s">
        <v>143</v>
      </c>
      <c r="E63" s="4"/>
      <c r="F63" s="4">
        <v>29000</v>
      </c>
      <c r="G63" s="3"/>
      <c r="H63" s="5">
        <f t="shared" si="8"/>
        <v>0</v>
      </c>
      <c r="J63" s="4"/>
    </row>
    <row r="64" spans="1:28" x14ac:dyDescent="0.25">
      <c r="B64" s="2">
        <f t="shared" si="9"/>
        <v>15</v>
      </c>
      <c r="C64" s="2">
        <f t="shared" si="7"/>
        <v>59</v>
      </c>
      <c r="D64" s="59" t="s">
        <v>144</v>
      </c>
      <c r="E64" s="4"/>
      <c r="F64" s="4">
        <v>27500</v>
      </c>
      <c r="G64" s="3"/>
      <c r="H64" s="5">
        <f t="shared" si="8"/>
        <v>0</v>
      </c>
      <c r="J64" s="4"/>
    </row>
    <row r="65" spans="2:10" x14ac:dyDescent="0.25">
      <c r="B65" s="2">
        <f t="shared" si="9"/>
        <v>16</v>
      </c>
      <c r="C65" s="2">
        <f t="shared" si="7"/>
        <v>60</v>
      </c>
      <c r="D65" s="59" t="s">
        <v>129</v>
      </c>
      <c r="E65" s="4"/>
      <c r="F65" s="4">
        <v>30000</v>
      </c>
      <c r="G65" s="3"/>
      <c r="H65" s="5">
        <f t="shared" si="8"/>
        <v>0</v>
      </c>
      <c r="J65" s="4"/>
    </row>
    <row r="66" spans="2:10" x14ac:dyDescent="0.25">
      <c r="B66" s="2">
        <f>B65+1</f>
        <v>17</v>
      </c>
      <c r="C66" s="2">
        <f>C65+1</f>
        <v>61</v>
      </c>
      <c r="D66" s="59" t="s">
        <v>130</v>
      </c>
      <c r="E66" s="4"/>
      <c r="F66" s="4">
        <v>30000</v>
      </c>
      <c r="G66" s="3"/>
      <c r="H66" s="5">
        <f t="shared" si="8"/>
        <v>0</v>
      </c>
      <c r="J66" s="4"/>
    </row>
    <row r="67" spans="2:10" x14ac:dyDescent="0.25">
      <c r="B67" s="2">
        <f t="shared" si="9"/>
        <v>18</v>
      </c>
      <c r="C67" s="2">
        <f t="shared" si="7"/>
        <v>62</v>
      </c>
      <c r="D67" s="59" t="s">
        <v>145</v>
      </c>
      <c r="E67" s="4"/>
      <c r="F67" s="4">
        <v>35000</v>
      </c>
      <c r="G67" s="3"/>
      <c r="H67" s="5">
        <f t="shared" si="8"/>
        <v>0</v>
      </c>
      <c r="J67" s="4"/>
    </row>
    <row r="68" spans="2:10" x14ac:dyDescent="0.25">
      <c r="B68" s="2">
        <f t="shared" si="9"/>
        <v>19</v>
      </c>
      <c r="C68" s="2">
        <f t="shared" si="7"/>
        <v>63</v>
      </c>
      <c r="D68" s="59" t="s">
        <v>146</v>
      </c>
      <c r="E68" s="4"/>
      <c r="F68" s="4">
        <v>35000</v>
      </c>
      <c r="G68" s="3"/>
      <c r="H68" s="5">
        <f t="shared" si="8"/>
        <v>0</v>
      </c>
      <c r="J68" s="4"/>
    </row>
    <row r="69" spans="2:10" x14ac:dyDescent="0.25">
      <c r="B69" s="2">
        <f t="shared" si="9"/>
        <v>20</v>
      </c>
      <c r="C69" s="2">
        <f t="shared" si="7"/>
        <v>64</v>
      </c>
      <c r="D69" s="59" t="s">
        <v>147</v>
      </c>
      <c r="E69" s="4"/>
      <c r="F69" s="4">
        <v>35000</v>
      </c>
      <c r="G69" s="3"/>
      <c r="H69" s="5">
        <f t="shared" si="8"/>
        <v>0</v>
      </c>
      <c r="J69" s="4"/>
    </row>
    <row r="70" spans="2:10" x14ac:dyDescent="0.25">
      <c r="B70" s="2">
        <f t="shared" si="9"/>
        <v>21</v>
      </c>
      <c r="C70" s="2">
        <f t="shared" si="7"/>
        <v>65</v>
      </c>
      <c r="D70" s="59" t="s">
        <v>148</v>
      </c>
      <c r="E70" s="4"/>
      <c r="F70" s="4">
        <v>35000</v>
      </c>
      <c r="G70" s="3"/>
      <c r="H70" s="5">
        <f t="shared" si="8"/>
        <v>0</v>
      </c>
      <c r="J70" s="4"/>
    </row>
    <row r="71" spans="2:10" x14ac:dyDescent="0.25">
      <c r="B71" s="2">
        <f t="shared" si="9"/>
        <v>22</v>
      </c>
      <c r="C71" s="2">
        <f t="shared" si="7"/>
        <v>66</v>
      </c>
      <c r="D71" s="59" t="s">
        <v>149</v>
      </c>
      <c r="E71" s="4"/>
      <c r="F71" s="4">
        <v>35000</v>
      </c>
      <c r="G71" s="3"/>
      <c r="H71" s="5">
        <f t="shared" si="8"/>
        <v>0</v>
      </c>
      <c r="J71" s="4"/>
    </row>
    <row r="72" spans="2:10" x14ac:dyDescent="0.25">
      <c r="B72" s="2">
        <f t="shared" si="9"/>
        <v>23</v>
      </c>
      <c r="C72" s="2">
        <f t="shared" si="7"/>
        <v>67</v>
      </c>
      <c r="D72" s="59" t="s">
        <v>150</v>
      </c>
      <c r="E72" s="4"/>
      <c r="F72" s="4">
        <v>35000</v>
      </c>
      <c r="G72" s="3"/>
      <c r="H72" s="5">
        <f t="shared" si="8"/>
        <v>0</v>
      </c>
      <c r="J72" s="4"/>
    </row>
    <row r="73" spans="2:10" x14ac:dyDescent="0.25">
      <c r="B73" s="2">
        <f t="shared" si="9"/>
        <v>24</v>
      </c>
      <c r="C73" s="2">
        <f t="shared" si="7"/>
        <v>68</v>
      </c>
      <c r="D73" s="59" t="s">
        <v>128</v>
      </c>
      <c r="E73" s="4"/>
      <c r="F73" s="4">
        <v>35000</v>
      </c>
      <c r="G73" s="3"/>
      <c r="H73" s="5">
        <f t="shared" si="8"/>
        <v>0</v>
      </c>
      <c r="J73" s="4"/>
    </row>
    <row r="74" spans="2:10" x14ac:dyDescent="0.25">
      <c r="B74" s="2">
        <f t="shared" si="9"/>
        <v>25</v>
      </c>
      <c r="C74" s="2">
        <f t="shared" si="7"/>
        <v>69</v>
      </c>
      <c r="D74" s="59" t="s">
        <v>151</v>
      </c>
      <c r="E74" s="4"/>
      <c r="F74" s="4">
        <v>38000</v>
      </c>
      <c r="G74" s="3"/>
      <c r="H74" s="5">
        <f t="shared" si="8"/>
        <v>0</v>
      </c>
      <c r="J74" s="4"/>
    </row>
    <row r="75" spans="2:10" x14ac:dyDescent="0.25">
      <c r="B75" s="2">
        <f t="shared" si="9"/>
        <v>26</v>
      </c>
      <c r="C75" s="2">
        <f t="shared" si="7"/>
        <v>70</v>
      </c>
      <c r="D75" s="59" t="s">
        <v>152</v>
      </c>
      <c r="E75" s="4"/>
      <c r="F75" s="4">
        <v>40000</v>
      </c>
      <c r="G75" s="3"/>
      <c r="H75" s="5">
        <f t="shared" si="8"/>
        <v>0</v>
      </c>
      <c r="J75" s="4"/>
    </row>
    <row r="76" spans="2:10" x14ac:dyDescent="0.25">
      <c r="B76" s="2">
        <f t="shared" si="9"/>
        <v>27</v>
      </c>
      <c r="C76" s="2">
        <f t="shared" si="7"/>
        <v>71</v>
      </c>
      <c r="D76" s="59" t="s">
        <v>153</v>
      </c>
      <c r="E76" s="4"/>
      <c r="F76" s="4">
        <v>42000</v>
      </c>
      <c r="G76" s="3"/>
      <c r="H76" s="5">
        <f t="shared" si="8"/>
        <v>0</v>
      </c>
      <c r="J76" s="4"/>
    </row>
    <row r="77" spans="2:10" x14ac:dyDescent="0.25">
      <c r="B77" s="2">
        <f t="shared" si="9"/>
        <v>28</v>
      </c>
      <c r="C77" s="2">
        <f t="shared" si="7"/>
        <v>72</v>
      </c>
      <c r="D77" s="59" t="s">
        <v>154</v>
      </c>
      <c r="E77" s="4"/>
      <c r="F77" s="4">
        <v>45000</v>
      </c>
      <c r="G77" s="3"/>
      <c r="H77" s="5">
        <f t="shared" si="8"/>
        <v>0</v>
      </c>
      <c r="J77" s="4"/>
    </row>
    <row r="78" spans="2:10" x14ac:dyDescent="0.25">
      <c r="B78" s="2">
        <f t="shared" si="9"/>
        <v>29</v>
      </c>
      <c r="C78" s="2">
        <f t="shared" si="7"/>
        <v>73</v>
      </c>
      <c r="D78" s="59" t="s">
        <v>126</v>
      </c>
      <c r="E78" s="4"/>
      <c r="F78" s="4">
        <v>40000</v>
      </c>
      <c r="G78" s="3"/>
      <c r="H78" s="5">
        <f t="shared" si="8"/>
        <v>0</v>
      </c>
      <c r="J78" s="4"/>
    </row>
    <row r="79" spans="2:10" x14ac:dyDescent="0.25">
      <c r="B79" s="2">
        <f t="shared" si="9"/>
        <v>30</v>
      </c>
      <c r="C79" s="2">
        <f t="shared" si="7"/>
        <v>74</v>
      </c>
      <c r="D79" s="59" t="s">
        <v>155</v>
      </c>
      <c r="E79" s="4"/>
      <c r="F79" s="4">
        <v>45000</v>
      </c>
      <c r="G79" s="3"/>
      <c r="H79" s="5">
        <f t="shared" si="8"/>
        <v>0</v>
      </c>
      <c r="J79" s="4"/>
    </row>
    <row r="80" spans="2:10" x14ac:dyDescent="0.25">
      <c r="B80" s="2">
        <f t="shared" si="9"/>
        <v>31</v>
      </c>
      <c r="C80" s="2">
        <f t="shared" si="7"/>
        <v>75</v>
      </c>
      <c r="D80" s="59" t="s">
        <v>156</v>
      </c>
      <c r="E80" s="4"/>
      <c r="F80" s="4">
        <v>60000</v>
      </c>
      <c r="G80" s="3"/>
      <c r="H80" s="5">
        <f t="shared" si="8"/>
        <v>0</v>
      </c>
      <c r="J80" s="4"/>
    </row>
    <row r="81" spans="2:10" x14ac:dyDescent="0.25">
      <c r="B81" s="2">
        <f t="shared" si="9"/>
        <v>32</v>
      </c>
      <c r="C81" s="2">
        <f t="shared" si="7"/>
        <v>76</v>
      </c>
      <c r="D81" s="59" t="s">
        <v>157</v>
      </c>
      <c r="E81" s="4"/>
      <c r="F81" s="4">
        <v>60000</v>
      </c>
      <c r="G81" s="3"/>
      <c r="H81" s="5">
        <f t="shared" si="8"/>
        <v>0</v>
      </c>
      <c r="J81" s="4"/>
    </row>
    <row r="82" spans="2:10" x14ac:dyDescent="0.25">
      <c r="B82" s="2">
        <f t="shared" si="9"/>
        <v>33</v>
      </c>
      <c r="C82" s="2">
        <f t="shared" si="7"/>
        <v>77</v>
      </c>
      <c r="D82" s="59" t="s">
        <v>158</v>
      </c>
      <c r="E82" s="4"/>
      <c r="F82" s="4">
        <v>70000</v>
      </c>
      <c r="G82" s="3"/>
      <c r="H82" s="5">
        <f t="shared" si="8"/>
        <v>0</v>
      </c>
      <c r="J82" s="4"/>
    </row>
    <row r="83" spans="2:10" x14ac:dyDescent="0.25">
      <c r="B83" s="2">
        <f t="shared" si="9"/>
        <v>34</v>
      </c>
      <c r="C83" s="2">
        <f t="shared" si="7"/>
        <v>78</v>
      </c>
      <c r="D83" s="59" t="s">
        <v>159</v>
      </c>
      <c r="E83" s="4"/>
      <c r="F83" s="4">
        <v>75000</v>
      </c>
      <c r="G83" s="3"/>
      <c r="H83" s="5">
        <f t="shared" si="8"/>
        <v>0</v>
      </c>
      <c r="J83" s="4"/>
    </row>
    <row r="84" spans="2:10" x14ac:dyDescent="0.25">
      <c r="B84" s="2">
        <f t="shared" si="9"/>
        <v>35</v>
      </c>
      <c r="C84" s="2">
        <f t="shared" si="7"/>
        <v>79</v>
      </c>
      <c r="D84" s="59" t="s">
        <v>160</v>
      </c>
      <c r="E84" s="4"/>
      <c r="F84" s="4">
        <v>80000</v>
      </c>
      <c r="G84" s="3"/>
      <c r="H84" s="5">
        <f t="shared" si="8"/>
        <v>0</v>
      </c>
      <c r="J84" s="4"/>
    </row>
    <row r="85" spans="2:10" x14ac:dyDescent="0.25">
      <c r="B85" s="2">
        <f t="shared" si="9"/>
        <v>36</v>
      </c>
      <c r="C85" s="2">
        <f t="shared" si="7"/>
        <v>80</v>
      </c>
      <c r="D85" s="59" t="s">
        <v>161</v>
      </c>
      <c r="E85" s="4"/>
      <c r="F85" s="4">
        <v>80000</v>
      </c>
      <c r="G85" s="3"/>
      <c r="H85" s="5">
        <f t="shared" si="8"/>
        <v>0</v>
      </c>
      <c r="J85" s="4"/>
    </row>
    <row r="86" spans="2:10" x14ac:dyDescent="0.25">
      <c r="B86" s="2">
        <f t="shared" si="9"/>
        <v>37</v>
      </c>
      <c r="C86" s="2">
        <f t="shared" si="7"/>
        <v>81</v>
      </c>
      <c r="D86" s="59" t="s">
        <v>162</v>
      </c>
      <c r="E86" s="4"/>
      <c r="F86" s="4">
        <v>160000</v>
      </c>
      <c r="G86" s="3"/>
      <c r="H86" s="5">
        <f t="shared" si="8"/>
        <v>0</v>
      </c>
      <c r="J86" s="4"/>
    </row>
    <row r="87" spans="2:10" x14ac:dyDescent="0.25">
      <c r="B87" s="2">
        <f t="shared" si="9"/>
        <v>38</v>
      </c>
      <c r="C87" s="2">
        <f t="shared" si="7"/>
        <v>82</v>
      </c>
      <c r="D87" s="59" t="s">
        <v>163</v>
      </c>
      <c r="E87" s="4"/>
      <c r="F87" s="4">
        <v>160000</v>
      </c>
      <c r="G87" s="3"/>
      <c r="H87" s="5">
        <f t="shared" si="8"/>
        <v>0</v>
      </c>
      <c r="J87" s="4"/>
    </row>
    <row r="88" spans="2:10" x14ac:dyDescent="0.25">
      <c r="B88" s="2">
        <f t="shared" si="9"/>
        <v>39</v>
      </c>
      <c r="C88" s="2">
        <f t="shared" si="7"/>
        <v>83</v>
      </c>
      <c r="D88" s="59" t="s">
        <v>164</v>
      </c>
      <c r="E88" s="4"/>
      <c r="F88" s="4">
        <v>160000</v>
      </c>
      <c r="G88" s="3"/>
      <c r="H88" s="5">
        <f t="shared" si="8"/>
        <v>0</v>
      </c>
      <c r="J88" s="4"/>
    </row>
    <row r="89" spans="2:10" x14ac:dyDescent="0.25">
      <c r="B89" s="2">
        <f t="shared" si="9"/>
        <v>40</v>
      </c>
      <c r="C89" s="2">
        <f t="shared" si="7"/>
        <v>84</v>
      </c>
      <c r="D89" s="59" t="s">
        <v>165</v>
      </c>
      <c r="E89" s="4"/>
      <c r="F89" s="4">
        <v>155000</v>
      </c>
      <c r="G89" s="3"/>
      <c r="H89" s="5">
        <f t="shared" si="8"/>
        <v>0</v>
      </c>
      <c r="J89" s="4"/>
    </row>
    <row r="90" spans="2:10" x14ac:dyDescent="0.25">
      <c r="B90" s="2">
        <f t="shared" si="9"/>
        <v>41</v>
      </c>
      <c r="C90" s="2">
        <f t="shared" si="7"/>
        <v>85</v>
      </c>
      <c r="D90" s="59" t="s">
        <v>166</v>
      </c>
      <c r="E90" s="4"/>
      <c r="F90" s="4">
        <v>170000</v>
      </c>
      <c r="G90" s="3"/>
      <c r="H90" s="5">
        <f t="shared" si="8"/>
        <v>0</v>
      </c>
      <c r="J90" s="4"/>
    </row>
    <row r="91" spans="2:10" x14ac:dyDescent="0.25">
      <c r="B91" s="2">
        <f t="shared" si="9"/>
        <v>42</v>
      </c>
      <c r="C91" s="2">
        <f t="shared" si="7"/>
        <v>86</v>
      </c>
      <c r="D91" s="59" t="s">
        <v>167</v>
      </c>
      <c r="E91" s="4"/>
      <c r="F91" s="4">
        <v>125000</v>
      </c>
      <c r="G91" s="3"/>
      <c r="H91" s="5">
        <f t="shared" si="8"/>
        <v>0</v>
      </c>
      <c r="J91" s="4"/>
    </row>
    <row r="92" spans="2:10" x14ac:dyDescent="0.25">
      <c r="B92" s="2">
        <f t="shared" si="9"/>
        <v>43</v>
      </c>
      <c r="C92" s="2">
        <f t="shared" si="7"/>
        <v>87</v>
      </c>
      <c r="D92" s="59" t="s">
        <v>168</v>
      </c>
      <c r="E92" s="4"/>
      <c r="F92" s="4">
        <v>125000</v>
      </c>
      <c r="G92" s="3"/>
      <c r="H92" s="5">
        <f t="shared" si="8"/>
        <v>0</v>
      </c>
      <c r="J92" s="4"/>
    </row>
    <row r="93" spans="2:10" x14ac:dyDescent="0.25">
      <c r="B93" s="2">
        <f t="shared" si="9"/>
        <v>44</v>
      </c>
      <c r="C93" s="2">
        <f t="shared" si="7"/>
        <v>88</v>
      </c>
      <c r="D93" s="59" t="s">
        <v>169</v>
      </c>
      <c r="E93" s="4"/>
      <c r="F93" s="4">
        <v>125000</v>
      </c>
      <c r="G93" s="3"/>
      <c r="H93" s="5">
        <f t="shared" si="8"/>
        <v>0</v>
      </c>
      <c r="J93" s="4"/>
    </row>
    <row r="94" spans="2:10" x14ac:dyDescent="0.25">
      <c r="B94" s="2">
        <f t="shared" si="9"/>
        <v>45</v>
      </c>
      <c r="C94" s="2">
        <f t="shared" si="7"/>
        <v>89</v>
      </c>
      <c r="D94" s="59" t="s">
        <v>127</v>
      </c>
      <c r="E94" s="4"/>
      <c r="F94" s="4">
        <v>110000</v>
      </c>
      <c r="G94" s="3"/>
      <c r="H94" s="5">
        <f t="shared" si="8"/>
        <v>0</v>
      </c>
      <c r="J94" s="4"/>
    </row>
    <row r="95" spans="2:10" x14ac:dyDescent="0.25">
      <c r="B95" s="2">
        <f t="shared" si="9"/>
        <v>46</v>
      </c>
      <c r="C95" s="2">
        <f t="shared" si="7"/>
        <v>90</v>
      </c>
      <c r="D95" s="59" t="s">
        <v>170</v>
      </c>
      <c r="E95" s="4"/>
      <c r="F95" s="4">
        <v>125000</v>
      </c>
      <c r="G95" s="3"/>
      <c r="H95" s="5">
        <f t="shared" si="8"/>
        <v>0</v>
      </c>
      <c r="J95" s="4"/>
    </row>
    <row r="96" spans="2:10" x14ac:dyDescent="0.25">
      <c r="B96" s="2">
        <f t="shared" si="9"/>
        <v>47</v>
      </c>
      <c r="C96" s="2">
        <f t="shared" si="7"/>
        <v>91</v>
      </c>
      <c r="D96" s="59" t="s">
        <v>171</v>
      </c>
      <c r="E96" s="4"/>
      <c r="F96" s="4">
        <v>160000</v>
      </c>
      <c r="G96" s="3"/>
      <c r="H96" s="5">
        <f t="shared" si="8"/>
        <v>0</v>
      </c>
      <c r="J96" s="4"/>
    </row>
    <row r="97" spans="1:38" x14ac:dyDescent="0.25">
      <c r="B97" s="2">
        <f t="shared" si="9"/>
        <v>48</v>
      </c>
      <c r="C97" s="2">
        <f t="shared" si="7"/>
        <v>92</v>
      </c>
      <c r="D97" s="59" t="s">
        <v>172</v>
      </c>
      <c r="E97" s="4"/>
      <c r="F97" s="4">
        <v>175000</v>
      </c>
      <c r="G97" s="3"/>
      <c r="H97" s="5">
        <f t="shared" si="8"/>
        <v>0</v>
      </c>
      <c r="J97" s="4"/>
    </row>
    <row r="98" spans="1:38" x14ac:dyDescent="0.25">
      <c r="B98" s="2">
        <f t="shared" si="9"/>
        <v>49</v>
      </c>
      <c r="C98" s="2">
        <f t="shared" si="7"/>
        <v>93</v>
      </c>
      <c r="D98" s="59"/>
      <c r="E98" s="4"/>
      <c r="F98" s="4"/>
      <c r="G98" s="3"/>
      <c r="H98" s="5" t="e">
        <f t="shared" si="8"/>
        <v>#DIV/0!</v>
      </c>
      <c r="J98" s="4"/>
    </row>
    <row r="99" spans="1:38" x14ac:dyDescent="0.25">
      <c r="B99" s="2">
        <f t="shared" si="9"/>
        <v>50</v>
      </c>
      <c r="C99" s="2">
        <f t="shared" si="7"/>
        <v>94</v>
      </c>
      <c r="D99" s="59"/>
      <c r="E99" s="4"/>
      <c r="F99" s="4"/>
      <c r="G99" s="3"/>
      <c r="H99" s="5" t="e">
        <f t="shared" si="8"/>
        <v>#DIV/0!</v>
      </c>
      <c r="J99" s="4"/>
    </row>
    <row r="100" spans="1:38" x14ac:dyDescent="0.25">
      <c r="A100" s="1">
        <v>4</v>
      </c>
      <c r="B100" s="1" t="s">
        <v>27</v>
      </c>
      <c r="C100" s="1"/>
    </row>
    <row r="101" spans="1:38" x14ac:dyDescent="0.25">
      <c r="B101" s="2">
        <v>1</v>
      </c>
      <c r="C101" s="2">
        <f>C99+1</f>
        <v>95</v>
      </c>
      <c r="D101" s="2" t="s">
        <v>117</v>
      </c>
      <c r="E101" s="4"/>
      <c r="F101" s="4">
        <v>75000</v>
      </c>
      <c r="G101" s="3"/>
      <c r="H101" s="5">
        <f>E101/F101</f>
        <v>0</v>
      </c>
      <c r="J101" s="4"/>
    </row>
    <row r="102" spans="1:38" x14ac:dyDescent="0.25">
      <c r="B102" s="2">
        <f>B101+1</f>
        <v>2</v>
      </c>
      <c r="C102" s="2">
        <f t="shared" ref="C102:C163" si="10">C101+1</f>
        <v>96</v>
      </c>
      <c r="D102" s="2" t="s">
        <v>118</v>
      </c>
      <c r="E102" s="4"/>
      <c r="F102" s="4">
        <v>75000</v>
      </c>
      <c r="G102" s="3"/>
      <c r="H102" s="5">
        <f>E102/F102</f>
        <v>0</v>
      </c>
      <c r="J102" s="4"/>
    </row>
    <row r="103" spans="1:38" x14ac:dyDescent="0.25">
      <c r="B103" s="2">
        <f t="shared" ref="B103:B163" si="11">B102+1</f>
        <v>3</v>
      </c>
      <c r="C103" s="2">
        <f t="shared" si="10"/>
        <v>97</v>
      </c>
      <c r="D103" s="2" t="s">
        <v>119</v>
      </c>
      <c r="E103" s="4"/>
      <c r="F103" s="4">
        <v>75000</v>
      </c>
      <c r="G103" s="3"/>
      <c r="H103" s="5">
        <f t="shared" ref="H103:H163" si="12">E103/F103</f>
        <v>0</v>
      </c>
      <c r="J103" s="4"/>
    </row>
    <row r="104" spans="1:38" x14ac:dyDescent="0.25">
      <c r="B104" s="2">
        <f t="shared" si="11"/>
        <v>4</v>
      </c>
      <c r="C104" s="2">
        <f t="shared" si="10"/>
        <v>98</v>
      </c>
      <c r="D104" s="2" t="s">
        <v>120</v>
      </c>
      <c r="E104" s="4"/>
      <c r="F104" s="4">
        <v>55000</v>
      </c>
      <c r="G104" s="3"/>
      <c r="H104" s="5">
        <f t="shared" si="12"/>
        <v>0</v>
      </c>
      <c r="J104" s="4"/>
    </row>
    <row r="105" spans="1:38" x14ac:dyDescent="0.25">
      <c r="B105" s="2">
        <f t="shared" si="11"/>
        <v>5</v>
      </c>
      <c r="C105" s="2">
        <f t="shared" si="10"/>
        <v>99</v>
      </c>
      <c r="D105" s="2" t="s">
        <v>121</v>
      </c>
      <c r="E105" s="4"/>
      <c r="F105" s="4">
        <v>55000</v>
      </c>
      <c r="G105" s="3"/>
      <c r="H105" s="5">
        <f t="shared" si="12"/>
        <v>0</v>
      </c>
      <c r="J105" s="4"/>
    </row>
    <row r="106" spans="1:38" x14ac:dyDescent="0.25">
      <c r="B106" s="2">
        <f t="shared" si="11"/>
        <v>6</v>
      </c>
      <c r="C106" s="2">
        <f t="shared" si="10"/>
        <v>100</v>
      </c>
      <c r="D106" s="2" t="s">
        <v>122</v>
      </c>
      <c r="E106" s="4"/>
      <c r="F106" s="4">
        <v>55000</v>
      </c>
      <c r="G106" s="3"/>
      <c r="H106" s="5">
        <f t="shared" si="12"/>
        <v>0</v>
      </c>
      <c r="J106" s="4"/>
    </row>
    <row r="107" spans="1:38" x14ac:dyDescent="0.25">
      <c r="B107" s="2">
        <f t="shared" si="11"/>
        <v>7</v>
      </c>
      <c r="C107" s="2">
        <f t="shared" si="10"/>
        <v>101</v>
      </c>
      <c r="D107" s="2" t="s">
        <v>123</v>
      </c>
      <c r="E107" s="4"/>
      <c r="F107" s="4">
        <v>55000</v>
      </c>
      <c r="G107" s="3"/>
      <c r="H107" s="5">
        <f t="shared" si="12"/>
        <v>0</v>
      </c>
      <c r="J107" s="4"/>
    </row>
    <row r="108" spans="1:38" x14ac:dyDescent="0.25">
      <c r="B108" s="2">
        <f t="shared" si="11"/>
        <v>8</v>
      </c>
      <c r="C108" s="2">
        <f t="shared" si="10"/>
        <v>102</v>
      </c>
      <c r="D108" s="2" t="s">
        <v>124</v>
      </c>
      <c r="E108" s="4"/>
      <c r="F108" s="4">
        <v>55000</v>
      </c>
      <c r="G108" s="3"/>
      <c r="H108" s="5">
        <f t="shared" si="12"/>
        <v>0</v>
      </c>
      <c r="J108" s="4"/>
    </row>
    <row r="109" spans="1:38" x14ac:dyDescent="0.25">
      <c r="B109" s="2">
        <f t="shared" si="11"/>
        <v>9</v>
      </c>
      <c r="C109" s="2">
        <f t="shared" si="10"/>
        <v>103</v>
      </c>
      <c r="D109" s="2" t="s">
        <v>125</v>
      </c>
      <c r="E109" s="4"/>
      <c r="F109" s="4">
        <v>55000</v>
      </c>
      <c r="G109" s="3"/>
      <c r="H109" s="5">
        <f t="shared" si="12"/>
        <v>0</v>
      </c>
      <c r="J109" s="4"/>
      <c r="AG109">
        <v>15</v>
      </c>
    </row>
    <row r="110" spans="1:38" x14ac:dyDescent="0.25">
      <c r="A110" s="1">
        <v>5</v>
      </c>
      <c r="B110" s="1" t="s">
        <v>51</v>
      </c>
    </row>
    <row r="111" spans="1:38" s="6" customFormat="1" x14ac:dyDescent="0.25">
      <c r="B111" s="7">
        <v>1</v>
      </c>
      <c r="C111" s="7">
        <f>C109+1</f>
        <v>104</v>
      </c>
      <c r="D111" s="7" t="s">
        <v>176</v>
      </c>
      <c r="E111" s="8"/>
      <c r="F111" s="8">
        <v>395000</v>
      </c>
      <c r="G111" s="9"/>
      <c r="H111" s="10">
        <f t="shared" si="12"/>
        <v>0</v>
      </c>
      <c r="AL111"/>
    </row>
    <row r="112" spans="1:38" s="6" customFormat="1" x14ac:dyDescent="0.25">
      <c r="B112" s="7">
        <f t="shared" si="11"/>
        <v>2</v>
      </c>
      <c r="C112" s="7">
        <f t="shared" si="10"/>
        <v>105</v>
      </c>
      <c r="D112" s="7" t="s">
        <v>177</v>
      </c>
      <c r="E112" s="8"/>
      <c r="F112" s="8">
        <v>425000</v>
      </c>
      <c r="G112" s="9"/>
      <c r="H112" s="10">
        <f t="shared" si="12"/>
        <v>0</v>
      </c>
      <c r="AL112"/>
    </row>
    <row r="113" spans="2:38" s="6" customFormat="1" x14ac:dyDescent="0.25">
      <c r="B113" s="7">
        <f t="shared" si="11"/>
        <v>3</v>
      </c>
      <c r="C113" s="7">
        <f t="shared" si="10"/>
        <v>106</v>
      </c>
      <c r="D113" s="9" t="s">
        <v>178</v>
      </c>
      <c r="E113" s="11"/>
      <c r="F113" s="11">
        <v>465000</v>
      </c>
      <c r="G113" s="9"/>
      <c r="H113" s="10">
        <f t="shared" si="12"/>
        <v>0</v>
      </c>
      <c r="AL113"/>
    </row>
    <row r="114" spans="2:38" s="6" customFormat="1" x14ac:dyDescent="0.25">
      <c r="B114" s="7">
        <f t="shared" si="11"/>
        <v>4</v>
      </c>
      <c r="C114" s="7">
        <f t="shared" si="10"/>
        <v>107</v>
      </c>
      <c r="D114" s="9" t="s">
        <v>179</v>
      </c>
      <c r="E114" s="11"/>
      <c r="F114" s="11">
        <v>475000</v>
      </c>
      <c r="G114" s="9"/>
      <c r="H114" s="10">
        <f t="shared" si="12"/>
        <v>0</v>
      </c>
      <c r="AL114"/>
    </row>
    <row r="115" spans="2:38" s="6" customFormat="1" x14ac:dyDescent="0.25">
      <c r="B115" s="7">
        <f t="shared" si="11"/>
        <v>5</v>
      </c>
      <c r="C115" s="7">
        <f t="shared" si="10"/>
        <v>108</v>
      </c>
      <c r="D115" s="7" t="s">
        <v>180</v>
      </c>
      <c r="E115" s="8"/>
      <c r="F115" s="8">
        <v>450000</v>
      </c>
      <c r="G115" s="9"/>
      <c r="H115" s="10">
        <f t="shared" si="12"/>
        <v>0</v>
      </c>
      <c r="AL115"/>
    </row>
    <row r="116" spans="2:38" x14ac:dyDescent="0.25">
      <c r="B116" s="7">
        <f t="shared" si="11"/>
        <v>6</v>
      </c>
      <c r="C116" s="7">
        <f t="shared" si="10"/>
        <v>109</v>
      </c>
      <c r="D116" s="60" t="s">
        <v>52</v>
      </c>
      <c r="F116" s="61">
        <v>555000</v>
      </c>
      <c r="H116" s="10">
        <f t="shared" si="12"/>
        <v>0</v>
      </c>
    </row>
    <row r="117" spans="2:38" x14ac:dyDescent="0.25">
      <c r="B117" s="7">
        <f t="shared" si="11"/>
        <v>7</v>
      </c>
      <c r="C117" s="7">
        <f t="shared" si="10"/>
        <v>110</v>
      </c>
      <c r="D117" s="60" t="s">
        <v>181</v>
      </c>
      <c r="F117" s="61">
        <v>550000</v>
      </c>
      <c r="H117" s="10">
        <f t="shared" si="12"/>
        <v>0</v>
      </c>
    </row>
    <row r="118" spans="2:38" x14ac:dyDescent="0.25">
      <c r="B118" s="7">
        <f t="shared" si="11"/>
        <v>8</v>
      </c>
      <c r="C118" s="7">
        <f t="shared" si="10"/>
        <v>111</v>
      </c>
      <c r="D118" s="60" t="s">
        <v>182</v>
      </c>
      <c r="F118" s="61">
        <v>535000</v>
      </c>
      <c r="H118" s="10">
        <f t="shared" si="12"/>
        <v>0</v>
      </c>
    </row>
    <row r="119" spans="2:38" x14ac:dyDescent="0.25">
      <c r="B119" s="7">
        <f t="shared" si="11"/>
        <v>9</v>
      </c>
      <c r="C119" s="7">
        <f t="shared" si="10"/>
        <v>112</v>
      </c>
      <c r="D119" s="60" t="s">
        <v>53</v>
      </c>
      <c r="F119" s="61">
        <v>550000</v>
      </c>
      <c r="H119" s="10">
        <f t="shared" si="12"/>
        <v>0</v>
      </c>
    </row>
    <row r="120" spans="2:38" x14ac:dyDescent="0.25">
      <c r="B120" s="7">
        <f t="shared" si="11"/>
        <v>10</v>
      </c>
      <c r="C120" s="7">
        <f t="shared" si="10"/>
        <v>113</v>
      </c>
      <c r="D120" s="60" t="s">
        <v>183</v>
      </c>
      <c r="F120" s="61">
        <v>625000</v>
      </c>
      <c r="H120" s="10">
        <f t="shared" si="12"/>
        <v>0</v>
      </c>
    </row>
    <row r="121" spans="2:38" x14ac:dyDescent="0.25">
      <c r="B121" s="7">
        <f t="shared" si="11"/>
        <v>11</v>
      </c>
      <c r="C121" s="7">
        <f t="shared" si="10"/>
        <v>114</v>
      </c>
      <c r="D121" s="60" t="s">
        <v>184</v>
      </c>
      <c r="F121" s="61">
        <v>575000</v>
      </c>
      <c r="H121" s="10">
        <f t="shared" si="12"/>
        <v>0</v>
      </c>
    </row>
    <row r="122" spans="2:38" x14ac:dyDescent="0.25">
      <c r="B122" s="7">
        <f t="shared" si="11"/>
        <v>12</v>
      </c>
      <c r="C122" s="7">
        <f t="shared" si="10"/>
        <v>115</v>
      </c>
      <c r="D122" s="60" t="s">
        <v>185</v>
      </c>
      <c r="F122" s="61">
        <v>625000</v>
      </c>
      <c r="H122" s="10">
        <f t="shared" si="12"/>
        <v>0</v>
      </c>
    </row>
    <row r="123" spans="2:38" x14ac:dyDescent="0.25">
      <c r="B123" s="7">
        <f t="shared" si="11"/>
        <v>13</v>
      </c>
      <c r="C123" s="7">
        <f t="shared" si="10"/>
        <v>116</v>
      </c>
      <c r="D123" s="60" t="s">
        <v>186</v>
      </c>
      <c r="F123" s="61">
        <v>625000</v>
      </c>
      <c r="H123" s="10">
        <f t="shared" si="12"/>
        <v>0</v>
      </c>
    </row>
    <row r="124" spans="2:38" x14ac:dyDescent="0.25">
      <c r="B124" s="7">
        <f t="shared" si="11"/>
        <v>14</v>
      </c>
      <c r="C124" s="7">
        <f t="shared" si="10"/>
        <v>117</v>
      </c>
      <c r="D124" s="60" t="s">
        <v>187</v>
      </c>
      <c r="F124" s="61">
        <v>625000</v>
      </c>
      <c r="H124" s="10">
        <f t="shared" si="12"/>
        <v>0</v>
      </c>
    </row>
    <row r="125" spans="2:38" x14ac:dyDescent="0.25">
      <c r="B125" s="7">
        <f t="shared" si="11"/>
        <v>15</v>
      </c>
      <c r="C125" s="7">
        <f t="shared" si="10"/>
        <v>118</v>
      </c>
      <c r="D125" s="60" t="s">
        <v>188</v>
      </c>
      <c r="F125" s="61">
        <v>700000</v>
      </c>
      <c r="H125" s="10">
        <f t="shared" si="12"/>
        <v>0</v>
      </c>
    </row>
    <row r="126" spans="2:38" x14ac:dyDescent="0.25">
      <c r="B126" s="7">
        <f t="shared" si="11"/>
        <v>16</v>
      </c>
      <c r="C126" s="7">
        <f t="shared" si="10"/>
        <v>119</v>
      </c>
      <c r="D126" s="60" t="s">
        <v>189</v>
      </c>
      <c r="F126" s="61">
        <v>825000</v>
      </c>
      <c r="H126" s="10">
        <f t="shared" si="12"/>
        <v>0</v>
      </c>
    </row>
    <row r="127" spans="2:38" x14ac:dyDescent="0.25">
      <c r="B127" s="7">
        <f t="shared" si="11"/>
        <v>17</v>
      </c>
      <c r="C127" s="7">
        <f t="shared" si="10"/>
        <v>120</v>
      </c>
      <c r="D127" s="60" t="s">
        <v>190</v>
      </c>
      <c r="F127" s="61">
        <v>775000</v>
      </c>
      <c r="H127" s="10">
        <f t="shared" si="12"/>
        <v>0</v>
      </c>
    </row>
    <row r="128" spans="2:38" x14ac:dyDescent="0.25">
      <c r="B128" s="7">
        <f t="shared" si="11"/>
        <v>18</v>
      </c>
      <c r="C128" s="7">
        <f t="shared" si="10"/>
        <v>121</v>
      </c>
      <c r="D128" s="60" t="s">
        <v>54</v>
      </c>
      <c r="F128" s="61">
        <v>850000</v>
      </c>
      <c r="H128" s="10">
        <f t="shared" si="12"/>
        <v>0</v>
      </c>
    </row>
    <row r="129" spans="2:28" x14ac:dyDescent="0.25">
      <c r="B129" s="7">
        <f t="shared" si="11"/>
        <v>19</v>
      </c>
      <c r="C129" s="7">
        <f t="shared" si="10"/>
        <v>122</v>
      </c>
      <c r="D129" s="60" t="s">
        <v>191</v>
      </c>
      <c r="F129" s="61">
        <v>875000</v>
      </c>
      <c r="H129" s="10">
        <f t="shared" si="12"/>
        <v>0</v>
      </c>
    </row>
    <row r="130" spans="2:28" x14ac:dyDescent="0.25">
      <c r="B130" s="7">
        <f t="shared" si="11"/>
        <v>20</v>
      </c>
      <c r="C130" s="7">
        <f t="shared" si="10"/>
        <v>123</v>
      </c>
      <c r="D130" s="60" t="s">
        <v>192</v>
      </c>
      <c r="F130" s="61">
        <v>1100000</v>
      </c>
      <c r="H130" s="10">
        <f t="shared" si="12"/>
        <v>0</v>
      </c>
    </row>
    <row r="131" spans="2:28" x14ac:dyDescent="0.25">
      <c r="B131" s="7">
        <f t="shared" si="11"/>
        <v>21</v>
      </c>
      <c r="C131" s="7">
        <f t="shared" si="10"/>
        <v>124</v>
      </c>
      <c r="D131" s="60" t="s">
        <v>193</v>
      </c>
      <c r="F131" s="61">
        <v>875000</v>
      </c>
      <c r="H131" s="10">
        <f t="shared" si="12"/>
        <v>0</v>
      </c>
    </row>
    <row r="132" spans="2:28" x14ac:dyDescent="0.25">
      <c r="B132" s="7">
        <f t="shared" si="11"/>
        <v>22</v>
      </c>
      <c r="C132" s="7">
        <f t="shared" si="10"/>
        <v>125</v>
      </c>
      <c r="D132" s="60" t="s">
        <v>194</v>
      </c>
      <c r="F132" s="61">
        <v>1200000</v>
      </c>
      <c r="H132" s="10">
        <f t="shared" si="12"/>
        <v>0</v>
      </c>
    </row>
    <row r="133" spans="2:28" x14ac:dyDescent="0.25">
      <c r="B133" s="7">
        <f t="shared" si="11"/>
        <v>23</v>
      </c>
      <c r="C133" s="7">
        <f t="shared" si="10"/>
        <v>126</v>
      </c>
      <c r="D133" s="60" t="s">
        <v>195</v>
      </c>
      <c r="F133" s="61">
        <v>1550000</v>
      </c>
      <c r="H133" s="10">
        <f t="shared" si="12"/>
        <v>0</v>
      </c>
    </row>
    <row r="134" spans="2:28" x14ac:dyDescent="0.25">
      <c r="B134" s="7">
        <f t="shared" si="11"/>
        <v>24</v>
      </c>
      <c r="C134" s="7">
        <f t="shared" si="10"/>
        <v>127</v>
      </c>
      <c r="D134" s="60" t="s">
        <v>196</v>
      </c>
      <c r="F134" s="61">
        <v>1750000</v>
      </c>
      <c r="H134" s="10">
        <f t="shared" si="12"/>
        <v>0</v>
      </c>
      <c r="AB134">
        <v>120</v>
      </c>
    </row>
    <row r="135" spans="2:28" x14ac:dyDescent="0.25">
      <c r="B135" s="7">
        <f t="shared" si="11"/>
        <v>25</v>
      </c>
      <c r="C135" s="7">
        <f t="shared" si="10"/>
        <v>128</v>
      </c>
      <c r="D135" s="60" t="s">
        <v>197</v>
      </c>
      <c r="F135" s="61">
        <v>1675000</v>
      </c>
      <c r="H135" s="10">
        <f t="shared" si="12"/>
        <v>0</v>
      </c>
    </row>
    <row r="136" spans="2:28" x14ac:dyDescent="0.25">
      <c r="B136" s="7">
        <f t="shared" si="11"/>
        <v>26</v>
      </c>
      <c r="C136" s="7">
        <f t="shared" si="10"/>
        <v>129</v>
      </c>
      <c r="D136" s="60" t="s">
        <v>198</v>
      </c>
      <c r="F136" s="61">
        <v>1650000</v>
      </c>
      <c r="H136" s="10">
        <f t="shared" si="12"/>
        <v>0</v>
      </c>
    </row>
    <row r="137" spans="2:28" x14ac:dyDescent="0.25">
      <c r="B137" s="7">
        <f t="shared" si="11"/>
        <v>27</v>
      </c>
      <c r="C137" s="7">
        <f t="shared" si="10"/>
        <v>130</v>
      </c>
      <c r="D137" s="60" t="s">
        <v>199</v>
      </c>
      <c r="F137" s="61">
        <v>1650000</v>
      </c>
      <c r="H137" s="10">
        <f t="shared" si="12"/>
        <v>0</v>
      </c>
    </row>
    <row r="138" spans="2:28" x14ac:dyDescent="0.25">
      <c r="B138" s="7">
        <f t="shared" si="11"/>
        <v>28</v>
      </c>
      <c r="C138" s="7">
        <f t="shared" si="10"/>
        <v>131</v>
      </c>
      <c r="D138" s="60" t="s">
        <v>201</v>
      </c>
      <c r="F138" s="61">
        <v>1750000</v>
      </c>
      <c r="H138" s="10">
        <f t="shared" si="12"/>
        <v>0</v>
      </c>
    </row>
    <row r="139" spans="2:28" x14ac:dyDescent="0.25">
      <c r="B139" s="7">
        <f t="shared" si="11"/>
        <v>29</v>
      </c>
      <c r="C139" s="7">
        <f t="shared" si="10"/>
        <v>132</v>
      </c>
      <c r="D139" s="60" t="s">
        <v>200</v>
      </c>
      <c r="F139" s="61">
        <v>1750000</v>
      </c>
      <c r="H139" s="10">
        <f t="shared" si="12"/>
        <v>0</v>
      </c>
    </row>
    <row r="140" spans="2:28" x14ac:dyDescent="0.25">
      <c r="B140" s="7">
        <f t="shared" si="11"/>
        <v>30</v>
      </c>
      <c r="C140" s="7">
        <f t="shared" si="10"/>
        <v>133</v>
      </c>
      <c r="D140" s="60"/>
      <c r="F140" s="61"/>
      <c r="H140" s="10" t="e">
        <f t="shared" si="12"/>
        <v>#DIV/0!</v>
      </c>
    </row>
    <row r="141" spans="2:28" x14ac:dyDescent="0.25">
      <c r="B141" s="7">
        <f t="shared" si="11"/>
        <v>31</v>
      </c>
      <c r="C141" s="7">
        <f t="shared" si="10"/>
        <v>134</v>
      </c>
      <c r="D141" s="60"/>
      <c r="F141" s="61"/>
      <c r="H141" s="10" t="e">
        <f t="shared" si="12"/>
        <v>#DIV/0!</v>
      </c>
    </row>
    <row r="142" spans="2:28" x14ac:dyDescent="0.25">
      <c r="B142" s="7">
        <f t="shared" si="11"/>
        <v>32</v>
      </c>
      <c r="C142" s="7">
        <f t="shared" si="10"/>
        <v>135</v>
      </c>
      <c r="D142" s="60"/>
      <c r="F142" s="61"/>
      <c r="H142" s="10" t="e">
        <f t="shared" si="12"/>
        <v>#DIV/0!</v>
      </c>
    </row>
    <row r="143" spans="2:28" x14ac:dyDescent="0.25">
      <c r="B143" s="7">
        <f t="shared" si="11"/>
        <v>33</v>
      </c>
      <c r="C143" s="7">
        <f t="shared" si="10"/>
        <v>136</v>
      </c>
      <c r="D143" s="60"/>
      <c r="F143" s="61"/>
      <c r="H143" s="10" t="e">
        <f t="shared" si="12"/>
        <v>#DIV/0!</v>
      </c>
    </row>
    <row r="144" spans="2:28" x14ac:dyDescent="0.25">
      <c r="B144" s="7">
        <f t="shared" si="11"/>
        <v>34</v>
      </c>
      <c r="C144" s="7">
        <f t="shared" si="10"/>
        <v>137</v>
      </c>
      <c r="D144" s="60"/>
      <c r="F144" s="61"/>
      <c r="H144" s="10" t="e">
        <f t="shared" si="12"/>
        <v>#DIV/0!</v>
      </c>
      <c r="AB144">
        <v>16</v>
      </c>
    </row>
    <row r="145" spans="2:38" x14ac:dyDescent="0.25">
      <c r="B145" s="7">
        <f t="shared" si="11"/>
        <v>35</v>
      </c>
      <c r="C145" s="7">
        <f t="shared" si="10"/>
        <v>138</v>
      </c>
      <c r="D145" s="60"/>
      <c r="F145" s="61"/>
      <c r="H145" s="10" t="e">
        <f t="shared" si="12"/>
        <v>#DIV/0!</v>
      </c>
    </row>
    <row r="146" spans="2:38" x14ac:dyDescent="0.25">
      <c r="B146" s="7">
        <f t="shared" si="11"/>
        <v>36</v>
      </c>
      <c r="C146" s="7">
        <f t="shared" si="10"/>
        <v>139</v>
      </c>
      <c r="D146" s="60"/>
      <c r="F146" s="61"/>
      <c r="H146" s="10" t="e">
        <f t="shared" si="12"/>
        <v>#DIV/0!</v>
      </c>
    </row>
    <row r="147" spans="2:38" x14ac:dyDescent="0.25">
      <c r="B147" s="7">
        <f t="shared" si="11"/>
        <v>37</v>
      </c>
      <c r="C147" s="7">
        <f t="shared" si="10"/>
        <v>140</v>
      </c>
      <c r="D147" s="60"/>
      <c r="F147" s="61"/>
      <c r="H147" s="10" t="e">
        <f t="shared" si="12"/>
        <v>#DIV/0!</v>
      </c>
    </row>
    <row r="148" spans="2:38" x14ac:dyDescent="0.25">
      <c r="B148" s="7">
        <f t="shared" si="11"/>
        <v>38</v>
      </c>
      <c r="C148" s="7">
        <f t="shared" si="10"/>
        <v>141</v>
      </c>
      <c r="D148" s="60"/>
      <c r="F148" s="61"/>
      <c r="H148" s="10" t="e">
        <f t="shared" si="12"/>
        <v>#DIV/0!</v>
      </c>
    </row>
    <row r="149" spans="2:38" x14ac:dyDescent="0.25">
      <c r="B149" s="7">
        <f t="shared" si="11"/>
        <v>39</v>
      </c>
      <c r="C149" s="7">
        <f t="shared" si="10"/>
        <v>142</v>
      </c>
      <c r="D149" s="60"/>
      <c r="F149" s="61"/>
      <c r="H149" s="10" t="e">
        <f t="shared" si="12"/>
        <v>#DIV/0!</v>
      </c>
    </row>
    <row r="150" spans="2:38" x14ac:dyDescent="0.25">
      <c r="B150" s="7">
        <f t="shared" si="11"/>
        <v>40</v>
      </c>
      <c r="C150" s="7">
        <f t="shared" si="10"/>
        <v>143</v>
      </c>
      <c r="D150" s="60"/>
      <c r="F150" s="61"/>
      <c r="H150" s="10" t="e">
        <f t="shared" si="12"/>
        <v>#DIV/0!</v>
      </c>
    </row>
    <row r="151" spans="2:38" x14ac:dyDescent="0.25">
      <c r="B151" s="7">
        <f t="shared" si="11"/>
        <v>41</v>
      </c>
      <c r="C151" s="7">
        <f t="shared" si="10"/>
        <v>144</v>
      </c>
      <c r="D151" s="60"/>
      <c r="F151" s="61"/>
      <c r="H151" s="10" t="e">
        <f t="shared" si="12"/>
        <v>#DIV/0!</v>
      </c>
      <c r="AG151">
        <v>97</v>
      </c>
      <c r="AL151">
        <v>194</v>
      </c>
    </row>
    <row r="152" spans="2:38" x14ac:dyDescent="0.25">
      <c r="B152" s="7">
        <f t="shared" si="11"/>
        <v>42</v>
      </c>
      <c r="C152" s="7">
        <f t="shared" si="10"/>
        <v>145</v>
      </c>
      <c r="D152" s="60"/>
      <c r="F152" s="61"/>
      <c r="H152" s="10" t="e">
        <f t="shared" si="12"/>
        <v>#DIV/0!</v>
      </c>
    </row>
    <row r="153" spans="2:38" x14ac:dyDescent="0.25">
      <c r="B153" s="7">
        <f t="shared" si="11"/>
        <v>43</v>
      </c>
      <c r="C153" s="7">
        <f t="shared" si="10"/>
        <v>146</v>
      </c>
      <c r="D153" s="60"/>
      <c r="F153" s="61"/>
      <c r="H153" s="10" t="e">
        <f t="shared" si="12"/>
        <v>#DIV/0!</v>
      </c>
      <c r="AB153">
        <v>2</v>
      </c>
    </row>
    <row r="154" spans="2:38" x14ac:dyDescent="0.25">
      <c r="B154" s="7">
        <f t="shared" si="11"/>
        <v>44</v>
      </c>
      <c r="C154" s="7">
        <f t="shared" si="10"/>
        <v>147</v>
      </c>
      <c r="D154" s="60"/>
      <c r="F154" s="61"/>
      <c r="H154" s="10" t="e">
        <f t="shared" si="12"/>
        <v>#DIV/0!</v>
      </c>
    </row>
    <row r="155" spans="2:38" x14ac:dyDescent="0.25">
      <c r="B155" s="7">
        <f t="shared" si="11"/>
        <v>45</v>
      </c>
      <c r="C155" s="7">
        <f t="shared" si="10"/>
        <v>148</v>
      </c>
      <c r="D155" s="60"/>
      <c r="F155" s="61"/>
      <c r="H155" s="10" t="e">
        <f t="shared" si="12"/>
        <v>#DIV/0!</v>
      </c>
    </row>
    <row r="156" spans="2:38" x14ac:dyDescent="0.25">
      <c r="B156" s="7">
        <f t="shared" si="11"/>
        <v>46</v>
      </c>
      <c r="C156" s="7">
        <f t="shared" si="10"/>
        <v>149</v>
      </c>
      <c r="D156" s="60"/>
      <c r="F156" s="61"/>
      <c r="H156" s="10" t="e">
        <f t="shared" si="12"/>
        <v>#DIV/0!</v>
      </c>
    </row>
    <row r="157" spans="2:38" x14ac:dyDescent="0.25">
      <c r="B157" s="7">
        <f t="shared" si="11"/>
        <v>47</v>
      </c>
      <c r="C157" s="7">
        <f t="shared" si="10"/>
        <v>150</v>
      </c>
      <c r="D157" s="60"/>
      <c r="F157" s="61"/>
      <c r="H157" s="10" t="e">
        <f t="shared" si="12"/>
        <v>#DIV/0!</v>
      </c>
    </row>
    <row r="158" spans="2:38" x14ac:dyDescent="0.25">
      <c r="B158" s="7">
        <f t="shared" si="11"/>
        <v>48</v>
      </c>
      <c r="C158" s="7">
        <f t="shared" si="10"/>
        <v>151</v>
      </c>
      <c r="D158" s="60"/>
      <c r="F158" s="61"/>
      <c r="H158" s="10" t="e">
        <f t="shared" si="12"/>
        <v>#DIV/0!</v>
      </c>
    </row>
    <row r="159" spans="2:38" x14ac:dyDescent="0.25">
      <c r="B159" s="7">
        <f t="shared" si="11"/>
        <v>49</v>
      </c>
      <c r="C159" s="7">
        <f t="shared" si="10"/>
        <v>152</v>
      </c>
      <c r="D159" s="60"/>
      <c r="F159" s="61"/>
      <c r="H159" s="10" t="e">
        <f t="shared" si="12"/>
        <v>#DIV/0!</v>
      </c>
    </row>
    <row r="160" spans="2:38" x14ac:dyDescent="0.25">
      <c r="B160" s="7">
        <f t="shared" si="11"/>
        <v>50</v>
      </c>
      <c r="C160" s="7">
        <f t="shared" si="10"/>
        <v>153</v>
      </c>
      <c r="D160" s="60"/>
      <c r="F160" s="61"/>
      <c r="H160" s="10" t="e">
        <f t="shared" si="12"/>
        <v>#DIV/0!</v>
      </c>
    </row>
    <row r="161" spans="2:40" x14ac:dyDescent="0.25">
      <c r="B161" s="7">
        <f t="shared" si="11"/>
        <v>51</v>
      </c>
      <c r="C161" s="7">
        <f t="shared" si="10"/>
        <v>154</v>
      </c>
      <c r="D161" s="60"/>
      <c r="F161" s="61"/>
      <c r="H161" s="10" t="e">
        <f t="shared" si="12"/>
        <v>#DIV/0!</v>
      </c>
      <c r="AB161">
        <v>5</v>
      </c>
    </row>
    <row r="162" spans="2:40" x14ac:dyDescent="0.25">
      <c r="B162" s="7">
        <f t="shared" si="11"/>
        <v>52</v>
      </c>
      <c r="C162" s="7">
        <f t="shared" si="10"/>
        <v>155</v>
      </c>
      <c r="D162" s="60"/>
      <c r="F162" s="61"/>
      <c r="H162" s="10" t="e">
        <f t="shared" si="12"/>
        <v>#DIV/0!</v>
      </c>
      <c r="AN162">
        <v>2</v>
      </c>
    </row>
    <row r="163" spans="2:40" x14ac:dyDescent="0.25">
      <c r="B163" s="7">
        <f t="shared" si="11"/>
        <v>53</v>
      </c>
      <c r="C163" s="7">
        <f t="shared" si="10"/>
        <v>156</v>
      </c>
      <c r="D163" s="60"/>
      <c r="F163" s="61"/>
      <c r="H163" s="10" t="e">
        <f t="shared" si="12"/>
        <v>#DIV/0!</v>
      </c>
    </row>
    <row r="165" spans="2:40" x14ac:dyDescent="0.25">
      <c r="AB165">
        <v>97</v>
      </c>
    </row>
    <row r="170" spans="2:40" x14ac:dyDescent="0.25">
      <c r="AG170">
        <v>194</v>
      </c>
    </row>
    <row r="173" spans="2:40" x14ac:dyDescent="0.25">
      <c r="AB173">
        <v>18</v>
      </c>
    </row>
    <row r="177" spans="28:38" x14ac:dyDescent="0.25">
      <c r="AL177">
        <v>194</v>
      </c>
    </row>
    <row r="184" spans="28:38" x14ac:dyDescent="0.25">
      <c r="AB184">
        <v>16</v>
      </c>
    </row>
    <row r="190" spans="28:38" x14ac:dyDescent="0.25">
      <c r="AB190">
        <v>20</v>
      </c>
    </row>
    <row r="195" spans="28:38" x14ac:dyDescent="0.25">
      <c r="AB195">
        <v>21</v>
      </c>
      <c r="AL195">
        <v>192</v>
      </c>
    </row>
    <row r="201" spans="28:38" x14ac:dyDescent="0.25">
      <c r="AB201">
        <v>5</v>
      </c>
    </row>
    <row r="212" spans="28:38" x14ac:dyDescent="0.25">
      <c r="AB212">
        <v>19</v>
      </c>
    </row>
    <row r="214" spans="28:38" x14ac:dyDescent="0.25">
      <c r="AL214">
        <v>187</v>
      </c>
    </row>
    <row r="219" spans="28:38" x14ac:dyDescent="0.25">
      <c r="AB219">
        <v>14</v>
      </c>
    </row>
    <row r="225" spans="28:38" x14ac:dyDescent="0.25">
      <c r="AB225">
        <v>3</v>
      </c>
    </row>
    <row r="236" spans="28:38" x14ac:dyDescent="0.25">
      <c r="AL236">
        <v>188</v>
      </c>
    </row>
    <row r="249" spans="38:38" x14ac:dyDescent="0.25">
      <c r="AL249">
        <v>194</v>
      </c>
    </row>
    <row r="286" spans="38:38" x14ac:dyDescent="0.25">
      <c r="AL286">
        <v>194</v>
      </c>
    </row>
    <row r="293" spans="28:38" x14ac:dyDescent="0.25">
      <c r="AB293">
        <v>194</v>
      </c>
    </row>
    <row r="302" spans="28:38" x14ac:dyDescent="0.25">
      <c r="AL302">
        <v>187</v>
      </c>
    </row>
    <row r="307" spans="28:38" x14ac:dyDescent="0.25">
      <c r="AB307">
        <v>120</v>
      </c>
    </row>
    <row r="314" spans="28:38" x14ac:dyDescent="0.25">
      <c r="AL314">
        <v>197</v>
      </c>
    </row>
    <row r="317" spans="28:38" x14ac:dyDescent="0.25">
      <c r="AB317">
        <v>16</v>
      </c>
    </row>
    <row r="328" spans="25:25" x14ac:dyDescent="0.25">
      <c r="Y328">
        <v>1</v>
      </c>
    </row>
    <row r="329" spans="25:25" x14ac:dyDescent="0.25">
      <c r="Y329">
        <v>2</v>
      </c>
    </row>
    <row r="356" spans="20:28" x14ac:dyDescent="0.25">
      <c r="T356" s="54"/>
      <c r="U356" s="54">
        <v>26900000</v>
      </c>
    </row>
    <row r="358" spans="20:28" x14ac:dyDescent="0.25">
      <c r="AB358">
        <v>97</v>
      </c>
    </row>
    <row r="366" spans="20:28" x14ac:dyDescent="0.25">
      <c r="AB366">
        <v>18</v>
      </c>
    </row>
    <row r="377" spans="28:28" x14ac:dyDescent="0.25">
      <c r="AB377">
        <v>16</v>
      </c>
    </row>
    <row r="383" spans="28:28" x14ac:dyDescent="0.25">
      <c r="AB383">
        <v>20</v>
      </c>
    </row>
    <row r="388" spans="28:28" x14ac:dyDescent="0.25">
      <c r="AB388">
        <v>21</v>
      </c>
    </row>
    <row r="395" spans="28:28" x14ac:dyDescent="0.25">
      <c r="AB395">
        <v>3</v>
      </c>
    </row>
    <row r="404" spans="28:28" x14ac:dyDescent="0.25">
      <c r="AB404">
        <v>11</v>
      </c>
    </row>
    <row r="407" spans="28:28" x14ac:dyDescent="0.25">
      <c r="AB407">
        <v>164</v>
      </c>
    </row>
    <row r="421" spans="28:28" x14ac:dyDescent="0.25">
      <c r="AB421">
        <v>120</v>
      </c>
    </row>
    <row r="431" spans="28:28" x14ac:dyDescent="0.25">
      <c r="AB431">
        <v>16</v>
      </c>
    </row>
    <row r="440" spans="28:28" x14ac:dyDescent="0.25">
      <c r="AB440">
        <v>2</v>
      </c>
    </row>
    <row r="448" spans="28:28" x14ac:dyDescent="0.25">
      <c r="AB448">
        <v>5</v>
      </c>
    </row>
    <row r="457" spans="28:28" x14ac:dyDescent="0.25">
      <c r="AB457">
        <v>4</v>
      </c>
    </row>
    <row r="463" spans="28:28" x14ac:dyDescent="0.25">
      <c r="AB463">
        <v>1</v>
      </c>
    </row>
    <row r="469" spans="28:28" x14ac:dyDescent="0.25">
      <c r="AB469">
        <v>133</v>
      </c>
    </row>
    <row r="476" spans="28:28" x14ac:dyDescent="0.25">
      <c r="AB476">
        <v>16</v>
      </c>
    </row>
    <row r="483" spans="28:28" x14ac:dyDescent="0.25">
      <c r="AB483">
        <v>18</v>
      </c>
    </row>
    <row r="494" spans="28:28" x14ac:dyDescent="0.25">
      <c r="AB494">
        <v>135</v>
      </c>
    </row>
    <row r="506" spans="28:28" x14ac:dyDescent="0.25">
      <c r="AB506">
        <v>97</v>
      </c>
    </row>
    <row r="519" spans="28:28" x14ac:dyDescent="0.25">
      <c r="AB519">
        <v>85</v>
      </c>
    </row>
    <row r="526" spans="28:28" x14ac:dyDescent="0.25">
      <c r="AB526">
        <v>86</v>
      </c>
    </row>
    <row r="537" spans="28:28" x14ac:dyDescent="0.25">
      <c r="AB537">
        <v>88</v>
      </c>
    </row>
    <row r="544" spans="28:28" x14ac:dyDescent="0.25">
      <c r="AB544">
        <v>85</v>
      </c>
    </row>
    <row r="550" spans="28:28" x14ac:dyDescent="0.25">
      <c r="AB550">
        <v>16</v>
      </c>
    </row>
    <row r="560" spans="28:28" x14ac:dyDescent="0.25">
      <c r="AB560">
        <v>1</v>
      </c>
    </row>
    <row r="570" spans="28:28" x14ac:dyDescent="0.25">
      <c r="AB570">
        <v>5</v>
      </c>
    </row>
    <row r="579" spans="28:28" x14ac:dyDescent="0.25">
      <c r="AB579">
        <v>9</v>
      </c>
    </row>
    <row r="587" spans="28:28" x14ac:dyDescent="0.25">
      <c r="AB587">
        <v>13</v>
      </c>
    </row>
    <row r="597" spans="28:28" x14ac:dyDescent="0.25">
      <c r="AB597">
        <v>10</v>
      </c>
    </row>
    <row r="606" spans="28:28" x14ac:dyDescent="0.25">
      <c r="AB606">
        <v>6</v>
      </c>
    </row>
    <row r="616" spans="28:28" x14ac:dyDescent="0.25">
      <c r="AB616">
        <v>5</v>
      </c>
    </row>
    <row r="617" spans="28:28" x14ac:dyDescent="0.25">
      <c r="AB617">
        <v>18</v>
      </c>
    </row>
    <row r="626" spans="28:28" x14ac:dyDescent="0.25">
      <c r="AB626">
        <v>175</v>
      </c>
    </row>
    <row r="638" spans="28:28" x14ac:dyDescent="0.25">
      <c r="AB638">
        <v>164</v>
      </c>
    </row>
    <row r="651" spans="28:28" x14ac:dyDescent="0.25">
      <c r="AB651">
        <v>120</v>
      </c>
    </row>
    <row r="660" spans="28:28" x14ac:dyDescent="0.25">
      <c r="AB660">
        <v>13</v>
      </c>
    </row>
    <row r="670" spans="28:28" x14ac:dyDescent="0.25">
      <c r="AB670">
        <v>11</v>
      </c>
    </row>
    <row r="680" spans="28:28" x14ac:dyDescent="0.25">
      <c r="AB680">
        <v>1</v>
      </c>
    </row>
    <row r="691" spans="28:28" x14ac:dyDescent="0.25">
      <c r="AB691">
        <v>18</v>
      </c>
    </row>
    <row r="700" spans="28:28" x14ac:dyDescent="0.25">
      <c r="AB700">
        <v>14</v>
      </c>
    </row>
    <row r="711" spans="28:28" x14ac:dyDescent="0.25">
      <c r="AB711">
        <v>3</v>
      </c>
    </row>
    <row r="729" spans="28:28" x14ac:dyDescent="0.25">
      <c r="AB729">
        <v>18</v>
      </c>
    </row>
    <row r="1603" spans="38:38" x14ac:dyDescent="0.25">
      <c r="AL1603">
        <v>194</v>
      </c>
    </row>
    <row r="1616" spans="38:38" x14ac:dyDescent="0.25">
      <c r="AL1616">
        <v>194</v>
      </c>
    </row>
    <row r="1628" spans="38:38" x14ac:dyDescent="0.25">
      <c r="AL1628">
        <v>187</v>
      </c>
    </row>
    <row r="1638" spans="38:38" x14ac:dyDescent="0.25">
      <c r="AL1638">
        <v>194</v>
      </c>
    </row>
    <row r="1651" spans="38:38" x14ac:dyDescent="0.25">
      <c r="AL1651">
        <v>187</v>
      </c>
    </row>
    <row r="1671" spans="38:38" x14ac:dyDescent="0.25">
      <c r="AL1671">
        <v>194</v>
      </c>
    </row>
    <row r="1691" spans="38:38" x14ac:dyDescent="0.25">
      <c r="AL1691">
        <v>187</v>
      </c>
    </row>
    <row r="1704" spans="38:38" x14ac:dyDescent="0.25">
      <c r="AL1704">
        <v>187</v>
      </c>
    </row>
    <row r="1710" spans="38:38" x14ac:dyDescent="0.25">
      <c r="AL1710">
        <v>194</v>
      </c>
    </row>
    <row r="1728" spans="38:38" x14ac:dyDescent="0.25">
      <c r="AL1728">
        <v>187</v>
      </c>
    </row>
    <row r="1740" spans="38:38" x14ac:dyDescent="0.25">
      <c r="AL1740">
        <v>194</v>
      </c>
    </row>
    <row r="1758" spans="38:38" x14ac:dyDescent="0.25">
      <c r="AL1758">
        <v>187</v>
      </c>
    </row>
    <row r="1777" spans="38:38" x14ac:dyDescent="0.25">
      <c r="AL1777">
        <v>194</v>
      </c>
    </row>
    <row r="1790" spans="38:38" x14ac:dyDescent="0.25">
      <c r="AL1790">
        <v>97</v>
      </c>
    </row>
    <row r="1807" spans="38:38" x14ac:dyDescent="0.25">
      <c r="AL1807">
        <v>194</v>
      </c>
    </row>
    <row r="1819" spans="28:28" x14ac:dyDescent="0.25">
      <c r="AB1819">
        <v>4</v>
      </c>
    </row>
    <row r="1825" spans="28:38" x14ac:dyDescent="0.25">
      <c r="AL1825">
        <v>192</v>
      </c>
    </row>
    <row r="1826" spans="28:38" x14ac:dyDescent="0.25">
      <c r="AB1826">
        <v>2</v>
      </c>
    </row>
    <row r="1831" spans="28:38" x14ac:dyDescent="0.25">
      <c r="AB1831">
        <v>5</v>
      </c>
    </row>
    <row r="1840" spans="28:38" x14ac:dyDescent="0.25">
      <c r="AB1840">
        <v>5</v>
      </c>
    </row>
    <row r="1842" spans="28:38" x14ac:dyDescent="0.25">
      <c r="AB1842">
        <v>19</v>
      </c>
    </row>
    <row r="1844" spans="28:38" x14ac:dyDescent="0.25">
      <c r="AL1844">
        <v>187</v>
      </c>
    </row>
    <row r="1851" spans="28:38" x14ac:dyDescent="0.25">
      <c r="AB1851">
        <v>149</v>
      </c>
    </row>
    <row r="1866" spans="28:38" x14ac:dyDescent="0.25">
      <c r="AG1866">
        <v>194</v>
      </c>
      <c r="AL1866">
        <v>188</v>
      </c>
    </row>
    <row r="1871" spans="28:38" x14ac:dyDescent="0.25">
      <c r="AB1871">
        <v>168</v>
      </c>
    </row>
    <row r="1879" spans="38:38" x14ac:dyDescent="0.25">
      <c r="AL1879">
        <v>194</v>
      </c>
    </row>
    <row r="1916" spans="38:38" x14ac:dyDescent="0.25">
      <c r="AL1916">
        <v>194</v>
      </c>
    </row>
    <row r="1932" spans="38:38" x14ac:dyDescent="0.25">
      <c r="AL1932">
        <v>187</v>
      </c>
    </row>
    <row r="1944" spans="38:38" x14ac:dyDescent="0.25">
      <c r="AL1944">
        <v>197</v>
      </c>
    </row>
    <row r="1954" spans="28:33" x14ac:dyDescent="0.25">
      <c r="AB1954">
        <v>172</v>
      </c>
    </row>
    <row r="1956" spans="28:33" x14ac:dyDescent="0.25">
      <c r="AG1956">
        <v>187</v>
      </c>
    </row>
    <row r="1961" spans="28:33" x14ac:dyDescent="0.25">
      <c r="AB1961">
        <v>9</v>
      </c>
    </row>
    <row r="1972" spans="28:33" x14ac:dyDescent="0.25">
      <c r="AB1972">
        <v>12</v>
      </c>
    </row>
    <row r="1979" spans="28:33" x14ac:dyDescent="0.25">
      <c r="AB1979">
        <v>6</v>
      </c>
    </row>
    <row r="1981" spans="28:33" x14ac:dyDescent="0.25">
      <c r="AG1981">
        <v>97</v>
      </c>
    </row>
    <row r="1994" spans="28:28" x14ac:dyDescent="0.25">
      <c r="AB1994">
        <v>5</v>
      </c>
    </row>
    <row r="2001" spans="28:33" x14ac:dyDescent="0.25">
      <c r="AB2001">
        <v>11</v>
      </c>
    </row>
    <row r="2004" spans="28:33" x14ac:dyDescent="0.25">
      <c r="AG2004">
        <v>194</v>
      </c>
    </row>
    <row r="2006" spans="28:33" x14ac:dyDescent="0.25">
      <c r="AB2006">
        <v>97</v>
      </c>
    </row>
    <row r="2041" spans="28:28" x14ac:dyDescent="0.25">
      <c r="AB2041">
        <v>99</v>
      </c>
    </row>
    <row r="2058" spans="28:28" x14ac:dyDescent="0.25">
      <c r="AB2058">
        <v>85</v>
      </c>
    </row>
    <row r="2059" spans="28:28" x14ac:dyDescent="0.25">
      <c r="AB2059">
        <v>16</v>
      </c>
    </row>
    <row r="2065" spans="28:33" x14ac:dyDescent="0.25">
      <c r="AB2065">
        <v>5</v>
      </c>
    </row>
    <row r="2070" spans="28:33" x14ac:dyDescent="0.25">
      <c r="AG2070">
        <v>187</v>
      </c>
    </row>
    <row r="2076" spans="28:33" x14ac:dyDescent="0.25">
      <c r="AB2076">
        <v>19</v>
      </c>
    </row>
    <row r="2083" spans="28:28" x14ac:dyDescent="0.25">
      <c r="AB2083">
        <v>14</v>
      </c>
    </row>
    <row r="2089" spans="28:28" x14ac:dyDescent="0.25">
      <c r="AB2089">
        <v>3</v>
      </c>
    </row>
    <row r="2094" spans="28:28" x14ac:dyDescent="0.25">
      <c r="AB2094">
        <v>1</v>
      </c>
    </row>
    <row r="2102" spans="28:28" x14ac:dyDescent="0.25">
      <c r="AB2102">
        <v>18</v>
      </c>
    </row>
    <row r="2122" spans="28:28" x14ac:dyDescent="0.25">
      <c r="AB2122">
        <v>19</v>
      </c>
    </row>
    <row r="2133" spans="28:28" x14ac:dyDescent="0.25">
      <c r="AB2133">
        <v>5</v>
      </c>
    </row>
    <row r="2142" spans="28:28" x14ac:dyDescent="0.25">
      <c r="AB2142">
        <v>97</v>
      </c>
    </row>
    <row r="2153" spans="28:28" x14ac:dyDescent="0.25">
      <c r="AB2153">
        <v>97</v>
      </c>
    </row>
    <row r="2166" spans="33:33" x14ac:dyDescent="0.25">
      <c r="AG2166">
        <v>16</v>
      </c>
    </row>
    <row r="2205" spans="33:33" x14ac:dyDescent="0.25">
      <c r="AG2205">
        <v>15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7"/>
  <sheetViews>
    <sheetView workbookViewId="0">
      <selection activeCell="G9" sqref="G9"/>
    </sheetView>
  </sheetViews>
  <sheetFormatPr defaultRowHeight="15" x14ac:dyDescent="0.25"/>
  <cols>
    <col min="3" max="3" width="9.140625" style="12"/>
  </cols>
  <sheetData>
    <row r="2" spans="1:12" x14ac:dyDescent="0.25">
      <c r="F2" s="80" t="s">
        <v>44</v>
      </c>
      <c r="G2" s="80"/>
      <c r="H2" s="80"/>
      <c r="I2" s="80"/>
      <c r="J2" s="80"/>
    </row>
    <row r="3" spans="1:12" x14ac:dyDescent="0.25">
      <c r="A3" s="1">
        <v>1</v>
      </c>
      <c r="B3" s="1" t="s">
        <v>33</v>
      </c>
      <c r="C3" s="14">
        <v>0</v>
      </c>
      <c r="D3" s="15">
        <f>C3*2</f>
        <v>0</v>
      </c>
    </row>
    <row r="4" spans="1:12" x14ac:dyDescent="0.25">
      <c r="A4" s="1">
        <v>2</v>
      </c>
      <c r="B4" s="1" t="s">
        <v>41</v>
      </c>
      <c r="C4" s="14">
        <v>100000</v>
      </c>
      <c r="D4" s="15">
        <f>C4*2</f>
        <v>200000</v>
      </c>
      <c r="F4" s="20">
        <v>303</v>
      </c>
      <c r="G4" s="20">
        <v>305</v>
      </c>
      <c r="H4" s="20">
        <v>306</v>
      </c>
      <c r="I4" s="20">
        <v>307</v>
      </c>
      <c r="J4" s="20">
        <v>308</v>
      </c>
    </row>
    <row r="5" spans="1:12" x14ac:dyDescent="0.25">
      <c r="A5" s="1">
        <v>3</v>
      </c>
      <c r="B5" s="1" t="s">
        <v>42</v>
      </c>
      <c r="C5" s="14">
        <v>120000</v>
      </c>
      <c r="D5" s="15">
        <f t="shared" ref="D5:D7" si="0">C5*2</f>
        <v>240000</v>
      </c>
      <c r="F5" s="20">
        <v>501</v>
      </c>
      <c r="G5" s="20">
        <v>502</v>
      </c>
      <c r="H5" s="20">
        <v>503</v>
      </c>
      <c r="I5" s="20">
        <v>505</v>
      </c>
      <c r="J5" s="20">
        <v>506</v>
      </c>
      <c r="K5" s="20">
        <v>507</v>
      </c>
      <c r="L5" s="20">
        <v>508</v>
      </c>
    </row>
    <row r="6" spans="1:12" x14ac:dyDescent="0.25">
      <c r="A6" s="1">
        <v>4</v>
      </c>
      <c r="B6" s="1" t="s">
        <v>43</v>
      </c>
      <c r="C6" s="14">
        <v>150000</v>
      </c>
      <c r="D6" s="15">
        <f t="shared" si="0"/>
        <v>300000</v>
      </c>
      <c r="F6" s="20">
        <v>666</v>
      </c>
      <c r="G6" s="20">
        <v>777</v>
      </c>
      <c r="H6" s="20"/>
      <c r="I6" s="20"/>
      <c r="J6" s="20"/>
    </row>
    <row r="7" spans="1:12" x14ac:dyDescent="0.25">
      <c r="A7" s="1">
        <v>5</v>
      </c>
      <c r="B7" s="1" t="s">
        <v>45</v>
      </c>
      <c r="C7" s="14">
        <v>170000</v>
      </c>
      <c r="D7" s="15">
        <f t="shared" si="0"/>
        <v>340000</v>
      </c>
      <c r="F7" s="20">
        <v>888</v>
      </c>
    </row>
  </sheetData>
  <mergeCells count="1">
    <mergeCell ref="F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1</vt:i4>
      </vt:variant>
    </vt:vector>
  </HeadingPairs>
  <TitlesOfParts>
    <vt:vector size="5" baseType="lpstr">
      <vt:lpstr>Laporan</vt:lpstr>
      <vt:lpstr>Input</vt:lpstr>
      <vt:lpstr>DATABASE F&amp;B</vt:lpstr>
      <vt:lpstr>DATABASE Room</vt:lpstr>
      <vt:lpstr>Laporan!Print_Area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DAFAM-OPR</dc:creator>
  <cp:lastModifiedBy>bagus varunajaya</cp:lastModifiedBy>
  <cp:lastPrinted>2020-03-19T06:58:11Z</cp:lastPrinted>
  <dcterms:created xsi:type="dcterms:W3CDTF">2016-03-02T03:06:57Z</dcterms:created>
  <dcterms:modified xsi:type="dcterms:W3CDTF">2026-05-23T07:45:38Z</dcterms:modified>
</cp:coreProperties>
</file>